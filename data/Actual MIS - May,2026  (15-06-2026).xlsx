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6-27" sheetId="1" r:id="rId5"/>
    <sheet state="visible" name="Q1 FY26-27" sheetId="2" r:id="rId6"/>
    <sheet state="hidden" name="Mg St Colaba Comparison" sheetId="3" r:id="rId7"/>
    <sheet state="hidden" name="AOV" sheetId="4" r:id="rId8"/>
    <sheet state="visible" name="Summary Sheet - June 2026" sheetId="5" r:id="rId9"/>
    <sheet state="visible" name="Summary Sheet - May 2026" sheetId="6" r:id="rId10"/>
    <sheet state="visible" name="Summary Sheet - April 2026" sheetId="7" r:id="rId11"/>
    <sheet state="visible" name="HO" sheetId="8" r:id="rId12"/>
    <sheet state="visible" name="The Table" sheetId="9" r:id="rId13"/>
    <sheet state="visible" name="Iktara" sheetId="10" r:id="rId14"/>
    <sheet state="visible" name="Mg St Colaba" sheetId="11" r:id="rId15"/>
    <sheet state="visible" name="Mg St LP" sheetId="12" r:id="rId16"/>
    <sheet state="visible" name="Mg St Bandra" sheetId="13" r:id="rId17"/>
    <sheet state="visible" name="MSK Events" sheetId="14" r:id="rId18"/>
    <sheet state="visible" name="MSBC" sheetId="15" r:id="rId19"/>
    <sheet state="visible" name="Kaspers" sheetId="16" r:id="rId20"/>
    <sheet state="visible" name="MSBC Andheri" sheetId="17" r:id="rId21"/>
    <sheet state="visible" name="MSBC Dahisar" sheetId="18" r:id="rId22"/>
    <sheet state="visible" name="MSBC Juhu  Goregoan" sheetId="19" r:id="rId23"/>
    <sheet state="visible" name="LOUD MOUTH" sheetId="20" r:id="rId24"/>
    <sheet state="hidden" name="MSBC Summary" sheetId="21" r:id="rId25"/>
    <sheet state="hidden" name="Sheet13" sheetId="22" r:id="rId26"/>
    <sheet state="hidden" name="Targets" sheetId="23" r:id="rId27"/>
    <sheet state="visible" name="Calculation Sheet for GST on Pu" sheetId="24" r:id="rId28"/>
    <sheet state="visible" name="MSBC CK Allocation" sheetId="25" r:id="rId29"/>
    <sheet state="hidden" name="Mg St Bandra - Comparison" sheetId="26" r:id="rId30"/>
    <sheet state="hidden" name="Mg St LP - Comparison" sheetId="27" r:id="rId31"/>
    <sheet state="hidden" name="Table Summary - Comparison" sheetId="28" r:id="rId32"/>
    <sheet state="hidden" name="Kasper Summary - Comparison" sheetId="29" r:id="rId3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ID#AAAB3yX9KCM
tc={0b5ec4a3-a9a4-4a2c-b89f-9aee434fb379}    (2026-04-21 11:24:36)
[Threaded comment]
Your version of Excel allows you to read this threaded comment; however, any edits to it will get removed if the file is opened in a newer version of Excel. Learn more: https://go.microsoft.com/fwlink/?linkid=870924
Comment:
    Need to understand 
EDM - Executive Director Meal
NC - (Compleimentary / Service Recovery)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J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R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P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  <comment authorId="0" ref="F91">
      <text>
        <t xml:space="preserve">======
ID#AAAB3yX8QVE
tc={79c99fa1-da2d-4394-9f04-9ca99b3e2c7d}    (2026-04-21 11:24:36)
[Threaded comment]
Your version of Excel allows you to read this threaded comment; however, any edits to it will get removed if the file is opened in a newer version of Excel. Learn more: https://go.microsoft.com/fwlink/?linkid=870924
Comment:
    Jan - 28
Feb - 0 - To Check
Mar - ___</t>
      </text>
    </comment>
    <comment authorId="0" ref="D118">
      <text>
        <t xml:space="preserve">======
ID#AAAB3yX9KB0
tc={e67457df-3f32-4fea-9d53-a3c9b1af7e2b}    (2026-04-21 11:24:36)
[Threaded comment]
Your version of Excel allows you to read this threaded comment; however, any edits to it will get removed if the file is opened in a newer version of Excel. Learn more: https://go.microsoft.com/fwlink/?linkid=870924
Comment:
    Legal Fees - 177,000 - 
Other Expenses
Reply:
    Fees for BPT 70800
Reply:
    Farming exps 8081 + 14715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======
ID#AAAB3yX9UWM
tc={d92317b9-2086-4153-8dc5-8e224e78b77a}    (2026-04-21 11:24:36)
[Threaded comment]
Your version of Excel allows you to read this threaded comment; however, any edits to it will get removed if the file is opened in a newer version of Excel. Learn more: https://go.microsoft.com/fwlink/?linkid=870924
Comment:
    Consider Merging Packaging Revenue in one line item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P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  <comment authorId="0" ref="D101">
      <text>
        <t xml:space="preserve">======
ID#AAAB3yX9KBw
tc={f2661a00-53f9-494c-adea-6f1dbc525027}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Laundry for Iktara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6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L116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  <comment authorId="0" ref="R116">
      <text>
        <t xml:space="preserve">======
ID#AAAB3yX9KC4
tc={4792504c-9848-4ab2-8481-ff70c606fa83}    (2026-04-21 11:24:36)
[Threaded comment]
Your version of Excel allows you to read this threaded comment; however, any edits to it will get removed if the file is opened in a newer version of Excel. Learn more: https://go.microsoft.com/fwlink/?linkid=870924
Comment:
    Take out Motor Car in all brands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94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F94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  <comment authorId="0" ref="L94">
      <text>
        <t xml:space="preserve">======
ID#AAAB3yX8QVs
tc={a63e70cd-a3f3-4b3b-bb53-bc7a57da9487}    (2026-04-21 11:24:36)
[Threaded comment]
Your version of Excel allows you to read this threaded comment; however, any edits to it will get removed if the file is opened in a newer version of Excel. Learn more: https://go.microsoft.com/fwlink/?linkid=870924
Comment:
    Last Year Average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12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P127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P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D112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D127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D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  <comment authorId="0" ref="J112">
      <text>
        <t xml:space="preserve">======
ID#AAAB3yX9KCY
tc={7a7bc5be-b60a-4885-86f8-61dfe083936a}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Alenka</t>
      </text>
    </comment>
    <comment authorId="0" ref="J127">
      <text>
        <t xml:space="preserve">======
ID#AAAB3yX76cg
tc={ad848c0e-5b83-47ec-9965-1179e42657ff}    (2026-04-21 11:24:36)
[Threaded comment]
Your version of Excel allows you to read this threaded comment; however, any edits to it will get removed if the file is opened in a newer version of Excel. Learn more: https://go.microsoft.com/fwlink/?linkid=870924
Comment:
    DUE TO 5 WEDNESDAY</t>
      </text>
    </comment>
    <comment authorId="0" ref="J94">
      <text>
        <t xml:space="preserve">======
ID#AAAB3yX76cQ
tc={94b2377d-7549-4e44-aa1d-bb0446312e94}    (2026-04-21 11:24:36)
[Threaded comment]
Your version of Excel allows you to read this threaded comment; however, any edits to it will get removed if the file is opened in a newer version of Excel. Learn more: https://go.microsoft.com/fwlink/?linkid=870924
Comment:
    Check Bills</t>
      </text>
    </comment>
  </commentList>
</comments>
</file>

<file path=xl/sharedStrings.xml><?xml version="1.0" encoding="utf-8"?>
<sst xmlns="http://schemas.openxmlformats.org/spreadsheetml/2006/main" count="2714" uniqueCount="426">
  <si>
    <t>FY26-27 Budgeted vs Actual MIS</t>
  </si>
  <si>
    <t>Food Matters Group | FY26-27</t>
  </si>
  <si>
    <t>Total with HO  (Amount)</t>
  </si>
  <si>
    <t>HO</t>
  </si>
  <si>
    <t>Outlets Total</t>
  </si>
  <si>
    <t>Table Total</t>
  </si>
  <si>
    <t>Iktara</t>
  </si>
  <si>
    <t>Mg St Colaba</t>
  </si>
  <si>
    <t>Mg St LP</t>
  </si>
  <si>
    <t>Mg St Bandra</t>
  </si>
  <si>
    <t>MSK Events</t>
  </si>
  <si>
    <t>MSBC</t>
  </si>
  <si>
    <t>Kaspers</t>
  </si>
  <si>
    <t>MSBC Andheri</t>
  </si>
  <si>
    <t>MSBC Dahisar</t>
  </si>
  <si>
    <t>MSBC Juhu/Goregaon</t>
  </si>
  <si>
    <t>MSBC Loudmouth</t>
  </si>
  <si>
    <t>Amount</t>
  </si>
  <si>
    <t>%age</t>
  </si>
  <si>
    <t>Budgeted</t>
  </si>
  <si>
    <t>Actual</t>
  </si>
  <si>
    <t>Beverage</t>
  </si>
  <si>
    <t>Liquor</t>
  </si>
  <si>
    <t>Food</t>
  </si>
  <si>
    <t>Service Charge</t>
  </si>
  <si>
    <t>Scrap Sales</t>
  </si>
  <si>
    <t>Total Sales Revenue</t>
  </si>
  <si>
    <t>Average /Month</t>
  </si>
  <si>
    <t>COGS</t>
  </si>
  <si>
    <t>Packaging Cost</t>
  </si>
  <si>
    <t>Total COGS &amp; Packaging</t>
  </si>
  <si>
    <t>DEQ</t>
  </si>
  <si>
    <t>Gross Margin</t>
  </si>
  <si>
    <t>Other Direct Expenses</t>
  </si>
  <si>
    <t>Marketing Expenses</t>
  </si>
  <si>
    <t>Sales Commission</t>
  </si>
  <si>
    <t>Rental &amp; Utility Expenses</t>
  </si>
  <si>
    <t>Salary &amp; Staff Expenses</t>
  </si>
  <si>
    <t>Bank and Finance Charges</t>
  </si>
  <si>
    <t>Software and Subscription</t>
  </si>
  <si>
    <t>Other Outlet Costs</t>
  </si>
  <si>
    <t>Other Professional Fees</t>
  </si>
  <si>
    <t>Other Expenses</t>
  </si>
  <si>
    <t>Total Other Expenses</t>
  </si>
  <si>
    <t>EBIDTA</t>
  </si>
  <si>
    <t>Food Matters Group | Quarter 1 | FY26-27</t>
  </si>
  <si>
    <t>Total with HO</t>
  </si>
  <si>
    <t>Loud Mouth</t>
  </si>
  <si>
    <t>EBIDTA Margin</t>
  </si>
  <si>
    <t>Mg St Colaba Comparison</t>
  </si>
  <si>
    <t>Gross Margin %age</t>
  </si>
  <si>
    <t>EBITDA %age</t>
  </si>
  <si>
    <t>Restaurant Summary Data</t>
  </si>
  <si>
    <t>Brand Name</t>
  </si>
  <si>
    <t>Overall</t>
  </si>
  <si>
    <t>Mag St. Bandra</t>
  </si>
  <si>
    <t>Mag St. Colaba</t>
  </si>
  <si>
    <t>Mag St. Lower Parel</t>
  </si>
  <si>
    <t>Mag St. Bread Co. Bandra</t>
  </si>
  <si>
    <t>Mag St. Bread Co. Byculla</t>
  </si>
  <si>
    <t>Mag St. Bread Co. Colaba</t>
  </si>
  <si>
    <t>Mag St. Bread Co. Lower Parel</t>
  </si>
  <si>
    <t>Mag St. Bread Co. Andheri</t>
  </si>
  <si>
    <t>The Table Colaba</t>
  </si>
  <si>
    <t>Mg St Cafe - Colaba</t>
  </si>
  <si>
    <t>Sept 2024</t>
  </si>
  <si>
    <t>Category</t>
  </si>
  <si>
    <t>Total Sales</t>
  </si>
  <si>
    <t>Dining Sales</t>
  </si>
  <si>
    <t>Delivery Sales</t>
  </si>
  <si>
    <t>Others</t>
  </si>
  <si>
    <t>Covers</t>
  </si>
  <si>
    <t>APC</t>
  </si>
  <si>
    <t>Orders</t>
  </si>
  <si>
    <t>AOV</t>
  </si>
  <si>
    <t>Dine in Working</t>
  </si>
  <si>
    <t>Total Covers (Dine-in)</t>
  </si>
  <si>
    <t>12780050.75</t>
  </si>
  <si>
    <t>11218384.75</t>
  </si>
  <si>
    <t>1314270.00</t>
  </si>
  <si>
    <t>247396.00</t>
  </si>
  <si>
    <t>7526.00</t>
  </si>
  <si>
    <t>1491.62</t>
  </si>
  <si>
    <t>Total Delivery Orders (Swiggy, Zomato +)</t>
  </si>
  <si>
    <t>12280674.50</t>
  </si>
  <si>
    <t>10610962.00</t>
  </si>
  <si>
    <t>1431076.00</t>
  </si>
  <si>
    <t>238636.50</t>
  </si>
  <si>
    <t>7144.00</t>
  </si>
  <si>
    <t>1486.30</t>
  </si>
  <si>
    <t>Total Revenue - (Dine-in +Takeaway)</t>
  </si>
  <si>
    <t>13966088.25</t>
  </si>
  <si>
    <t>11894934.75</t>
  </si>
  <si>
    <t>1645414.00</t>
  </si>
  <si>
    <t>425739.50</t>
  </si>
  <si>
    <t>7634.00</t>
  </si>
  <si>
    <t>1559.15</t>
  </si>
  <si>
    <t>Total Revenue - (Delivery)</t>
  </si>
  <si>
    <t>13429240.00</t>
  </si>
  <si>
    <t>11164169.00</t>
  </si>
  <si>
    <t>1977000.00</t>
  </si>
  <si>
    <t>288071.00</t>
  </si>
  <si>
    <t>6608.00</t>
  </si>
  <si>
    <t>1690.49</t>
  </si>
  <si>
    <t>Total Check</t>
  </si>
  <si>
    <t>13496728.62</t>
  </si>
  <si>
    <t>11228215.50</t>
  </si>
  <si>
    <t>1984707.12</t>
  </si>
  <si>
    <t>283806.00</t>
  </si>
  <si>
    <t>6633.00</t>
  </si>
  <si>
    <t>1693.78</t>
  </si>
  <si>
    <t>AOV (Dine-in)</t>
  </si>
  <si>
    <t>13061755.45</t>
  </si>
  <si>
    <t>10720005.50</t>
  </si>
  <si>
    <t>2039306.95</t>
  </si>
  <si>
    <t>302443.00</t>
  </si>
  <si>
    <t>6458.00</t>
  </si>
  <si>
    <t>1660.96</t>
  </si>
  <si>
    <t>AOV (Delivery)</t>
  </si>
  <si>
    <t>15024612.69</t>
  </si>
  <si>
    <t>12552164.50</t>
  </si>
  <si>
    <t>2151840.69</t>
  </si>
  <si>
    <t>320607.50</t>
  </si>
  <si>
    <t>7370.00</t>
  </si>
  <si>
    <t>1704.14</t>
  </si>
  <si>
    <t>13499912.08</t>
  </si>
  <si>
    <t>11173286.50</t>
  </si>
  <si>
    <t>2056592.58</t>
  </si>
  <si>
    <t>270033.00</t>
  </si>
  <si>
    <t>6551.00</t>
  </si>
  <si>
    <t>1706.58</t>
  </si>
  <si>
    <t>Mg St Cafe - LP</t>
  </si>
  <si>
    <t>12042585.21</t>
  </si>
  <si>
    <t>9547877.50</t>
  </si>
  <si>
    <t>2163821.21</t>
  </si>
  <si>
    <t>330886.50</t>
  </si>
  <si>
    <t>5823.00</t>
  </si>
  <si>
    <t>1640.68</t>
  </si>
  <si>
    <t>13828343.92</t>
  </si>
  <si>
    <t>10913157.50</t>
  </si>
  <si>
    <t>2652789.92</t>
  </si>
  <si>
    <t>262396.50</t>
  </si>
  <si>
    <t>6514.00</t>
  </si>
  <si>
    <t>1676.34</t>
  </si>
  <si>
    <t>15361003.06</t>
  </si>
  <si>
    <t>12580908.00</t>
  </si>
  <si>
    <t>2496683.06</t>
  </si>
  <si>
    <t>283412.00</t>
  </si>
  <si>
    <t>7363.00</t>
  </si>
  <si>
    <t>1709.67</t>
  </si>
  <si>
    <t>16059929.84</t>
  </si>
  <si>
    <t>12748872.00</t>
  </si>
  <si>
    <t>2990357.84</t>
  </si>
  <si>
    <t>320700.00</t>
  </si>
  <si>
    <t>7332.00</t>
  </si>
  <si>
    <t>1739.80</t>
  </si>
  <si>
    <t>Mg St Cafe - Bandra</t>
  </si>
  <si>
    <t>The Table</t>
  </si>
  <si>
    <t>APC (Dine-in)</t>
  </si>
  <si>
    <t>c</t>
  </si>
  <si>
    <t>Food Matters Group</t>
  </si>
  <si>
    <t>MSBC Juhu / Goregaon</t>
  </si>
  <si>
    <t>Other revenue</t>
  </si>
  <si>
    <t>NC &amp; DQ</t>
  </si>
  <si>
    <t>Food Matters Group | Colaba Head Office</t>
  </si>
  <si>
    <t>Head</t>
  </si>
  <si>
    <t>Particulars</t>
  </si>
  <si>
    <t>April 2026</t>
  </si>
  <si>
    <t>May 2026</t>
  </si>
  <si>
    <t>June 2026</t>
  </si>
  <si>
    <t>Actual Amt</t>
  </si>
  <si>
    <t>Budgeted Amt</t>
  </si>
  <si>
    <t>Variance</t>
  </si>
  <si>
    <t>SALES</t>
  </si>
  <si>
    <t>Revenue - Total</t>
  </si>
  <si>
    <t>Dine In</t>
  </si>
  <si>
    <t>Delivery</t>
  </si>
  <si>
    <t>Events</t>
  </si>
  <si>
    <t>Packaging 5%</t>
  </si>
  <si>
    <t>Packaging 5% ( Online Sale )</t>
  </si>
  <si>
    <t>Food Sales</t>
  </si>
  <si>
    <t>Service Charge (Dinein + Bev + Liquor)</t>
  </si>
  <si>
    <t>Net Revenue</t>
  </si>
  <si>
    <t>FOC Sales</t>
  </si>
  <si>
    <t>NC Sales (%age)</t>
  </si>
  <si>
    <t>Total FOC Sales</t>
  </si>
  <si>
    <t>Expenses</t>
  </si>
  <si>
    <t>F&amp;B</t>
  </si>
  <si>
    <t>Bakery Cost</t>
  </si>
  <si>
    <t>Food Cost</t>
  </si>
  <si>
    <t>GST and MVAT on Purchases</t>
  </si>
  <si>
    <t>Total F &amp; B COGS</t>
  </si>
  <si>
    <t>Packaging</t>
  </si>
  <si>
    <t>Total COGS</t>
  </si>
  <si>
    <t>Other Direct Expenses (Not COGS)</t>
  </si>
  <si>
    <t>HOUSE KEEPING | Cleaning Material</t>
  </si>
  <si>
    <t>GAS &amp; COOKING SUPPLIES</t>
  </si>
  <si>
    <t>STATIONERY</t>
  </si>
  <si>
    <t>RESTAURANT SUPPLIES</t>
  </si>
  <si>
    <t>MISCELLANEOUS</t>
  </si>
  <si>
    <t>Total Others</t>
  </si>
  <si>
    <t>DEQ (Damaged / Expiry / Quality)</t>
  </si>
  <si>
    <t>NC Cost (%age)</t>
  </si>
  <si>
    <t xml:space="preserve">             </t>
  </si>
  <si>
    <t>Operating Expenses</t>
  </si>
  <si>
    <t>Marketing Expense and Sales Promotion</t>
  </si>
  <si>
    <t>Advertising &amp; Promotions (BOWLS) | Move Out</t>
  </si>
  <si>
    <t>Agency Fee | Restaverse</t>
  </si>
  <si>
    <t>Agency Fee | Plane Crazy (405 Associates)</t>
  </si>
  <si>
    <t>Agency Fee | SD Consultancy</t>
  </si>
  <si>
    <t>Agency Fee | Rakifi</t>
  </si>
  <si>
    <t>Marketing Spends | Gupshup</t>
  </si>
  <si>
    <t>Printing</t>
  </si>
  <si>
    <t>Photoshoots</t>
  </si>
  <si>
    <t>Ad Spends - Google &amp; Meta</t>
  </si>
  <si>
    <t>Commission - Eazy Diner</t>
  </si>
  <si>
    <t>Commission - Payment Gateway</t>
  </si>
  <si>
    <t>Commission Swiggy 15%</t>
  </si>
  <si>
    <t>Commission Zomato 14%</t>
  </si>
  <si>
    <t>Rental &amp; Utilitiy Expenses</t>
  </si>
  <si>
    <t>Rent</t>
  </si>
  <si>
    <t>Electricity Bill</t>
  </si>
  <si>
    <t>Water Charges</t>
  </si>
  <si>
    <t>Telephone &amp; Internet</t>
  </si>
  <si>
    <t>Casual Staff</t>
  </si>
  <si>
    <t>All Salaries</t>
  </si>
  <si>
    <t>Staff Expenses</t>
  </si>
  <si>
    <t>Recruitment Charges</t>
  </si>
  <si>
    <t>Staff Food</t>
  </si>
  <si>
    <t>Staff Rental</t>
  </si>
  <si>
    <t>Conveyance Expenses</t>
  </si>
  <si>
    <t>Hotel Accomodation</t>
  </si>
  <si>
    <t>Bonus</t>
  </si>
  <si>
    <t>OD Renewal</t>
  </si>
  <si>
    <t>Bank OD Interest Cost</t>
  </si>
  <si>
    <t>Bank Term Loan Interest Cost</t>
  </si>
  <si>
    <t>Cash Deposit  and other Charges</t>
  </si>
  <si>
    <t>EDC Rental</t>
  </si>
  <si>
    <t>Software &amp; Subscription Charges</t>
  </si>
  <si>
    <t>Computer Software Maintenance/Supplies</t>
  </si>
  <si>
    <t xml:space="preserve">Computer Software Maintenance/Supplies (AMC) </t>
  </si>
  <si>
    <t>Crockery Rental</t>
  </si>
  <si>
    <t>Delivery Expenses</t>
  </si>
  <si>
    <t>License Fees</t>
  </si>
  <si>
    <t>Liason Fees</t>
  </si>
  <si>
    <t>Vehicle Expenses</t>
  </si>
  <si>
    <t>Repairs &amp; Maintenance (AMC)</t>
  </si>
  <si>
    <t>Repairs &amp; Maintenance</t>
  </si>
  <si>
    <t>Farming Expenses</t>
  </si>
  <si>
    <t>Uniforms Costs</t>
  </si>
  <si>
    <t>Laundry Costs</t>
  </si>
  <si>
    <t>Kitchen Utensil &amp; CCG</t>
  </si>
  <si>
    <t>Parking Charges</t>
  </si>
  <si>
    <t>Legal Fees</t>
  </si>
  <si>
    <t>Professional Fees</t>
  </si>
  <si>
    <t xml:space="preserve">Director Expenses </t>
  </si>
  <si>
    <t>GST - Non Food - Outlet Wise</t>
  </si>
  <si>
    <t>Total Operating Expenses</t>
  </si>
  <si>
    <t>EBIDTA BEFORE ALLOCATIONS</t>
  </si>
  <si>
    <t>Food Matters Group | The Table</t>
  </si>
  <si>
    <t>Variance %age</t>
  </si>
  <si>
    <t>Restaverse Delivery Revenue</t>
  </si>
  <si>
    <t>Events (Including Honawar Reimbursement)</t>
  </si>
  <si>
    <t>Scrap sales (Oil)</t>
  </si>
  <si>
    <t>Food Cost (COGS)</t>
  </si>
  <si>
    <t>GST and MVAT on Consumption of COGS</t>
  </si>
  <si>
    <t>KITCHEN SUPPLIES</t>
  </si>
  <si>
    <t>STATIONERY &amp; PRINTING CHARGES</t>
  </si>
  <si>
    <t>Advertising &amp; Promotions</t>
  </si>
  <si>
    <t>Gupshup Whatsapp Marketing</t>
  </si>
  <si>
    <t>Reserve Go - VJYN SOLUTIONS</t>
  </si>
  <si>
    <t>Ad Spends Zomato / Swiggy</t>
  </si>
  <si>
    <t xml:space="preserve">Commission Swiggy </t>
  </si>
  <si>
    <t>Commission Zomato</t>
  </si>
  <si>
    <t>Chef Salary (50%)</t>
  </si>
  <si>
    <t>Medicine (Other Charges)</t>
  </si>
  <si>
    <t>Bank Charges</t>
  </si>
  <si>
    <t>Computer Software Maintenance/Supplies (AMC) POSIST</t>
  </si>
  <si>
    <t>Liason Fees (EXCISE 14K, HEALTH, WATER DEP)</t>
  </si>
  <si>
    <t>Other Repairs &amp; Maintainance</t>
  </si>
  <si>
    <t>Florist &amp; Decor</t>
  </si>
  <si>
    <t>Event Cost Management / ALL THINGS NICE</t>
  </si>
  <si>
    <t>Legal Fees (Including Stamp Duty)</t>
  </si>
  <si>
    <t>Director Expenses</t>
  </si>
  <si>
    <t>Food Matters Group | Iktara</t>
  </si>
  <si>
    <t>Ad Spends</t>
  </si>
  <si>
    <t>Restaverse - Ad Spends</t>
  </si>
  <si>
    <t>Commission Swiggy (10% +2% )+ GST 1st july Onwards..</t>
  </si>
  <si>
    <t>Commission Zomato (10% +2% )+ GST 1st july Onwards..</t>
  </si>
  <si>
    <t>Subscription Charges</t>
  </si>
  <si>
    <t>Motor Car Expenses</t>
  </si>
  <si>
    <t>Event Cost</t>
  </si>
  <si>
    <t>Accounting and Audit Fees</t>
  </si>
  <si>
    <t>Food Matters Group | Mag St Colaba</t>
  </si>
  <si>
    <t>Total Food</t>
  </si>
  <si>
    <t>GST and MVAT on Cost</t>
  </si>
  <si>
    <t>Gupshup Marketing Costs</t>
  </si>
  <si>
    <t>Ad Spends - Restaverse</t>
  </si>
  <si>
    <t>Agency Fees | Restaverse</t>
  </si>
  <si>
    <t>Ad Spends - Restaverse - MSBC</t>
  </si>
  <si>
    <t>Ad Spends - Google and Meta</t>
  </si>
  <si>
    <t xml:space="preserve">Subscription Charges </t>
  </si>
  <si>
    <t>Liason Fees (EXCISE AND HEALTH DEP, WATER DEP)</t>
  </si>
  <si>
    <t>Chef Fee - for Events</t>
  </si>
  <si>
    <t>Food Matters Group | Mag St LP</t>
  </si>
  <si>
    <t>Ad Spends- Restaverse (Mg St Cafe)</t>
  </si>
  <si>
    <t>Ad Spends- Restaverse (MSBC)</t>
  </si>
  <si>
    <t>Agency Fees- Restaverse</t>
  </si>
  <si>
    <t xml:space="preserve">Commission Zomato </t>
  </si>
  <si>
    <t>Rent (restaurant + store)</t>
  </si>
  <si>
    <t>Cam Charges</t>
  </si>
  <si>
    <t>Parking Charges (VALET SERVICES)</t>
  </si>
  <si>
    <t>Food Matters Group | Mag St Bandra</t>
  </si>
  <si>
    <t>Expenditure</t>
  </si>
  <si>
    <t>Gupshup Marketing Fees</t>
  </si>
  <si>
    <t>Commission Swiggy</t>
  </si>
  <si>
    <t>Store Rent</t>
  </si>
  <si>
    <t xml:space="preserve">CAM Charges </t>
  </si>
  <si>
    <t>Recutiment Expenses</t>
  </si>
  <si>
    <t>Liason Fees (EXCISE DEP)</t>
  </si>
  <si>
    <t>Other Professional fees</t>
  </si>
  <si>
    <t>Food Matters Group | MSK Events</t>
  </si>
  <si>
    <t>Total</t>
  </si>
  <si>
    <t>Podcast Production</t>
  </si>
  <si>
    <t>Contribution to PF Fund</t>
  </si>
  <si>
    <t>Liason Fees (BMC DEP, ONE DAY LICENSE)</t>
  </si>
  <si>
    <t>Chef Fee - for Events and event cost</t>
  </si>
  <si>
    <t>Consultancy Fees</t>
  </si>
  <si>
    <t>Food Matters Group | MSBC</t>
  </si>
  <si>
    <t>Byculla</t>
  </si>
  <si>
    <t>Event</t>
  </si>
  <si>
    <t>Shannen Salary</t>
  </si>
  <si>
    <t>Event Management Cost</t>
  </si>
  <si>
    <t>Transfer of All Other Costs to Other Outlet</t>
  </si>
  <si>
    <t>Food Matters Group | Kasper's</t>
  </si>
  <si>
    <t>- Dhaval Kapadia Raised For 3 Camera,mic &amp; Light Setup on 8th May 2026(on Contractual Basis)-1 Guest For Kaspers Bandra</t>
  </si>
  <si>
    <t xml:space="preserve">Rent + Society Maintenance </t>
  </si>
  <si>
    <t>William - 50% debited Salary</t>
  </si>
  <si>
    <t>Staff Expenses (RECRUITMENT)</t>
  </si>
  <si>
    <t xml:space="preserve">Bank Charges </t>
  </si>
  <si>
    <t>Commission &amp; Brokerage</t>
  </si>
  <si>
    <t xml:space="preserve">Legal Fees </t>
  </si>
  <si>
    <t>Food Matters Group | MSBC Andheri - Kytchens</t>
  </si>
  <si>
    <t>Kytchens - Andheri - Swiggy</t>
  </si>
  <si>
    <t>Kytchens - Andheri - Zomato</t>
  </si>
  <si>
    <t>Restaverse Ads</t>
  </si>
  <si>
    <t>Aggregator Refund and Penalty Swiggy</t>
  </si>
  <si>
    <t>Aggregator Refund and Penalty Zomato</t>
  </si>
  <si>
    <t>HyprKytchens Commissions</t>
  </si>
  <si>
    <t>Delivery Expenses/ Freight</t>
  </si>
  <si>
    <t>Food Matters Group | MSBC Dahisar - Kytchens</t>
  </si>
  <si>
    <t>Kytchens - Dahisar - Swiggy</t>
  </si>
  <si>
    <t>Kytchens - Dahisar - Zomato</t>
  </si>
  <si>
    <t>FY 26-27 Budgeted vs Actual MIS</t>
  </si>
  <si>
    <t>Food Matters Group | MSBC Juhu / Goregoan- Kytchens</t>
  </si>
  <si>
    <t>Kytchens - Juhu - Swiggy</t>
  </si>
  <si>
    <t>Kytchens - Juhu - Zomato</t>
  </si>
  <si>
    <t>MSBC CK Allocation</t>
  </si>
  <si>
    <t>Total NC &amp; DEQ</t>
  </si>
  <si>
    <t>Food Matters Group | Bowls</t>
  </si>
  <si>
    <t>Delivery ( Online Sale )</t>
  </si>
  <si>
    <t>Kytchens Commissions</t>
  </si>
  <si>
    <t>Rent (EQUIPMENT)</t>
  </si>
  <si>
    <t>Professional fess  Chef Spencer</t>
  </si>
  <si>
    <t>MSBC Co Summary</t>
  </si>
  <si>
    <t>DEQ &amp; NC</t>
  </si>
  <si>
    <t>Targets Setting</t>
  </si>
  <si>
    <t>Table (incld SC)</t>
  </si>
  <si>
    <t>SC</t>
  </si>
  <si>
    <t>Old Table Target</t>
  </si>
  <si>
    <t>Q3 FY24-25</t>
  </si>
  <si>
    <t>Revised Target</t>
  </si>
  <si>
    <t>Days</t>
  </si>
  <si>
    <t>Avg p day</t>
  </si>
  <si>
    <t>Q3</t>
  </si>
  <si>
    <t>Q3 (FY24-25)</t>
  </si>
  <si>
    <t>Table</t>
  </si>
  <si>
    <t>Mg St Bandra (Old)</t>
  </si>
  <si>
    <t>Mg St Lodha</t>
  </si>
  <si>
    <t>Avg per day</t>
  </si>
  <si>
    <t>Mg St Colaba (Old)</t>
  </si>
  <si>
    <t>LP</t>
  </si>
  <si>
    <t>Mg St Lodha (Old)</t>
  </si>
  <si>
    <t>Last Years Base for each month - Oct - Dec 2025 and increase by 5%</t>
  </si>
  <si>
    <t>Calculation Sheet for GST on Purchases</t>
  </si>
  <si>
    <t>April'26</t>
  </si>
  <si>
    <t>May'26</t>
  </si>
  <si>
    <t>Total GST on Purchases</t>
  </si>
  <si>
    <t>Total Purchases Outlet Level</t>
  </si>
  <si>
    <t>Total Overall Purchases</t>
  </si>
  <si>
    <t>GST Alloc to Outlet</t>
  </si>
  <si>
    <t>MSBC Dahisar  / Borivali</t>
  </si>
  <si>
    <t>MSBC Juhu</t>
  </si>
  <si>
    <t>Sales Summary (Incl Serv Charge)</t>
  </si>
  <si>
    <t>COGS for MSBC Per Outlet</t>
  </si>
  <si>
    <t>Jun'26</t>
  </si>
  <si>
    <t>MSBC Operating Cost</t>
  </si>
  <si>
    <t>Monthly Allocation of Op Cost</t>
  </si>
  <si>
    <t>Total COGS Allocation</t>
  </si>
  <si>
    <t>Total Transfer Out of MSBC</t>
  </si>
  <si>
    <t>Mg St Bandra - Comparison</t>
  </si>
  <si>
    <t>Oct 25</t>
  </si>
  <si>
    <t>Nov 25</t>
  </si>
  <si>
    <t>Dec 25</t>
  </si>
  <si>
    <t>NC &amp; DEQ</t>
  </si>
  <si>
    <t>Mg St LP MIS - FY25-26 Snapshot</t>
  </si>
  <si>
    <t>Aug 25</t>
  </si>
  <si>
    <t>Sep 25</t>
  </si>
  <si>
    <t>Dec25</t>
  </si>
  <si>
    <t>Avg Sale</t>
  </si>
  <si>
    <t>Avg EBIDTA</t>
  </si>
  <si>
    <t>`</t>
  </si>
  <si>
    <t>Avg EBIDTA %</t>
  </si>
  <si>
    <t>MIS FY25-26 - Comparative (Upto Feb,2026)</t>
  </si>
  <si>
    <t>Jan 26</t>
  </si>
  <si>
    <t>Feb 26</t>
  </si>
  <si>
    <t xml:space="preserve">YTD </t>
  </si>
  <si>
    <t>% achieved</t>
  </si>
  <si>
    <t>Sales</t>
  </si>
  <si>
    <t>% to sales</t>
  </si>
  <si>
    <t>Total  Revenue</t>
  </si>
  <si>
    <t>Repairs &amp; Maintainance</t>
  </si>
  <si>
    <t xml:space="preserve">Event Cost Management </t>
  </si>
  <si>
    <t xml:space="preserve">Note : </t>
  </si>
  <si>
    <t>- Kaspers opened on 12th November,2025</t>
  </si>
  <si>
    <t>- No Budget for this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</si>
</sst>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* #,##0.00_ ;_ * \-#,##0.00_ ;_ * &quot;-&quot;??_ ;_ @_ "/>
    <numFmt numFmtId="165" formatCode="_ * #,##0_ ;_ * \-#,##0_ ;_ * &quot;-&quot;??_ ;_ @_ "/>
    <numFmt numFmtId="166" formatCode="mmmm\ yyyy"/>
    <numFmt numFmtId="167" formatCode="mmmm\-yyyy"/>
    <numFmt numFmtId="168" formatCode="mmm\ yyyy"/>
    <numFmt numFmtId="169" formatCode="#,##0;\(#,##0\)"/>
    <numFmt numFmtId="170" formatCode="mmm\ d"/>
  </numFmts>
  <fonts count="54">
    <font>
      <sz val="10.0"/>
      <color rgb="FF000000"/>
      <name val="Arial"/>
      <scheme val="minor"/>
    </font>
    <font>
      <b/>
      <u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rgb="FF000000"/>
      <name val="Calibri"/>
    </font>
    <font>
      <b/>
      <u/>
      <sz val="10.0"/>
      <color theme="1"/>
      <name val="Arial"/>
    </font>
    <font>
      <sz val="12.0"/>
      <color theme="1"/>
      <name val="Calibri"/>
    </font>
    <font>
      <sz val="12.0"/>
      <color rgb="FFFFFFFF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u/>
      <sz val="12.0"/>
      <color theme="1"/>
      <name val="Calibri"/>
    </font>
    <font>
      <b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Aptos Narrow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1.0"/>
      <color theme="1"/>
      <name val="Aptos Narrow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0.0"/>
      <color theme="1"/>
      <name val="Calibri"/>
    </font>
    <font>
      <sz val="11.0"/>
      <color theme="1"/>
      <name val="Arial"/>
    </font>
    <font>
      <b/>
      <u/>
      <sz val="12.0"/>
      <color theme="1"/>
      <name val="Calibri"/>
    </font>
    <font>
      <b/>
      <sz val="10.0"/>
      <color rgb="FF000000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u/>
      <sz val="12.0"/>
      <color theme="1"/>
      <name val="Calibri"/>
    </font>
    <font>
      <b/>
      <u/>
      <sz val="11.0"/>
      <color theme="1"/>
      <name val="Calibri"/>
    </font>
    <font>
      <b/>
      <sz val="11.0"/>
      <color rgb="FFFFFF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2.0"/>
      <color theme="0"/>
      <name val="Calibri"/>
    </font>
    <font>
      <b/>
      <u/>
      <sz val="12.0"/>
      <color theme="1"/>
      <name val="Calibri"/>
    </font>
    <font>
      <sz val="10.0"/>
      <color rgb="FF16191F"/>
      <name val="Arial"/>
    </font>
    <font>
      <b/>
      <u/>
      <sz val="12.0"/>
      <color theme="1"/>
      <name val="Calibri"/>
    </font>
    <font>
      <b/>
      <u/>
      <sz val="12.0"/>
      <color theme="1"/>
      <name val="Calibri"/>
    </font>
    <font>
      <sz val="12.0"/>
      <color theme="0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2F5496"/>
        <bgColor rgb="FF2F5496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5A5A5"/>
        <bgColor rgb="FFA5A5A5"/>
      </patternFill>
    </fill>
  </fills>
  <borders count="125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</border>
    <border>
      <left/>
      <right style="thin">
        <color rgb="FFC7C7C7"/>
      </right>
      <top style="thin">
        <color rgb="FFC7C7C7"/>
      </top>
      <bottom style="thin">
        <color rgb="FFC7C7C7"/>
      </bottom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top/>
    </border>
    <border>
      <left style="medium">
        <color rgb="FF000000"/>
      </left>
      <bottom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right style="thin">
        <color rgb="FF000000"/>
      </right>
      <bottom/>
    </border>
    <border>
      <left style="medium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top/>
    </border>
    <border>
      <left style="thin">
        <color rgb="FF000000"/>
      </left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hair">
        <color rgb="FFFF0000"/>
      </left>
      <top style="hair">
        <color rgb="FFFF0000"/>
      </top>
      <bottom style="hair">
        <color rgb="FFFF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2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2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2" fontId="4" numFmtId="0" xfId="0" applyBorder="1" applyFont="1"/>
    <xf borderId="10" fillId="2" fontId="4" numFmtId="0" xfId="0" applyAlignment="1" applyBorder="1" applyFont="1">
      <alignment horizontal="center"/>
    </xf>
    <xf borderId="11" fillId="2" fontId="4" numFmtId="0" xfId="0" applyAlignment="1" applyBorder="1" applyFont="1">
      <alignment horizontal="center"/>
    </xf>
    <xf borderId="12" fillId="2" fontId="4" numFmtId="0" xfId="0" applyAlignment="1" applyBorder="1" applyFont="1">
      <alignment horizontal="center"/>
    </xf>
    <xf borderId="13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/>
    </xf>
    <xf borderId="15" fillId="2" fontId="4" numFmtId="0" xfId="0" applyBorder="1" applyFont="1"/>
    <xf borderId="16" fillId="2" fontId="3" numFmtId="3" xfId="0" applyBorder="1" applyFont="1" applyNumberFormat="1"/>
    <xf borderId="17" fillId="2" fontId="3" numFmtId="10" xfId="0" applyBorder="1" applyFont="1" applyNumberFormat="1"/>
    <xf borderId="17" fillId="2" fontId="3" numFmtId="3" xfId="0" applyBorder="1" applyFont="1" applyNumberFormat="1"/>
    <xf borderId="18" fillId="2" fontId="3" numFmtId="10" xfId="0" applyBorder="1" applyFont="1" applyNumberFormat="1"/>
    <xf borderId="19" fillId="0" fontId="3" numFmtId="164" xfId="0" applyBorder="1" applyFont="1" applyNumberFormat="1"/>
    <xf borderId="20" fillId="0" fontId="3" numFmtId="0" xfId="0" applyBorder="1" applyFont="1"/>
    <xf borderId="20" fillId="0" fontId="3" numFmtId="164" xfId="0" applyBorder="1" applyFont="1" applyNumberFormat="1"/>
    <xf borderId="21" fillId="2" fontId="3" numFmtId="3" xfId="0" applyBorder="1" applyFont="1" applyNumberFormat="1"/>
    <xf borderId="22" fillId="2" fontId="3" numFmtId="10" xfId="0" applyBorder="1" applyFont="1" applyNumberFormat="1"/>
    <xf borderId="19" fillId="0" fontId="3" numFmtId="3" xfId="0" applyBorder="1" applyFont="1" applyNumberFormat="1"/>
    <xf borderId="23" fillId="0" fontId="3" numFmtId="10" xfId="0" applyBorder="1" applyFont="1" applyNumberFormat="1"/>
    <xf borderId="20" fillId="0" fontId="3" numFmtId="3" xfId="0" applyBorder="1" applyFont="1" applyNumberFormat="1"/>
    <xf borderId="23" fillId="0" fontId="3" numFmtId="0" xfId="0" applyBorder="1" applyFont="1"/>
    <xf borderId="19" fillId="0" fontId="3" numFmtId="165" xfId="0" applyBorder="1" applyFont="1" applyNumberFormat="1"/>
    <xf borderId="16" fillId="0" fontId="3" numFmtId="165" xfId="0" applyBorder="1" applyFont="1" applyNumberFormat="1"/>
    <xf borderId="24" fillId="2" fontId="4" numFmtId="0" xfId="0" applyBorder="1" applyFont="1"/>
    <xf borderId="25" fillId="2" fontId="3" numFmtId="3" xfId="0" applyBorder="1" applyFont="1" applyNumberFormat="1"/>
    <xf borderId="26" fillId="2" fontId="3" numFmtId="10" xfId="0" applyBorder="1" applyFont="1" applyNumberFormat="1"/>
    <xf borderId="25" fillId="0" fontId="3" numFmtId="0" xfId="0" applyBorder="1" applyFont="1"/>
    <xf borderId="27" fillId="2" fontId="3" numFmtId="10" xfId="0" applyBorder="1" applyFont="1" applyNumberFormat="1"/>
    <xf borderId="26" fillId="0" fontId="3" numFmtId="10" xfId="0" applyBorder="1" applyFont="1" applyNumberFormat="1"/>
    <xf borderId="16" fillId="0" fontId="3" numFmtId="3" xfId="0" applyBorder="1" applyFont="1" applyNumberFormat="1"/>
    <xf borderId="26" fillId="0" fontId="3" numFmtId="0" xfId="0" applyBorder="1" applyFont="1"/>
    <xf borderId="25" fillId="0" fontId="3" numFmtId="3" xfId="0" applyBorder="1" applyFont="1" applyNumberFormat="1"/>
    <xf borderId="28" fillId="2" fontId="4" numFmtId="0" xfId="0" applyBorder="1" applyFont="1"/>
    <xf borderId="29" fillId="2" fontId="3" numFmtId="3" xfId="0" applyBorder="1" applyFont="1" applyNumberFormat="1"/>
    <xf borderId="30" fillId="2" fontId="3" numFmtId="3" xfId="0" applyBorder="1" applyFont="1" applyNumberFormat="1"/>
    <xf borderId="31" fillId="2" fontId="3" numFmtId="10" xfId="0" applyBorder="1" applyFont="1" applyNumberFormat="1"/>
    <xf borderId="32" fillId="0" fontId="3" numFmtId="0" xfId="0" applyBorder="1" applyFont="1"/>
    <xf borderId="33" fillId="2" fontId="3" numFmtId="10" xfId="0" applyBorder="1" applyFont="1" applyNumberFormat="1"/>
    <xf borderId="34" fillId="0" fontId="3" numFmtId="10" xfId="0" applyBorder="1" applyFont="1" applyNumberFormat="1"/>
    <xf borderId="34" fillId="0" fontId="3" numFmtId="0" xfId="0" applyBorder="1" applyFont="1"/>
    <xf borderId="35" fillId="0" fontId="3" numFmtId="165" xfId="0" applyBorder="1" applyFont="1" applyNumberFormat="1"/>
    <xf borderId="36" fillId="0" fontId="3" numFmtId="3" xfId="0" applyBorder="1" applyFont="1" applyNumberFormat="1"/>
    <xf borderId="13" fillId="2" fontId="4" numFmtId="3" xfId="0" applyBorder="1" applyFont="1" applyNumberFormat="1"/>
    <xf borderId="11" fillId="2" fontId="4" numFmtId="10" xfId="0" applyBorder="1" applyFont="1" applyNumberFormat="1"/>
    <xf borderId="11" fillId="2" fontId="4" numFmtId="3" xfId="0" applyBorder="1" applyFont="1" applyNumberFormat="1"/>
    <xf borderId="11" fillId="2" fontId="4" numFmtId="0" xfId="0" applyBorder="1" applyFont="1"/>
    <xf borderId="10" fillId="2" fontId="4" numFmtId="3" xfId="0" applyBorder="1" applyFont="1" applyNumberFormat="1"/>
    <xf borderId="14" fillId="2" fontId="4" numFmtId="10" xfId="0" applyBorder="1" applyFont="1" applyNumberFormat="1"/>
    <xf borderId="10" fillId="2" fontId="4" numFmtId="0" xfId="0" applyBorder="1" applyFont="1"/>
    <xf borderId="12" fillId="2" fontId="4" numFmtId="0" xfId="0" applyBorder="1" applyFont="1"/>
    <xf borderId="13" fillId="2" fontId="4" numFmtId="165" xfId="0" applyBorder="1" applyFont="1" applyNumberFormat="1"/>
    <xf borderId="11" fillId="2" fontId="4" numFmtId="165" xfId="0" applyBorder="1" applyFont="1" applyNumberFormat="1"/>
    <xf borderId="13" fillId="3" fontId="6" numFmtId="165" xfId="0" applyBorder="1" applyFill="1" applyFont="1" applyNumberFormat="1"/>
    <xf borderId="11" fillId="3" fontId="6" numFmtId="165" xfId="0" applyBorder="1" applyFont="1" applyNumberFormat="1"/>
    <xf borderId="12" fillId="3" fontId="3" numFmtId="165" xfId="0" applyBorder="1" applyFont="1" applyNumberFormat="1"/>
    <xf borderId="13" fillId="3" fontId="3" numFmtId="165" xfId="0" applyBorder="1" applyFont="1" applyNumberFormat="1"/>
    <xf borderId="11" fillId="3" fontId="3" numFmtId="165" xfId="0" applyBorder="1" applyFont="1" applyNumberFormat="1"/>
    <xf borderId="10" fillId="3" fontId="3" numFmtId="165" xfId="0" applyBorder="1" applyFont="1" applyNumberFormat="1"/>
    <xf borderId="14" fillId="3" fontId="3" numFmtId="165" xfId="0" applyBorder="1" applyFont="1" applyNumberFormat="1"/>
    <xf borderId="37" fillId="3" fontId="3" numFmtId="165" xfId="0" applyBorder="1" applyFont="1" applyNumberFormat="1"/>
    <xf borderId="38" fillId="2" fontId="3" numFmtId="3" xfId="0" applyBorder="1" applyFont="1" applyNumberFormat="1"/>
    <xf borderId="20" fillId="0" fontId="3" numFmtId="10" xfId="0" applyBorder="1" applyFont="1" applyNumberFormat="1"/>
    <xf borderId="20" fillId="0" fontId="3" numFmtId="165" xfId="0" applyBorder="1" applyFont="1" applyNumberFormat="1"/>
    <xf borderId="25" fillId="2" fontId="3" numFmtId="10" xfId="0" applyBorder="1" applyFont="1" applyNumberFormat="1"/>
    <xf borderId="39" fillId="0" fontId="3" numFmtId="164" xfId="0" applyBorder="1" applyFont="1" applyNumberFormat="1"/>
    <xf borderId="32" fillId="0" fontId="3" numFmtId="3" xfId="0" applyBorder="1" applyFont="1" applyNumberFormat="1"/>
    <xf borderId="35" fillId="0" fontId="3" numFmtId="3" xfId="0" applyBorder="1" applyFont="1" applyNumberFormat="1"/>
    <xf borderId="32" fillId="0" fontId="3" numFmtId="165" xfId="0" applyBorder="1" applyFont="1" applyNumberFormat="1"/>
    <xf borderId="12" fillId="2" fontId="4" numFmtId="10" xfId="0" applyBorder="1" applyFont="1" applyNumberFormat="1"/>
    <xf borderId="9" fillId="4" fontId="3" numFmtId="164" xfId="0" applyBorder="1" applyFill="1" applyFont="1" applyNumberFormat="1"/>
    <xf borderId="10" fillId="2" fontId="4" numFmtId="10" xfId="0" applyBorder="1" applyFont="1" applyNumberFormat="1"/>
    <xf borderId="9" fillId="4" fontId="4" numFmtId="3" xfId="0" applyBorder="1" applyFont="1" applyNumberFormat="1"/>
    <xf borderId="40" fillId="2" fontId="4" numFmtId="10" xfId="0" applyBorder="1" applyFont="1" applyNumberFormat="1"/>
    <xf borderId="41" fillId="2" fontId="4" numFmtId="0" xfId="0" applyBorder="1" applyFont="1"/>
    <xf borderId="42" fillId="2" fontId="3" numFmtId="0" xfId="0" applyBorder="1" applyFont="1"/>
    <xf borderId="43" fillId="2" fontId="3" numFmtId="0" xfId="0" applyBorder="1" applyFont="1"/>
    <xf borderId="43" fillId="2" fontId="3" numFmtId="3" xfId="0" applyBorder="1" applyFont="1" applyNumberFormat="1"/>
    <xf borderId="44" fillId="2" fontId="3" numFmtId="0" xfId="0" applyBorder="1" applyFont="1"/>
    <xf borderId="36" fillId="0" fontId="3" numFmtId="165" xfId="0" applyBorder="1" applyFont="1" applyNumberFormat="1"/>
    <xf borderId="39" fillId="0" fontId="3" numFmtId="165" xfId="0" applyBorder="1" applyFont="1" applyNumberFormat="1"/>
    <xf borderId="45" fillId="2" fontId="3" numFmtId="0" xfId="0" applyBorder="1" applyFont="1"/>
    <xf borderId="46" fillId="2" fontId="3" numFmtId="0" xfId="0" applyBorder="1" applyFont="1"/>
    <xf borderId="39" fillId="0" fontId="3" numFmtId="0" xfId="0" applyBorder="1" applyFont="1"/>
    <xf borderId="39" fillId="0" fontId="3" numFmtId="3" xfId="0" applyBorder="1" applyFont="1" applyNumberFormat="1"/>
    <xf borderId="47" fillId="0" fontId="3" numFmtId="0" xfId="0" applyBorder="1" applyFont="1"/>
    <xf borderId="36" fillId="0" fontId="3" numFmtId="0" xfId="0" applyBorder="1" applyFont="1"/>
    <xf borderId="0" fillId="0" fontId="7" numFmtId="0" xfId="0" applyFont="1"/>
    <xf borderId="9" fillId="3" fontId="4" numFmtId="0" xfId="0" applyBorder="1" applyFont="1"/>
    <xf borderId="13" fillId="3" fontId="4" numFmtId="3" xfId="0" applyBorder="1" applyFont="1" applyNumberFormat="1"/>
    <xf borderId="11" fillId="3" fontId="4" numFmtId="10" xfId="0" applyBorder="1" applyFont="1" applyNumberFormat="1"/>
    <xf borderId="11" fillId="3" fontId="4" numFmtId="3" xfId="0" applyBorder="1" applyFont="1" applyNumberFormat="1"/>
    <xf borderId="12" fillId="3" fontId="4" numFmtId="10" xfId="0" applyBorder="1" applyFont="1" applyNumberFormat="1"/>
    <xf borderId="48" fillId="3" fontId="4" numFmtId="3" xfId="0" applyBorder="1" applyFont="1" applyNumberFormat="1"/>
    <xf borderId="14" fillId="3" fontId="4" numFmtId="10" xfId="0" applyBorder="1" applyFont="1" applyNumberFormat="1"/>
    <xf borderId="49" fillId="3" fontId="4" numFmtId="10" xfId="0" applyBorder="1" applyFont="1" applyNumberFormat="1"/>
    <xf borderId="12" fillId="3" fontId="4" numFmtId="0" xfId="0" applyBorder="1" applyFont="1"/>
    <xf borderId="11" fillId="3" fontId="4" numFmtId="0" xfId="0" applyBorder="1" applyFont="1"/>
    <xf borderId="11" fillId="3" fontId="4" numFmtId="165" xfId="0" applyBorder="1" applyFont="1" applyNumberFormat="1"/>
    <xf borderId="13" fillId="0" fontId="3" numFmtId="3" xfId="0" applyBorder="1" applyFont="1" applyNumberFormat="1"/>
    <xf borderId="11" fillId="0" fontId="4" numFmtId="10" xfId="0" applyBorder="1" applyFont="1" applyNumberFormat="1"/>
    <xf borderId="11" fillId="0" fontId="4" numFmtId="3" xfId="0" applyBorder="1" applyFont="1" applyNumberFormat="1"/>
    <xf borderId="12" fillId="0" fontId="4" numFmtId="10" xfId="0" applyBorder="1" applyFont="1" applyNumberFormat="1"/>
    <xf borderId="12" fillId="0" fontId="4" numFmtId="0" xfId="0" applyBorder="1" applyFont="1"/>
    <xf borderId="11" fillId="0" fontId="4" numFmtId="165" xfId="0" applyBorder="1" applyFont="1" applyNumberFormat="1"/>
    <xf borderId="11" fillId="0" fontId="4" numFmtId="0" xfId="0" applyBorder="1" applyFont="1"/>
    <xf borderId="13" fillId="0" fontId="4" numFmtId="3" xfId="0" applyBorder="1" applyFont="1" applyNumberFormat="1"/>
    <xf borderId="13" fillId="0" fontId="4" numFmtId="165" xfId="0" applyBorder="1" applyFont="1" applyNumberFormat="1"/>
    <xf borderId="0" fillId="0" fontId="8" numFmtId="3" xfId="0" applyFont="1" applyNumberFormat="1"/>
    <xf borderId="0" fillId="0" fontId="8" numFmtId="10" xfId="0" applyFont="1" applyNumberFormat="1"/>
    <xf borderId="0" fillId="0" fontId="8" numFmtId="165" xfId="0" applyFont="1" applyNumberFormat="1"/>
    <xf borderId="0" fillId="0" fontId="9" numFmtId="9" xfId="0" applyFont="1" applyNumberFormat="1"/>
    <xf borderId="0" fillId="0" fontId="9" numFmtId="3" xfId="0" applyFont="1" applyNumberFormat="1"/>
    <xf borderId="0" fillId="0" fontId="9" numFmtId="0" xfId="0" applyFont="1"/>
    <xf borderId="0" fillId="0" fontId="9" numFmtId="165" xfId="0" applyFont="1" applyNumberFormat="1"/>
    <xf borderId="0" fillId="0" fontId="8" numFmtId="0" xfId="0" applyFont="1"/>
    <xf borderId="2" fillId="2" fontId="7" numFmtId="0" xfId="0" applyAlignment="1" applyBorder="1" applyFont="1">
      <alignment horizontal="center"/>
    </xf>
    <xf borderId="50" fillId="2" fontId="7" numFmtId="0" xfId="0" applyAlignment="1" applyBorder="1" applyFont="1">
      <alignment horizontal="center"/>
    </xf>
    <xf borderId="51" fillId="0" fontId="5" numFmtId="0" xfId="0" applyBorder="1" applyFont="1"/>
    <xf borderId="3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13" fillId="2" fontId="7" numFmtId="0" xfId="0" applyAlignment="1" applyBorder="1" applyFont="1">
      <alignment horizontal="center"/>
    </xf>
    <xf borderId="11" fillId="2" fontId="7" numFmtId="0" xfId="0" applyAlignment="1" applyBorder="1" applyFont="1">
      <alignment horizontal="center"/>
    </xf>
    <xf borderId="12" fillId="2" fontId="7" numFmtId="0" xfId="0" applyAlignment="1" applyBorder="1" applyFont="1">
      <alignment horizontal="center"/>
    </xf>
    <xf borderId="10" fillId="2" fontId="7" numFmtId="0" xfId="0" applyAlignment="1" applyBorder="1" applyFont="1">
      <alignment horizontal="center"/>
    </xf>
    <xf borderId="52" fillId="2" fontId="7" numFmtId="0" xfId="0" applyAlignment="1" applyBorder="1" applyFont="1">
      <alignment horizontal="center"/>
    </xf>
    <xf borderId="6" fillId="2" fontId="7" numFmtId="0" xfId="0" applyAlignment="1" applyBorder="1" applyFont="1">
      <alignment horizontal="center"/>
    </xf>
    <xf borderId="8" fillId="2" fontId="7" numFmtId="0" xfId="0" applyAlignment="1" applyBorder="1" applyFont="1">
      <alignment horizontal="center"/>
    </xf>
    <xf borderId="53" fillId="2" fontId="7" numFmtId="0" xfId="0" applyBorder="1" applyFont="1"/>
    <xf borderId="54" fillId="0" fontId="3" numFmtId="165" xfId="0" applyBorder="1" applyFont="1" applyNumberFormat="1"/>
    <xf borderId="55" fillId="0" fontId="3" numFmtId="165" xfId="0" applyBorder="1" applyFont="1" applyNumberFormat="1"/>
    <xf borderId="17" fillId="2" fontId="3" numFmtId="0" xfId="0" applyBorder="1" applyFont="1"/>
    <xf borderId="18" fillId="2" fontId="3" numFmtId="0" xfId="0" applyBorder="1" applyFont="1"/>
    <xf borderId="56" fillId="0" fontId="3" numFmtId="3" xfId="0" applyBorder="1" applyFont="1" applyNumberFormat="1"/>
    <xf borderId="57" fillId="0" fontId="3" numFmtId="0" xfId="0" applyBorder="1" applyFont="1"/>
    <xf borderId="58" fillId="0" fontId="3" numFmtId="3" xfId="0" applyBorder="1" applyFont="1" applyNumberFormat="1"/>
    <xf borderId="59" fillId="0" fontId="3" numFmtId="3" xfId="0" applyBorder="1" applyFont="1" applyNumberFormat="1"/>
    <xf borderId="24" fillId="2" fontId="7" numFmtId="0" xfId="0" applyBorder="1" applyFont="1"/>
    <xf borderId="25" fillId="0" fontId="3" numFmtId="165" xfId="0" applyBorder="1" applyFont="1" applyNumberFormat="1"/>
    <xf borderId="60" fillId="0" fontId="3" numFmtId="165" xfId="0" applyBorder="1" applyFont="1" applyNumberFormat="1"/>
    <xf borderId="25" fillId="2" fontId="3" numFmtId="0" xfId="0" applyBorder="1" applyFont="1"/>
    <xf borderId="26" fillId="2" fontId="3" numFmtId="0" xfId="0" applyBorder="1" applyFont="1"/>
    <xf borderId="61" fillId="0" fontId="3" numFmtId="0" xfId="0" applyBorder="1" applyFont="1"/>
    <xf borderId="62" fillId="0" fontId="3" numFmtId="165" xfId="0" applyBorder="1" applyFont="1" applyNumberFormat="1"/>
    <xf borderId="28" fillId="2" fontId="7" numFmtId="0" xfId="0" applyBorder="1" applyFont="1"/>
    <xf borderId="30" fillId="2" fontId="3" numFmtId="0" xfId="0" applyBorder="1" applyFont="1"/>
    <xf borderId="31" fillId="2" fontId="3" numFmtId="0" xfId="0" applyBorder="1" applyFont="1"/>
    <xf borderId="63" fillId="0" fontId="3" numFmtId="0" xfId="0" applyBorder="1" applyFont="1"/>
    <xf borderId="64" fillId="0" fontId="3" numFmtId="165" xfId="0" applyBorder="1" applyFont="1" applyNumberFormat="1"/>
    <xf borderId="9" fillId="2" fontId="7" numFmtId="0" xfId="0" applyBorder="1" applyFont="1"/>
    <xf borderId="11" fillId="2" fontId="7" numFmtId="3" xfId="0" applyBorder="1" applyFont="1" applyNumberFormat="1"/>
    <xf borderId="52" fillId="2" fontId="4" numFmtId="165" xfId="0" applyBorder="1" applyFont="1" applyNumberFormat="1"/>
    <xf borderId="12" fillId="2" fontId="4" numFmtId="165" xfId="0" applyBorder="1" applyFont="1" applyNumberFormat="1"/>
    <xf borderId="13" fillId="2" fontId="7" numFmtId="3" xfId="0" applyBorder="1" applyFont="1" applyNumberFormat="1"/>
    <xf borderId="6" fillId="2" fontId="7" numFmtId="3" xfId="0" applyBorder="1" applyFont="1" applyNumberFormat="1"/>
    <xf borderId="8" fillId="2" fontId="7" numFmtId="3" xfId="0" applyBorder="1" applyFont="1" applyNumberFormat="1"/>
    <xf borderId="5" fillId="2" fontId="7" numFmtId="3" xfId="0" applyBorder="1" applyFont="1" applyNumberFormat="1"/>
    <xf borderId="8" fillId="2" fontId="4" numFmtId="0" xfId="0" applyBorder="1" applyFont="1"/>
    <xf borderId="5" fillId="2" fontId="4" numFmtId="3" xfId="0" applyBorder="1" applyFont="1" applyNumberFormat="1"/>
    <xf borderId="15" fillId="2" fontId="7" numFmtId="0" xfId="0" applyBorder="1" applyFont="1"/>
    <xf borderId="38" fillId="2" fontId="3" numFmtId="0" xfId="0" applyBorder="1" applyFont="1"/>
    <xf borderId="56" fillId="0" fontId="3" numFmtId="0" xfId="0" applyBorder="1" applyFont="1"/>
    <xf borderId="58" fillId="0" fontId="3" numFmtId="0" xfId="0" applyBorder="1" applyFont="1"/>
    <xf borderId="65" fillId="0" fontId="3" numFmtId="165" xfId="0" applyBorder="1" applyFont="1" applyNumberFormat="1"/>
    <xf borderId="66" fillId="0" fontId="3" numFmtId="3" xfId="0" applyBorder="1" applyFont="1" applyNumberFormat="1"/>
    <xf borderId="67" fillId="0" fontId="3" numFmtId="3" xfId="0" applyBorder="1" applyFont="1" applyNumberFormat="1"/>
    <xf borderId="59" fillId="0" fontId="3" numFmtId="165" xfId="0" applyBorder="1" applyFont="1" applyNumberFormat="1"/>
    <xf borderId="61" fillId="0" fontId="3" numFmtId="3" xfId="0" applyBorder="1" applyFont="1" applyNumberFormat="1"/>
    <xf borderId="68" fillId="2" fontId="4" numFmtId="165" xfId="0" applyBorder="1" applyFont="1" applyNumberFormat="1"/>
    <xf borderId="6" fillId="2" fontId="4" numFmtId="165" xfId="0" applyBorder="1" applyFont="1" applyNumberFormat="1"/>
    <xf borderId="6" fillId="2" fontId="4" numFmtId="3" xfId="0" applyBorder="1" applyFont="1" applyNumberFormat="1"/>
    <xf borderId="41" fillId="2" fontId="7" numFmtId="0" xfId="0" applyBorder="1" applyFont="1"/>
    <xf borderId="69" fillId="0" fontId="3" numFmtId="165" xfId="0" applyBorder="1" applyFont="1" applyNumberFormat="1"/>
    <xf borderId="70" fillId="0" fontId="3" numFmtId="165" xfId="0" applyBorder="1" applyFont="1" applyNumberFormat="1"/>
    <xf borderId="42" fillId="2" fontId="3" numFmtId="3" xfId="0" applyBorder="1" applyFont="1" applyNumberFormat="1"/>
    <xf borderId="0" fillId="0" fontId="3" numFmtId="3" xfId="0" applyFont="1" applyNumberFormat="1"/>
    <xf borderId="71" fillId="0" fontId="3" numFmtId="0" xfId="0" applyBorder="1" applyFont="1"/>
    <xf borderId="72" fillId="0" fontId="3" numFmtId="3" xfId="0" applyBorder="1" applyFont="1" applyNumberFormat="1"/>
    <xf borderId="72" fillId="0" fontId="3" numFmtId="0" xfId="0" applyBorder="1" applyFont="1"/>
    <xf borderId="9" fillId="4" fontId="7" numFmtId="0" xfId="0" applyBorder="1" applyFont="1"/>
    <xf borderId="13" fillId="4" fontId="4" numFmtId="3" xfId="0" applyBorder="1" applyFont="1" applyNumberFormat="1"/>
    <xf borderId="11" fillId="4" fontId="4" numFmtId="10" xfId="0" applyBorder="1" applyFont="1" applyNumberFormat="1"/>
    <xf borderId="11" fillId="4" fontId="4" numFmtId="3" xfId="0" applyBorder="1" applyFont="1" applyNumberFormat="1"/>
    <xf borderId="12" fillId="4" fontId="4" numFmtId="0" xfId="0" applyBorder="1" applyFont="1"/>
    <xf borderId="10" fillId="4" fontId="4" numFmtId="165" xfId="0" applyBorder="1" applyFont="1" applyNumberFormat="1"/>
    <xf borderId="11" fillId="4" fontId="4" numFmtId="165" xfId="0" applyBorder="1" applyFont="1" applyNumberFormat="1"/>
    <xf borderId="52" fillId="4" fontId="4" numFmtId="165" xfId="0" applyBorder="1" applyFont="1" applyNumberFormat="1"/>
    <xf borderId="11" fillId="4" fontId="4" numFmtId="0" xfId="0" applyBorder="1" applyFont="1"/>
    <xf borderId="6" fillId="4" fontId="4" numFmtId="3" xfId="0" applyBorder="1" applyFont="1" applyNumberFormat="1"/>
    <xf borderId="8" fillId="4" fontId="4" numFmtId="0" xfId="0" applyBorder="1" applyFont="1"/>
    <xf borderId="5" fillId="4" fontId="4" numFmtId="3" xfId="0" applyBorder="1" applyFont="1" applyNumberFormat="1"/>
    <xf borderId="73" fillId="0" fontId="3" numFmtId="3" xfId="0" applyBorder="1" applyFont="1" applyNumberFormat="1"/>
    <xf borderId="30" fillId="2" fontId="3" numFmtId="10" xfId="0" applyBorder="1" applyFont="1" applyNumberFormat="1"/>
    <xf borderId="0" fillId="0" fontId="10" numFmtId="0" xfId="0" applyFont="1"/>
    <xf borderId="5" fillId="4" fontId="4" numFmtId="165" xfId="0" applyBorder="1" applyFont="1" applyNumberFormat="1"/>
    <xf borderId="6" fillId="4" fontId="4" numFmtId="165" xfId="0" applyBorder="1" applyFont="1" applyNumberFormat="1"/>
    <xf borderId="12" fillId="4" fontId="4" numFmtId="165" xfId="0" applyBorder="1" applyFont="1" applyNumberFormat="1"/>
    <xf borderId="9" fillId="4" fontId="4" numFmtId="165" xfId="0" applyBorder="1" applyFont="1" applyNumberFormat="1"/>
    <xf borderId="8" fillId="4" fontId="4" numFmtId="165" xfId="0" applyBorder="1" applyFont="1" applyNumberFormat="1"/>
    <xf borderId="68" fillId="0" fontId="4" numFmtId="165" xfId="0" applyBorder="1" applyFont="1" applyNumberFormat="1"/>
    <xf borderId="52" fillId="0" fontId="4" numFmtId="165" xfId="0" applyBorder="1" applyFont="1" applyNumberFormat="1"/>
    <xf borderId="6" fillId="0" fontId="4" numFmtId="3" xfId="0" applyBorder="1" applyFont="1" applyNumberFormat="1"/>
    <xf borderId="8" fillId="0" fontId="4" numFmtId="0" xfId="0" applyBorder="1" applyFont="1"/>
    <xf borderId="5" fillId="0" fontId="4" numFmtId="3" xfId="0" applyBorder="1" applyFont="1" applyNumberFormat="1"/>
    <xf borderId="9" fillId="2" fontId="7" numFmtId="10" xfId="0" applyBorder="1" applyFont="1" applyNumberFormat="1"/>
    <xf borderId="13" fillId="4" fontId="4" numFmtId="10" xfId="0" applyBorder="1" applyFont="1" applyNumberFormat="1"/>
    <xf borderId="11" fillId="4" fontId="11" numFmtId="10" xfId="0" applyBorder="1" applyFont="1" applyNumberFormat="1"/>
    <xf borderId="12" fillId="4" fontId="11" numFmtId="10" xfId="0" applyBorder="1" applyFont="1" applyNumberFormat="1"/>
    <xf borderId="10" fillId="4" fontId="11" numFmtId="165" xfId="0" applyBorder="1" applyFont="1" applyNumberFormat="1"/>
    <xf borderId="11" fillId="4" fontId="11" numFmtId="165" xfId="0" applyBorder="1" applyFont="1" applyNumberFormat="1"/>
    <xf borderId="52" fillId="4" fontId="11" numFmtId="165" xfId="0" applyBorder="1" applyFont="1" applyNumberFormat="1"/>
    <xf borderId="6" fillId="4" fontId="4" numFmtId="10" xfId="0" applyBorder="1" applyFont="1" applyNumberFormat="1"/>
    <xf borderId="8" fillId="4" fontId="11" numFmtId="10" xfId="0" applyBorder="1" applyFont="1" applyNumberFormat="1"/>
    <xf borderId="5" fillId="4" fontId="4" numFmtId="10" xfId="0" applyBorder="1" applyFont="1" applyNumberFormat="1"/>
    <xf borderId="5" fillId="4" fontId="11" numFmtId="10" xfId="0" applyBorder="1" applyFont="1" applyNumberFormat="1"/>
    <xf borderId="0" fillId="0" fontId="2" numFmtId="3" xfId="0" applyFont="1" applyNumberFormat="1"/>
    <xf borderId="0" fillId="0" fontId="12" numFmtId="0" xfId="0" applyFont="1"/>
    <xf borderId="0" fillId="0" fontId="7" numFmtId="166" xfId="0" applyFont="1" applyNumberFormat="1"/>
    <xf borderId="25" fillId="0" fontId="9" numFmtId="0" xfId="0" applyBorder="1" applyFont="1"/>
    <xf borderId="25" fillId="2" fontId="7" numFmtId="166" xfId="0" applyBorder="1" applyFont="1" applyNumberFormat="1"/>
    <xf borderId="25" fillId="2" fontId="7" numFmtId="0" xfId="0" applyBorder="1" applyFont="1"/>
    <xf borderId="25" fillId="0" fontId="9" numFmtId="3" xfId="0" applyBorder="1" applyFont="1" applyNumberFormat="1"/>
    <xf borderId="25" fillId="2" fontId="7" numFmtId="3" xfId="0" applyBorder="1" applyFont="1" applyNumberFormat="1"/>
    <xf borderId="25" fillId="2" fontId="7" numFmtId="10" xfId="0" applyBorder="1" applyFont="1" applyNumberFormat="1"/>
    <xf borderId="0" fillId="0" fontId="13" numFmtId="0" xfId="0" applyAlignment="1" applyFont="1">
      <alignment horizontal="center"/>
    </xf>
    <xf borderId="74" fillId="5" fontId="14" numFmtId="0" xfId="0" applyAlignment="1" applyBorder="1" applyFill="1" applyFont="1">
      <alignment horizontal="left"/>
    </xf>
    <xf borderId="0" fillId="0" fontId="13" numFmtId="0" xfId="0" applyAlignment="1" applyFont="1">
      <alignment horizontal="left"/>
    </xf>
    <xf borderId="75" fillId="5" fontId="14" numFmtId="0" xfId="0" applyAlignment="1" applyBorder="1" applyFont="1">
      <alignment horizontal="center"/>
    </xf>
    <xf borderId="76" fillId="6" fontId="4" numFmtId="0" xfId="0" applyAlignment="1" applyBorder="1" applyFill="1" applyFont="1">
      <alignment horizontal="center"/>
    </xf>
    <xf borderId="76" fillId="7" fontId="4" numFmtId="0" xfId="0" applyAlignment="1" applyBorder="1" applyFill="1" applyFont="1">
      <alignment horizontal="center"/>
    </xf>
    <xf borderId="76" fillId="3" fontId="4" numFmtId="0" xfId="0" applyAlignment="1" applyBorder="1" applyFont="1">
      <alignment horizontal="center"/>
    </xf>
    <xf borderId="25" fillId="0" fontId="13" numFmtId="0" xfId="0" applyBorder="1" applyFont="1"/>
    <xf borderId="0" fillId="0" fontId="13" numFmtId="167" xfId="0" applyAlignment="1" applyFont="1" applyNumberFormat="1">
      <alignment horizontal="center"/>
    </xf>
    <xf borderId="74" fillId="5" fontId="14" numFmtId="167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0" fillId="0" fontId="3" numFmtId="3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74" fillId="3" fontId="3" numFmtId="49" xfId="0" applyAlignment="1" applyBorder="1" applyFont="1" applyNumberFormat="1">
      <alignment horizontal="left"/>
    </xf>
    <xf borderId="0" fillId="0" fontId="3" numFmtId="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3" xfId="0" applyAlignment="1" applyFont="1" applyNumberFormat="1">
      <alignment horizontal="left"/>
    </xf>
    <xf borderId="0" fillId="0" fontId="2" numFmtId="10" xfId="0" applyFont="1" applyNumberFormat="1"/>
    <xf borderId="0" fillId="0" fontId="3" numFmtId="0" xfId="0" applyAlignment="1" applyFont="1">
      <alignment horizontal="right"/>
    </xf>
    <xf borderId="25" fillId="0" fontId="9" numFmtId="3" xfId="0" applyAlignment="1" applyBorder="1" applyFont="1" applyNumberFormat="1">
      <alignment horizontal="right"/>
    </xf>
    <xf borderId="0" fillId="0" fontId="9" numFmtId="4" xfId="0" applyFont="1" applyNumberFormat="1"/>
    <xf borderId="0" fillId="0" fontId="10" numFmtId="0" xfId="0" applyAlignment="1" applyFont="1">
      <alignment horizontal="center"/>
    </xf>
    <xf borderId="9" fillId="2" fontId="7" numFmtId="0" xfId="0" applyAlignment="1" applyBorder="1" applyFont="1">
      <alignment horizontal="center"/>
    </xf>
    <xf borderId="58" fillId="2" fontId="7" numFmtId="0" xfId="0" applyBorder="1" applyFont="1"/>
    <xf borderId="19" fillId="2" fontId="9" numFmtId="3" xfId="0" applyBorder="1" applyFont="1" applyNumberFormat="1"/>
    <xf borderId="20" fillId="2" fontId="9" numFmtId="10" xfId="0" applyBorder="1" applyFont="1" applyNumberFormat="1"/>
    <xf borderId="20" fillId="2" fontId="9" numFmtId="3" xfId="0" applyBorder="1" applyFont="1" applyNumberFormat="1"/>
    <xf borderId="23" fillId="2" fontId="9" numFmtId="10" xfId="0" applyBorder="1" applyFont="1" applyNumberFormat="1"/>
    <xf borderId="54" fillId="0" fontId="9" numFmtId="165" xfId="0" applyBorder="1" applyFont="1" applyNumberFormat="1"/>
    <xf borderId="20" fillId="0" fontId="9" numFmtId="0" xfId="0" applyBorder="1" applyFont="1"/>
    <xf borderId="20" fillId="0" fontId="9" numFmtId="165" xfId="0" applyBorder="1" applyFont="1" applyNumberFormat="1"/>
    <xf borderId="23" fillId="0" fontId="9" numFmtId="0" xfId="0" applyBorder="1" applyFont="1"/>
    <xf borderId="54" fillId="2" fontId="9" numFmtId="3" xfId="0" applyBorder="1" applyFont="1" applyNumberFormat="1"/>
    <xf borderId="54" fillId="0" fontId="9" numFmtId="3" xfId="0" applyBorder="1" applyFont="1" applyNumberFormat="1"/>
    <xf borderId="20" fillId="0" fontId="9" numFmtId="10" xfId="0" applyBorder="1" applyFont="1" applyNumberFormat="1"/>
    <xf borderId="20" fillId="0" fontId="9" numFmtId="3" xfId="0" applyBorder="1" applyFont="1" applyNumberFormat="1"/>
    <xf borderId="23" fillId="0" fontId="9" numFmtId="10" xfId="0" applyBorder="1" applyFont="1" applyNumberFormat="1"/>
    <xf borderId="55" fillId="0" fontId="9" numFmtId="10" xfId="0" applyBorder="1" applyFont="1" applyNumberFormat="1"/>
    <xf borderId="19" fillId="0" fontId="9" numFmtId="3" xfId="0" applyBorder="1" applyFont="1" applyNumberFormat="1"/>
    <xf borderId="59" fillId="2" fontId="7" numFmtId="0" xfId="0" applyBorder="1" applyFont="1"/>
    <xf borderId="16" fillId="2" fontId="9" numFmtId="3" xfId="0" applyBorder="1" applyFont="1" applyNumberFormat="1"/>
    <xf borderId="25" fillId="2" fontId="9" numFmtId="10" xfId="0" applyBorder="1" applyFont="1" applyNumberFormat="1"/>
    <xf borderId="25" fillId="2" fontId="9" numFmtId="3" xfId="0" applyBorder="1" applyFont="1" applyNumberFormat="1"/>
    <xf borderId="26" fillId="2" fontId="9" numFmtId="10" xfId="0" applyBorder="1" applyFont="1" applyNumberFormat="1"/>
    <xf borderId="65" fillId="0" fontId="9" numFmtId="165" xfId="0" applyBorder="1" applyFont="1" applyNumberFormat="1"/>
    <xf borderId="25" fillId="0" fontId="9" numFmtId="165" xfId="0" applyBorder="1" applyFont="1" applyNumberFormat="1"/>
    <xf borderId="26" fillId="0" fontId="9" numFmtId="0" xfId="0" applyBorder="1" applyFont="1"/>
    <xf borderId="65" fillId="2" fontId="9" numFmtId="3" xfId="0" applyBorder="1" applyFont="1" applyNumberFormat="1"/>
    <xf borderId="65" fillId="0" fontId="9" numFmtId="3" xfId="0" applyBorder="1" applyFont="1" applyNumberFormat="1"/>
    <xf borderId="25" fillId="0" fontId="9" numFmtId="10" xfId="0" applyBorder="1" applyFont="1" applyNumberFormat="1"/>
    <xf borderId="26" fillId="0" fontId="9" numFmtId="10" xfId="0" applyBorder="1" applyFont="1" applyNumberFormat="1"/>
    <xf borderId="60" fillId="0" fontId="9" numFmtId="10" xfId="0" applyBorder="1" applyFont="1" applyNumberFormat="1"/>
    <xf borderId="16" fillId="0" fontId="9" numFmtId="3" xfId="0" applyBorder="1" applyFont="1" applyNumberFormat="1"/>
    <xf borderId="16" fillId="0" fontId="9" numFmtId="165" xfId="0" applyBorder="1" applyFont="1" applyNumberFormat="1"/>
    <xf borderId="77" fillId="2" fontId="7" numFmtId="0" xfId="0" applyBorder="1" applyFont="1"/>
    <xf borderId="29" fillId="2" fontId="9" numFmtId="3" xfId="0" applyBorder="1" applyFont="1" applyNumberFormat="1"/>
    <xf borderId="30" fillId="2" fontId="9" numFmtId="10" xfId="0" applyBorder="1" applyFont="1" applyNumberFormat="1"/>
    <xf borderId="30" fillId="2" fontId="9" numFmtId="3" xfId="0" applyBorder="1" applyFont="1" applyNumberFormat="1"/>
    <xf borderId="31" fillId="2" fontId="9" numFmtId="10" xfId="0" applyBorder="1" applyFont="1" applyNumberFormat="1"/>
    <xf borderId="65" fillId="0" fontId="9" numFmtId="0" xfId="0" applyBorder="1" applyFont="1"/>
    <xf borderId="32" fillId="0" fontId="9" numFmtId="3" xfId="0" applyBorder="1" applyFont="1" applyNumberFormat="1"/>
    <xf borderId="34" fillId="0" fontId="9" numFmtId="3" xfId="0" applyBorder="1" applyFont="1" applyNumberFormat="1"/>
    <xf borderId="78" fillId="0" fontId="9" numFmtId="3" xfId="0" applyBorder="1" applyFont="1" applyNumberFormat="1"/>
    <xf borderId="62" fillId="0" fontId="9" numFmtId="3" xfId="0" applyBorder="1" applyFont="1" applyNumberFormat="1"/>
    <xf borderId="5" fillId="2" fontId="7" numFmtId="0" xfId="0" applyBorder="1" applyFont="1"/>
    <xf borderId="11" fillId="2" fontId="9" numFmtId="10" xfId="0" applyBorder="1" applyFont="1" applyNumberFormat="1"/>
    <xf borderId="12" fillId="2" fontId="9" numFmtId="10" xfId="0" applyBorder="1" applyFont="1" applyNumberFormat="1"/>
    <xf borderId="68" fillId="2" fontId="7" numFmtId="3" xfId="0" applyBorder="1" applyFont="1" applyNumberFormat="1"/>
    <xf borderId="11" fillId="2" fontId="7" numFmtId="0" xfId="0" applyBorder="1" applyFont="1"/>
    <xf borderId="12" fillId="2" fontId="7" numFmtId="0" xfId="0" applyBorder="1" applyFont="1"/>
    <xf borderId="52" fillId="2" fontId="7" numFmtId="0" xfId="0" applyBorder="1" applyFont="1"/>
    <xf borderId="79" fillId="2" fontId="7" numFmtId="0" xfId="0" applyBorder="1" applyFont="1"/>
    <xf borderId="80" fillId="2" fontId="9" numFmtId="0" xfId="0" applyBorder="1" applyFont="1"/>
    <xf borderId="81" fillId="2" fontId="9" numFmtId="0" xfId="0" applyBorder="1" applyFont="1"/>
    <xf borderId="82" fillId="2" fontId="9" numFmtId="0" xfId="0" applyBorder="1" applyFont="1"/>
    <xf borderId="69" fillId="0" fontId="9" numFmtId="0" xfId="0" applyBorder="1" applyFont="1"/>
    <xf borderId="39" fillId="0" fontId="9" numFmtId="0" xfId="0" applyBorder="1" applyFont="1"/>
    <xf borderId="39" fillId="0" fontId="9" numFmtId="3" xfId="0" applyBorder="1" applyFont="1" applyNumberFormat="1"/>
    <xf borderId="47" fillId="0" fontId="9" numFmtId="0" xfId="0" applyBorder="1" applyFont="1"/>
    <xf borderId="83" fillId="2" fontId="9" numFmtId="0" xfId="0" applyBorder="1" applyFont="1"/>
    <xf borderId="81" fillId="2" fontId="9" numFmtId="3" xfId="0" applyBorder="1" applyFont="1" applyNumberFormat="1"/>
    <xf borderId="70" fillId="0" fontId="9" numFmtId="0" xfId="0" applyBorder="1" applyFont="1"/>
    <xf borderId="36" fillId="0" fontId="9" numFmtId="0" xfId="0" applyBorder="1" applyFont="1"/>
    <xf borderId="13" fillId="2" fontId="9" numFmtId="3" xfId="0" applyBorder="1" applyFont="1" applyNumberFormat="1"/>
    <xf borderId="11" fillId="2" fontId="9" numFmtId="3" xfId="0" applyBorder="1" applyFont="1" applyNumberFormat="1"/>
    <xf borderId="68" fillId="0" fontId="9" numFmtId="165" xfId="0" applyBorder="1" applyFont="1" applyNumberFormat="1"/>
    <xf borderId="11" fillId="0" fontId="9" numFmtId="0" xfId="0" applyBorder="1" applyFont="1"/>
    <xf borderId="11" fillId="0" fontId="9" numFmtId="165" xfId="0" applyBorder="1" applyFont="1" applyNumberFormat="1"/>
    <xf borderId="12" fillId="0" fontId="9" numFmtId="0" xfId="0" applyBorder="1" applyFont="1"/>
    <xf borderId="68" fillId="2" fontId="9" numFmtId="3" xfId="0" applyBorder="1" applyFont="1" applyNumberFormat="1"/>
    <xf borderId="68" fillId="0" fontId="9" numFmtId="3" xfId="0" applyBorder="1" applyFont="1" applyNumberFormat="1"/>
    <xf borderId="11" fillId="0" fontId="9" numFmtId="10" xfId="0" applyBorder="1" applyFont="1" applyNumberFormat="1"/>
    <xf borderId="11" fillId="0" fontId="9" numFmtId="3" xfId="0" applyBorder="1" applyFont="1" applyNumberFormat="1"/>
    <xf borderId="12" fillId="0" fontId="9" numFmtId="10" xfId="0" applyBorder="1" applyFont="1" applyNumberFormat="1"/>
    <xf borderId="52" fillId="0" fontId="9" numFmtId="10" xfId="0" applyBorder="1" applyFont="1" applyNumberFormat="1"/>
    <xf borderId="13" fillId="0" fontId="9" numFmtId="165" xfId="0" applyBorder="1" applyFont="1" applyNumberFormat="1"/>
    <xf borderId="11" fillId="0" fontId="9" numFmtId="164" xfId="0" applyBorder="1" applyFont="1" applyNumberFormat="1"/>
    <xf borderId="13" fillId="2" fontId="9" numFmtId="3" xfId="0" applyAlignment="1" applyBorder="1" applyFont="1" applyNumberFormat="1">
      <alignment horizontal="right"/>
    </xf>
    <xf borderId="11" fillId="2" fontId="9" numFmtId="10" xfId="0" applyAlignment="1" applyBorder="1" applyFont="1" applyNumberFormat="1">
      <alignment horizontal="right"/>
    </xf>
    <xf borderId="11" fillId="2" fontId="9" numFmtId="3" xfId="0" applyAlignment="1" applyBorder="1" applyFont="1" applyNumberFormat="1">
      <alignment horizontal="right"/>
    </xf>
    <xf borderId="12" fillId="2" fontId="9" numFmtId="10" xfId="0" applyAlignment="1" applyBorder="1" applyFont="1" applyNumberFormat="1">
      <alignment horizontal="right"/>
    </xf>
    <xf borderId="13" fillId="0" fontId="9" numFmtId="0" xfId="0" applyBorder="1" applyFont="1"/>
    <xf borderId="6" fillId="0" fontId="10" numFmtId="0" xfId="0" applyBorder="1" applyFont="1"/>
    <xf borderId="68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1" fillId="2" fontId="7" numFmtId="10" xfId="0" applyBorder="1" applyFont="1" applyNumberFormat="1"/>
    <xf borderId="12" fillId="2" fontId="7" numFmtId="10" xfId="0" applyBorder="1" applyFont="1" applyNumberFormat="1"/>
    <xf borderId="68" fillId="2" fontId="7" numFmtId="165" xfId="0" applyBorder="1" applyFont="1" applyNumberFormat="1"/>
    <xf borderId="11" fillId="2" fontId="7" numFmtId="165" xfId="0" applyBorder="1" applyFont="1" applyNumberFormat="1"/>
    <xf borderId="52" fillId="2" fontId="7" numFmtId="10" xfId="0" applyBorder="1" applyFont="1" applyNumberFormat="1"/>
    <xf borderId="13" fillId="2" fontId="7" numFmtId="165" xfId="0" applyBorder="1" applyFont="1" applyNumberFormat="1"/>
    <xf borderId="12" fillId="2" fontId="7" numFmtId="3" xfId="0" applyBorder="1" applyFont="1" applyNumberFormat="1"/>
    <xf borderId="84" fillId="2" fontId="7" numFmtId="0" xfId="0" applyBorder="1" applyFont="1"/>
    <xf borderId="85" fillId="2" fontId="9" numFmtId="0" xfId="0" applyBorder="1" applyFont="1"/>
    <xf borderId="86" fillId="2" fontId="9" numFmtId="0" xfId="0" applyBorder="1" applyFont="1"/>
    <xf borderId="87" fillId="2" fontId="9" numFmtId="0" xfId="0" applyBorder="1" applyFont="1"/>
    <xf borderId="88" fillId="2" fontId="9" numFmtId="0" xfId="0" applyBorder="1" applyFont="1"/>
    <xf borderId="86" fillId="2" fontId="9" numFmtId="3" xfId="0" applyBorder="1" applyFont="1" applyNumberFormat="1"/>
    <xf borderId="0" fillId="0" fontId="15" numFmtId="0" xfId="0" applyFont="1"/>
    <xf borderId="89" fillId="2" fontId="7" numFmtId="0" xfId="0" applyBorder="1" applyFont="1"/>
    <xf borderId="38" fillId="2" fontId="9" numFmtId="0" xfId="0" applyBorder="1" applyFont="1"/>
    <xf borderId="17" fillId="2" fontId="9" numFmtId="0" xfId="0" applyBorder="1" applyFont="1"/>
    <xf borderId="18" fillId="2" fontId="9" numFmtId="0" xfId="0" applyBorder="1" applyFont="1"/>
    <xf borderId="54" fillId="0" fontId="9" numFmtId="0" xfId="0" applyBorder="1" applyFont="1"/>
    <xf borderId="90" fillId="2" fontId="9" numFmtId="0" xfId="0" applyBorder="1" applyFont="1"/>
    <xf borderId="17" fillId="2" fontId="9" numFmtId="3" xfId="0" applyBorder="1" applyFont="1" applyNumberFormat="1"/>
    <xf borderId="55" fillId="0" fontId="9" numFmtId="0" xfId="0" applyBorder="1" applyFont="1"/>
    <xf borderId="19" fillId="0" fontId="9" numFmtId="0" xfId="0" applyBorder="1" applyFont="1"/>
    <xf borderId="32" fillId="0" fontId="9" numFmtId="0" xfId="0" applyBorder="1" applyFont="1"/>
    <xf borderId="34" fillId="0" fontId="9" numFmtId="0" xfId="0" applyBorder="1" applyFont="1"/>
    <xf borderId="32" fillId="0" fontId="9" numFmtId="10" xfId="0" applyBorder="1" applyFont="1" applyNumberFormat="1"/>
    <xf borderId="34" fillId="0" fontId="9" numFmtId="10" xfId="0" applyBorder="1" applyFont="1" applyNumberFormat="1"/>
    <xf borderId="62" fillId="0" fontId="9" numFmtId="10" xfId="0" applyBorder="1" applyFont="1" applyNumberFormat="1"/>
    <xf borderId="35" fillId="0" fontId="9" numFmtId="3" xfId="0" applyBorder="1" applyFont="1" applyNumberFormat="1"/>
    <xf borderId="91" fillId="2" fontId="7" numFmtId="0" xfId="0" applyBorder="1" applyFont="1"/>
    <xf borderId="42" fillId="2" fontId="9" numFmtId="0" xfId="0" applyBorder="1" applyFont="1"/>
    <xf borderId="43" fillId="2" fontId="9" numFmtId="0" xfId="0" applyBorder="1" applyFont="1"/>
    <xf borderId="44" fillId="2" fontId="9" numFmtId="0" xfId="0" applyBorder="1" applyFont="1"/>
    <xf borderId="92" fillId="2" fontId="9" numFmtId="0" xfId="0" applyBorder="1" applyFont="1"/>
    <xf borderId="43" fillId="2" fontId="9" numFmtId="3" xfId="0" applyBorder="1" applyFont="1" applyNumberFormat="1"/>
    <xf borderId="69" fillId="0" fontId="7" numFmtId="3" xfId="0" applyBorder="1" applyFont="1" applyNumberFormat="1"/>
    <xf borderId="39" fillId="0" fontId="7" numFmtId="0" xfId="0" applyBorder="1" applyFont="1"/>
    <xf borderId="39" fillId="0" fontId="7" numFmtId="3" xfId="0" applyBorder="1" applyFont="1" applyNumberFormat="1"/>
    <xf borderId="47" fillId="0" fontId="7" numFmtId="0" xfId="0" applyBorder="1" applyFont="1"/>
    <xf borderId="0" fillId="0" fontId="8" numFmtId="164" xfId="0" applyFont="1" applyNumberFormat="1"/>
    <xf borderId="0" fillId="0" fontId="9" numFmtId="10" xfId="0" applyFont="1" applyNumberFormat="1"/>
    <xf borderId="19" fillId="2" fontId="7" numFmtId="0" xfId="0" applyBorder="1" applyFont="1"/>
    <xf borderId="55" fillId="2" fontId="9" numFmtId="10" xfId="0" applyBorder="1" applyFont="1" applyNumberFormat="1"/>
    <xf borderId="19" fillId="0" fontId="9" numFmtId="165" xfId="0" applyBorder="1" applyFont="1" applyNumberFormat="1"/>
    <xf borderId="16" fillId="2" fontId="7" numFmtId="0" xfId="0" applyBorder="1" applyFont="1"/>
    <xf borderId="60" fillId="2" fontId="9" numFmtId="10" xfId="0" applyBorder="1" applyFont="1" applyNumberFormat="1"/>
    <xf borderId="60" fillId="0" fontId="9" numFmtId="0" xfId="0" applyBorder="1" applyFont="1"/>
    <xf borderId="29" fillId="2" fontId="7" numFmtId="0" xfId="0" applyBorder="1" applyFont="1"/>
    <xf borderId="93" fillId="2" fontId="9" numFmtId="10" xfId="0" applyBorder="1" applyFont="1" applyNumberFormat="1"/>
    <xf borderId="16" fillId="0" fontId="9" numFmtId="0" xfId="0" applyBorder="1" applyFont="1"/>
    <xf borderId="13" fillId="2" fontId="7" numFmtId="0" xfId="0" applyBorder="1" applyFont="1"/>
    <xf borderId="52" fillId="2" fontId="9" numFmtId="10" xfId="0" applyBorder="1" applyFont="1" applyNumberFormat="1"/>
    <xf borderId="80" fillId="2" fontId="7" numFmtId="0" xfId="0" applyBorder="1" applyFont="1"/>
    <xf borderId="94" fillId="2" fontId="9" numFmtId="0" xfId="0" applyBorder="1" applyFont="1"/>
    <xf borderId="52" fillId="0" fontId="9" numFmtId="0" xfId="0" applyBorder="1" applyFont="1"/>
    <xf borderId="13" fillId="0" fontId="9" numFmtId="3" xfId="0" applyBorder="1" applyFont="1" applyNumberFormat="1"/>
    <xf borderId="52" fillId="2" fontId="9" numFmtId="10" xfId="0" applyAlignment="1" applyBorder="1" applyFont="1" applyNumberFormat="1">
      <alignment horizontal="right"/>
    </xf>
    <xf borderId="68" fillId="0" fontId="9" numFmtId="0" xfId="0" applyBorder="1" applyFont="1"/>
    <xf borderId="52" fillId="0" fontId="10" numFmtId="0" xfId="0" applyBorder="1" applyFont="1"/>
    <xf borderId="5" fillId="0" fontId="10" numFmtId="0" xfId="0" applyBorder="1" applyFont="1"/>
    <xf borderId="8" fillId="0" fontId="10" numFmtId="0" xfId="0" applyBorder="1" applyFont="1"/>
    <xf borderId="85" fillId="2" fontId="7" numFmtId="0" xfId="0" applyBorder="1" applyFont="1"/>
    <xf borderId="95" fillId="2" fontId="9" numFmtId="0" xfId="0" applyBorder="1" applyFont="1"/>
    <xf borderId="38" fillId="2" fontId="7" numFmtId="0" xfId="0" applyBorder="1" applyFont="1"/>
    <xf borderId="96" fillId="2" fontId="9" numFmtId="0" xfId="0" applyBorder="1" applyFont="1"/>
    <xf borderId="62" fillId="0" fontId="9" numFmtId="0" xfId="0" applyBorder="1" applyFont="1"/>
    <xf borderId="42" fillId="2" fontId="7" numFmtId="0" xfId="0" applyBorder="1" applyFont="1"/>
    <xf borderId="97" fillId="2" fontId="9" numFmtId="0" xfId="0" applyBorder="1" applyFont="1"/>
    <xf borderId="98" fillId="2" fontId="7" numFmtId="3" xfId="0" applyBorder="1" applyFont="1" applyNumberFormat="1"/>
    <xf borderId="30" fillId="2" fontId="7" numFmtId="0" xfId="0" applyBorder="1" applyFont="1"/>
    <xf borderId="30" fillId="2" fontId="7" numFmtId="3" xfId="0" applyBorder="1" applyFont="1" applyNumberFormat="1"/>
    <xf borderId="93" fillId="2" fontId="7" numFmtId="0" xfId="0" applyBorder="1" applyFont="1"/>
    <xf borderId="68" fillId="2" fontId="7" numFmtId="0" xfId="0" applyBorder="1" applyFont="1"/>
    <xf borderId="5" fillId="0" fontId="9" numFmtId="0" xfId="0" applyBorder="1" applyFont="1"/>
    <xf borderId="6" fillId="0" fontId="9" numFmtId="0" xfId="0" applyBorder="1" applyFont="1"/>
    <xf borderId="8" fillId="0" fontId="9" numFmtId="0" xfId="0" applyBorder="1" applyFont="1"/>
    <xf borderId="52" fillId="2" fontId="7" numFmtId="3" xfId="0" applyBorder="1" applyFont="1" applyNumberFormat="1"/>
    <xf borderId="11" fillId="2" fontId="9" numFmtId="0" xfId="0" applyBorder="1" applyFont="1"/>
    <xf borderId="52" fillId="2" fontId="9" numFmtId="0" xfId="0" applyBorder="1" applyFont="1"/>
    <xf borderId="12" fillId="2" fontId="9" numFmtId="0" xfId="0" applyBorder="1" applyFont="1"/>
    <xf borderId="52" fillId="2" fontId="9" numFmtId="3" xfId="0" applyBorder="1" applyFont="1" applyNumberFormat="1"/>
    <xf borderId="12" fillId="2" fontId="9" numFmtId="3" xfId="0" applyBorder="1" applyFont="1" applyNumberFormat="1"/>
    <xf borderId="70" fillId="0" fontId="7" numFmtId="0" xfId="0" applyBorder="1" applyFont="1"/>
    <xf borderId="36" fillId="0" fontId="7" numFmtId="3" xfId="0" applyBorder="1" applyFont="1" applyNumberFormat="1"/>
    <xf borderId="0" fillId="0" fontId="16" numFmtId="0" xfId="0" applyFont="1"/>
    <xf borderId="0" fillId="0" fontId="17" numFmtId="0" xfId="0" applyFont="1"/>
    <xf borderId="0" fillId="0" fontId="13" numFmtId="0" xfId="0" applyFont="1"/>
    <xf borderId="99" fillId="8" fontId="18" numFmtId="0" xfId="0" applyAlignment="1" applyBorder="1" applyFill="1" applyFont="1">
      <alignment horizontal="center" vertical="center"/>
    </xf>
    <xf quotePrefix="1" borderId="2" fillId="8" fontId="18" numFmtId="0" xfId="0" applyAlignment="1" applyBorder="1" applyFont="1">
      <alignment horizontal="center"/>
    </xf>
    <xf borderId="100" fillId="0" fontId="5" numFmtId="0" xfId="0" applyBorder="1" applyFont="1"/>
    <xf quotePrefix="1" borderId="5" fillId="8" fontId="18" numFmtId="0" xfId="0" applyAlignment="1" applyBorder="1" applyFont="1">
      <alignment horizontal="center" readingOrder="0"/>
    </xf>
    <xf borderId="0" fillId="0" fontId="16" numFmtId="0" xfId="0" applyAlignment="1" applyFont="1">
      <alignment shrinkToFit="0" vertical="top" wrapText="1"/>
    </xf>
    <xf borderId="101" fillId="0" fontId="5" numFmtId="0" xfId="0" applyBorder="1" applyFont="1"/>
    <xf borderId="13" fillId="8" fontId="18" numFmtId="0" xfId="0" applyAlignment="1" applyBorder="1" applyFont="1">
      <alignment horizontal="center" shrinkToFit="0" vertical="top" wrapText="1"/>
    </xf>
    <xf borderId="12" fillId="8" fontId="18" numFmtId="0" xfId="0" applyAlignment="1" applyBorder="1" applyFont="1">
      <alignment horizontal="center" shrinkToFit="0" vertical="top" wrapText="1"/>
    </xf>
    <xf borderId="9" fillId="8" fontId="18" numFmtId="0" xfId="0" applyAlignment="1" applyBorder="1" applyFont="1">
      <alignment horizontal="center" shrinkToFit="0" vertical="top" wrapText="1"/>
    </xf>
    <xf borderId="102" fillId="0" fontId="18" numFmtId="0" xfId="0" applyAlignment="1" applyBorder="1" applyFont="1">
      <alignment horizontal="center"/>
    </xf>
    <xf borderId="72" fillId="0" fontId="13" numFmtId="0" xfId="0" applyBorder="1" applyFont="1"/>
    <xf borderId="36" fillId="0" fontId="13" numFmtId="3" xfId="0" applyAlignment="1" applyBorder="1" applyFont="1" applyNumberFormat="1">
      <alignment horizontal="center"/>
    </xf>
    <xf borderId="47" fillId="0" fontId="13" numFmtId="0" xfId="0" applyAlignment="1" applyBorder="1" applyFont="1">
      <alignment horizontal="center"/>
    </xf>
    <xf borderId="36" fillId="0" fontId="13" numFmtId="0" xfId="0" applyAlignment="1" applyBorder="1" applyFont="1">
      <alignment horizontal="center"/>
    </xf>
    <xf borderId="9" fillId="0" fontId="18" numFmtId="0" xfId="0" applyAlignment="1" applyBorder="1" applyFont="1">
      <alignment horizontal="center"/>
    </xf>
    <xf borderId="5" fillId="0" fontId="18" numFmtId="0" xfId="0" applyBorder="1" applyFont="1"/>
    <xf borderId="13" fillId="0" fontId="18" numFmtId="165" xfId="0" applyAlignment="1" applyBorder="1" applyFont="1" applyNumberFormat="1">
      <alignment horizontal="center"/>
    </xf>
    <xf borderId="12" fillId="0" fontId="18" numFmtId="165" xfId="0" applyAlignment="1" applyBorder="1" applyFont="1" applyNumberFormat="1">
      <alignment horizontal="center"/>
    </xf>
    <xf borderId="53" fillId="0" fontId="13" numFmtId="0" xfId="0" applyAlignment="1" applyBorder="1" applyFont="1">
      <alignment horizontal="center"/>
    </xf>
    <xf borderId="58" fillId="0" fontId="13" numFmtId="0" xfId="0" applyBorder="1" applyFont="1"/>
    <xf borderId="19" fillId="0" fontId="13" numFmtId="165" xfId="0" applyAlignment="1" applyBorder="1" applyFont="1" applyNumberFormat="1">
      <alignment horizontal="center"/>
    </xf>
    <xf borderId="23" fillId="0" fontId="13" numFmtId="165" xfId="0" applyAlignment="1" applyBorder="1" applyFont="1" applyNumberFormat="1">
      <alignment horizontal="center"/>
    </xf>
    <xf borderId="24" fillId="0" fontId="13" numFmtId="0" xfId="0" applyBorder="1" applyFont="1"/>
    <xf borderId="59" fillId="0" fontId="13" numFmtId="0" xfId="0" applyBorder="1" applyFont="1"/>
    <xf borderId="16" fillId="0" fontId="13" numFmtId="165" xfId="0" applyAlignment="1" applyBorder="1" applyFont="1" applyNumberFormat="1">
      <alignment horizontal="center"/>
    </xf>
    <xf borderId="26" fillId="0" fontId="13" numFmtId="165" xfId="0" applyAlignment="1" applyBorder="1" applyFont="1" applyNumberFormat="1">
      <alignment horizontal="center"/>
    </xf>
    <xf borderId="24" fillId="0" fontId="13" numFmtId="0" xfId="0" applyAlignment="1" applyBorder="1" applyFont="1">
      <alignment horizontal="center"/>
    </xf>
    <xf borderId="16" fillId="0" fontId="18" numFmtId="165" xfId="0" applyAlignment="1" applyBorder="1" applyFont="1" applyNumberFormat="1">
      <alignment horizontal="center"/>
    </xf>
    <xf borderId="26" fillId="0" fontId="18" numFmtId="165" xfId="0" applyAlignment="1" applyBorder="1" applyFont="1" applyNumberFormat="1">
      <alignment horizontal="center"/>
    </xf>
    <xf borderId="24" fillId="0" fontId="18" numFmtId="165" xfId="0" applyAlignment="1" applyBorder="1" applyFont="1" applyNumberFormat="1">
      <alignment horizontal="center"/>
    </xf>
    <xf borderId="61" fillId="0" fontId="13" numFmtId="165" xfId="0" applyAlignment="1" applyBorder="1" applyFont="1" applyNumberFormat="1">
      <alignment horizontal="center"/>
    </xf>
    <xf borderId="24" fillId="0" fontId="13" numFmtId="165" xfId="0" applyAlignment="1" applyBorder="1" applyFont="1" applyNumberFormat="1">
      <alignment horizontal="center"/>
    </xf>
    <xf borderId="16" fillId="0" fontId="16" numFmtId="165" xfId="0" applyAlignment="1" applyBorder="1" applyFont="1" applyNumberFormat="1">
      <alignment horizontal="center" vertical="center"/>
    </xf>
    <xf borderId="24" fillId="0" fontId="16" numFmtId="165" xfId="0" applyAlignment="1" applyBorder="1" applyFont="1" applyNumberFormat="1">
      <alignment horizontal="center" vertical="center"/>
    </xf>
    <xf borderId="59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26" fillId="0" fontId="13" numFmtId="0" xfId="0" applyAlignment="1" applyBorder="1" applyFont="1">
      <alignment horizontal="center"/>
    </xf>
    <xf borderId="61" fillId="0" fontId="13" numFmtId="0" xfId="0" applyAlignment="1" applyBorder="1" applyFont="1">
      <alignment horizontal="center"/>
    </xf>
    <xf borderId="24" fillId="0" fontId="18" numFmtId="0" xfId="0" applyBorder="1" applyFont="1"/>
    <xf borderId="59" fillId="0" fontId="19" numFmtId="0" xfId="0" applyBorder="1" applyFont="1"/>
    <xf borderId="103" fillId="0" fontId="13" numFmtId="0" xfId="0" applyBorder="1" applyFont="1"/>
    <xf borderId="67" fillId="0" fontId="13" numFmtId="0" xfId="0" applyBorder="1" applyFont="1"/>
    <xf borderId="35" fillId="0" fontId="13" numFmtId="165" xfId="0" applyAlignment="1" applyBorder="1" applyFont="1" applyNumberFormat="1">
      <alignment horizontal="center"/>
    </xf>
    <xf borderId="34" fillId="0" fontId="13" numFmtId="165" xfId="0" applyAlignment="1" applyBorder="1" applyFont="1" applyNumberFormat="1">
      <alignment horizontal="center"/>
    </xf>
    <xf borderId="103" fillId="0" fontId="13" numFmtId="165" xfId="0" applyAlignment="1" applyBorder="1" applyFont="1" applyNumberFormat="1">
      <alignment horizontal="center"/>
    </xf>
    <xf borderId="63" fillId="0" fontId="13" numFmtId="165" xfId="0" applyAlignment="1" applyBorder="1" applyFont="1" applyNumberFormat="1">
      <alignment horizontal="center"/>
    </xf>
    <xf borderId="9" fillId="0" fontId="18" numFmtId="0" xfId="0" applyBorder="1" applyFont="1"/>
    <xf borderId="9" fillId="0" fontId="18" numFmtId="165" xfId="0" applyAlignment="1" applyBorder="1" applyFont="1" applyNumberFormat="1">
      <alignment horizontal="center"/>
    </xf>
    <xf borderId="8" fillId="0" fontId="18" numFmtId="165" xfId="0" applyAlignment="1" applyBorder="1" applyFont="1" applyNumberFormat="1">
      <alignment horizontal="center"/>
    </xf>
    <xf borderId="9" fillId="0" fontId="13" numFmtId="0" xfId="0" applyBorder="1" applyFont="1"/>
    <xf borderId="12" fillId="0" fontId="13" numFmtId="165" xfId="0" applyAlignment="1" applyBorder="1" applyFont="1" applyNumberFormat="1">
      <alignment horizontal="center"/>
    </xf>
    <xf borderId="13" fillId="0" fontId="13" numFmtId="165" xfId="0" applyAlignment="1" applyBorder="1" applyFont="1" applyNumberFormat="1">
      <alignment horizontal="center"/>
    </xf>
    <xf borderId="8" fillId="0" fontId="13" numFmtId="165" xfId="0" applyAlignment="1" applyBorder="1" applyFont="1" applyNumberFormat="1">
      <alignment horizontal="center"/>
    </xf>
    <xf borderId="53" fillId="0" fontId="13" numFmtId="0" xfId="0" applyBorder="1" applyFont="1"/>
    <xf borderId="53" fillId="0" fontId="13" numFmtId="165" xfId="0" applyAlignment="1" applyBorder="1" applyFont="1" applyNumberFormat="1">
      <alignment horizontal="center"/>
    </xf>
    <xf borderId="57" fillId="0" fontId="13" numFmtId="165" xfId="0" applyAlignment="1" applyBorder="1" applyFont="1" applyNumberFormat="1">
      <alignment horizontal="center"/>
    </xf>
    <xf borderId="59" fillId="0" fontId="20" numFmtId="0" xfId="0" applyAlignment="1" applyBorder="1" applyFont="1">
      <alignment horizontal="left"/>
    </xf>
    <xf borderId="60" fillId="0" fontId="13" numFmtId="165" xfId="0" applyAlignment="1" applyBorder="1" applyFont="1" applyNumberFormat="1">
      <alignment horizontal="center"/>
    </xf>
    <xf borderId="16" fillId="0" fontId="21" numFmtId="165" xfId="0" applyBorder="1" applyFont="1" applyNumberFormat="1"/>
    <xf borderId="24" fillId="0" fontId="21" numFmtId="165" xfId="0" applyBorder="1" applyFont="1" applyNumberFormat="1"/>
    <xf borderId="99" fillId="0" fontId="13" numFmtId="0" xfId="0" applyBorder="1" applyFont="1"/>
    <xf borderId="67" fillId="0" fontId="18" numFmtId="0" xfId="0" applyAlignment="1" applyBorder="1" applyFont="1">
      <alignment horizontal="left" vertical="top"/>
    </xf>
    <xf borderId="5" fillId="0" fontId="22" numFmtId="0" xfId="0" applyBorder="1" applyFont="1"/>
    <xf borderId="67" fillId="0" fontId="23" numFmtId="0" xfId="0" applyBorder="1" applyFont="1"/>
    <xf borderId="9" fillId="0" fontId="24" numFmtId="0" xfId="0" applyBorder="1" applyFont="1"/>
    <xf borderId="9" fillId="0" fontId="13" numFmtId="165" xfId="0" applyAlignment="1" applyBorder="1" applyFont="1" applyNumberFormat="1">
      <alignment horizontal="center"/>
    </xf>
    <xf borderId="36" fillId="0" fontId="13" numFmtId="165" xfId="0" applyAlignment="1" applyBorder="1" applyFont="1" applyNumberFormat="1">
      <alignment horizontal="center"/>
    </xf>
    <xf borderId="102" fillId="0" fontId="13" numFmtId="165" xfId="0" applyAlignment="1" applyBorder="1" applyFont="1" applyNumberFormat="1">
      <alignment horizontal="center"/>
    </xf>
    <xf borderId="73" fillId="0" fontId="13" numFmtId="165" xfId="0" applyAlignment="1" applyBorder="1" applyFont="1" applyNumberFormat="1">
      <alignment horizontal="center"/>
    </xf>
    <xf borderId="25" fillId="0" fontId="25" numFmtId="165" xfId="0" applyBorder="1" applyFont="1" applyNumberFormat="1"/>
    <xf borderId="24" fillId="0" fontId="25" numFmtId="165" xfId="0" applyBorder="1" applyFont="1" applyNumberFormat="1"/>
    <xf borderId="26" fillId="0" fontId="25" numFmtId="165" xfId="0" applyBorder="1" applyFont="1" applyNumberFormat="1"/>
    <xf borderId="65" fillId="0" fontId="13" numFmtId="165" xfId="0" applyAlignment="1" applyBorder="1" applyFont="1" applyNumberFormat="1">
      <alignment horizontal="center"/>
    </xf>
    <xf borderId="25" fillId="0" fontId="13" numFmtId="165" xfId="0" applyAlignment="1" applyBorder="1" applyFont="1" applyNumberFormat="1">
      <alignment horizontal="center"/>
    </xf>
    <xf borderId="16" fillId="0" fontId="13" numFmtId="165" xfId="0" applyAlignment="1" applyBorder="1" applyFont="1" applyNumberFormat="1">
      <alignment horizontal="center" readingOrder="0"/>
    </xf>
    <xf borderId="24" fillId="0" fontId="13" numFmtId="165" xfId="0" applyAlignment="1" applyBorder="1" applyFont="1" applyNumberFormat="1">
      <alignment horizontal="center" readingOrder="0"/>
    </xf>
    <xf borderId="72" fillId="0" fontId="16" numFmtId="0" xfId="0" applyBorder="1" applyFont="1"/>
    <xf borderId="19" fillId="0" fontId="13" numFmtId="165" xfId="0" applyAlignment="1" applyBorder="1" applyFont="1" applyNumberFormat="1">
      <alignment horizontal="center" readingOrder="0"/>
    </xf>
    <xf borderId="53" fillId="0" fontId="13" numFmtId="165" xfId="0" applyAlignment="1" applyBorder="1" applyFont="1" applyNumberFormat="1">
      <alignment horizontal="center" readingOrder="0"/>
    </xf>
    <xf borderId="104" fillId="0" fontId="13" numFmtId="0" xfId="0" applyBorder="1" applyFont="1"/>
    <xf borderId="102" fillId="0" fontId="13" numFmtId="0" xfId="0" applyBorder="1" applyFont="1"/>
    <xf borderId="47" fillId="0" fontId="13" numFmtId="165" xfId="0" applyAlignment="1" applyBorder="1" applyFont="1" applyNumberFormat="1">
      <alignment horizontal="center"/>
    </xf>
    <xf borderId="71" fillId="0" fontId="13" numFmtId="165" xfId="0" applyAlignment="1" applyBorder="1" applyFont="1" applyNumberFormat="1">
      <alignment horizontal="center"/>
    </xf>
    <xf borderId="0" fillId="0" fontId="16" numFmtId="165" xfId="0" applyFont="1" applyNumberFormat="1"/>
    <xf borderId="0" fillId="0" fontId="18" numFmtId="0" xfId="0" applyFont="1"/>
    <xf quotePrefix="1" borderId="5" fillId="8" fontId="18" numFmtId="0" xfId="0" applyAlignment="1" applyBorder="1" applyFont="1">
      <alignment horizontal="center"/>
    </xf>
    <xf borderId="0" fillId="0" fontId="16" numFmtId="0" xfId="0" applyAlignment="1" applyFont="1">
      <alignment horizontal="center" shrinkToFit="0" vertical="top" wrapText="1"/>
    </xf>
    <xf borderId="53" fillId="0" fontId="5" numFmtId="0" xfId="0" applyBorder="1" applyFont="1"/>
    <xf borderId="38" fillId="8" fontId="18" numFmtId="165" xfId="0" applyAlignment="1" applyBorder="1" applyFont="1" applyNumberFormat="1">
      <alignment horizontal="center" shrinkToFit="0" vertical="top" wrapText="1"/>
    </xf>
    <xf borderId="17" fillId="8" fontId="18" numFmtId="0" xfId="0" applyAlignment="1" applyBorder="1" applyFont="1">
      <alignment horizontal="center" shrinkToFit="0" vertical="top" wrapText="1"/>
    </xf>
    <xf borderId="17" fillId="8" fontId="18" numFmtId="165" xfId="0" applyAlignment="1" applyBorder="1" applyFont="1" applyNumberFormat="1">
      <alignment horizontal="center" shrinkToFit="0" vertical="top" wrapText="1"/>
    </xf>
    <xf borderId="18" fillId="8" fontId="18" numFmtId="0" xfId="0" applyAlignment="1" applyBorder="1" applyFont="1">
      <alignment horizontal="center" shrinkToFit="0" vertical="top" wrapText="1"/>
    </xf>
    <xf borderId="9" fillId="8" fontId="18" numFmtId="165" xfId="0" applyAlignment="1" applyBorder="1" applyFont="1" applyNumberFormat="1">
      <alignment horizontal="center" shrinkToFit="0" vertical="top" wrapText="1"/>
    </xf>
    <xf borderId="25" fillId="0" fontId="13" numFmtId="0" xfId="0" applyAlignment="1" applyBorder="1" applyFont="1">
      <alignment horizontal="center"/>
    </xf>
    <xf borderId="20" fillId="0" fontId="13" numFmtId="0" xfId="0" applyAlignment="1" applyBorder="1" applyFont="1">
      <alignment horizontal="center"/>
    </xf>
    <xf borderId="20" fillId="0" fontId="13" numFmtId="165" xfId="0" applyAlignment="1" applyBorder="1" applyFont="1" applyNumberFormat="1">
      <alignment horizontal="center"/>
    </xf>
    <xf borderId="23" fillId="0" fontId="13" numFmtId="0" xfId="0" applyAlignment="1" applyBorder="1" applyFont="1">
      <alignment horizontal="center"/>
    </xf>
    <xf borderId="103" fillId="0" fontId="13" numFmtId="0" xfId="0" applyAlignment="1" applyBorder="1" applyFont="1">
      <alignment horizontal="center"/>
    </xf>
    <xf borderId="32" fillId="0" fontId="13" numFmtId="0" xfId="0" applyAlignment="1" applyBorder="1" applyFont="1">
      <alignment horizontal="center"/>
    </xf>
    <xf borderId="32" fillId="0" fontId="13" numFmtId="165" xfId="0" applyAlignment="1" applyBorder="1" applyFont="1" applyNumberFormat="1">
      <alignment horizontal="center"/>
    </xf>
    <xf borderId="34" fillId="0" fontId="13" numFmtId="0" xfId="0" applyAlignment="1" applyBorder="1" applyFont="1">
      <alignment horizontal="center"/>
    </xf>
    <xf borderId="11" fillId="0" fontId="18" numFmtId="10" xfId="0" applyAlignment="1" applyBorder="1" applyFont="1" applyNumberFormat="1">
      <alignment horizontal="center"/>
    </xf>
    <xf borderId="11" fillId="0" fontId="18" numFmtId="165" xfId="0" applyAlignment="1" applyBorder="1" applyFont="1" applyNumberFormat="1">
      <alignment horizontal="center"/>
    </xf>
    <xf borderId="12" fillId="0" fontId="18" numFmtId="10" xfId="0" applyAlignment="1" applyBorder="1" applyFont="1" applyNumberFormat="1">
      <alignment horizontal="center"/>
    </xf>
    <xf borderId="68" fillId="0" fontId="18" numFmtId="10" xfId="0" applyAlignment="1" applyBorder="1" applyFont="1" applyNumberFormat="1">
      <alignment horizontal="center"/>
    </xf>
    <xf borderId="20" fillId="0" fontId="13" numFmtId="10" xfId="0" applyAlignment="1" applyBorder="1" applyFont="1" applyNumberFormat="1">
      <alignment horizontal="center"/>
    </xf>
    <xf borderId="55" fillId="0" fontId="13" numFmtId="10" xfId="0" applyAlignment="1" applyBorder="1" applyFont="1" applyNumberFormat="1">
      <alignment horizontal="center"/>
    </xf>
    <xf borderId="54" fillId="0" fontId="13" numFmtId="10" xfId="0" applyAlignment="1" applyBorder="1" applyFont="1" applyNumberFormat="1">
      <alignment horizontal="center"/>
    </xf>
    <xf borderId="23" fillId="0" fontId="13" numFmtId="10" xfId="0" applyAlignment="1" applyBorder="1" applyFont="1" applyNumberFormat="1">
      <alignment horizontal="center"/>
    </xf>
    <xf borderId="53" fillId="0" fontId="3" numFmtId="3" xfId="0" applyBorder="1" applyFont="1" applyNumberFormat="1"/>
    <xf borderId="25" fillId="0" fontId="13" numFmtId="10" xfId="0" applyAlignment="1" applyBorder="1" applyFont="1" applyNumberFormat="1">
      <alignment horizontal="center"/>
    </xf>
    <xf borderId="60" fillId="0" fontId="13" numFmtId="10" xfId="0" applyAlignment="1" applyBorder="1" applyFont="1" applyNumberFormat="1">
      <alignment horizontal="center"/>
    </xf>
    <xf borderId="16" fillId="0" fontId="8" numFmtId="165" xfId="0" applyBorder="1" applyFont="1" applyNumberFormat="1"/>
    <xf borderId="65" fillId="0" fontId="13" numFmtId="10" xfId="0" applyAlignment="1" applyBorder="1" applyFont="1" applyNumberFormat="1">
      <alignment horizontal="center"/>
    </xf>
    <xf borderId="26" fillId="0" fontId="13" numFmtId="10" xfId="0" applyAlignment="1" applyBorder="1" applyFont="1" applyNumberFormat="1">
      <alignment horizontal="center"/>
    </xf>
    <xf borderId="24" fillId="0" fontId="8" numFmtId="165" xfId="0" applyBorder="1" applyFont="1" applyNumberFormat="1"/>
    <xf borderId="24" fillId="0" fontId="3" numFmtId="3" xfId="0" applyBorder="1" applyFont="1" applyNumberFormat="1"/>
    <xf borderId="32" fillId="0" fontId="13" numFmtId="10" xfId="0" applyAlignment="1" applyBorder="1" applyFont="1" applyNumberFormat="1">
      <alignment horizontal="center"/>
    </xf>
    <xf borderId="34" fillId="0" fontId="13" numFmtId="10" xfId="0" applyAlignment="1" applyBorder="1" applyFont="1" applyNumberFormat="1">
      <alignment horizontal="center"/>
    </xf>
    <xf borderId="65" fillId="0" fontId="8" numFmtId="165" xfId="0" applyAlignment="1" applyBorder="1" applyFont="1" applyNumberFormat="1">
      <alignment horizontal="center"/>
    </xf>
    <xf borderId="25" fillId="0" fontId="8" numFmtId="165" xfId="0" applyBorder="1" applyFont="1" applyNumberFormat="1"/>
    <xf borderId="23" fillId="0" fontId="13" numFmtId="10" xfId="0" applyBorder="1" applyFont="1" applyNumberFormat="1"/>
    <xf borderId="26" fillId="0" fontId="13" numFmtId="10" xfId="0" applyBorder="1" applyFont="1" applyNumberFormat="1"/>
    <xf borderId="60" fillId="0" fontId="13" numFmtId="0" xfId="0" applyAlignment="1" applyBorder="1" applyFont="1">
      <alignment horizontal="center"/>
    </xf>
    <xf borderId="65" fillId="0" fontId="13" numFmtId="0" xfId="0" applyAlignment="1" applyBorder="1" applyFont="1">
      <alignment horizontal="center"/>
    </xf>
    <xf borderId="25" fillId="0" fontId="16" numFmtId="165" xfId="0" applyAlignment="1" applyBorder="1" applyFont="1" applyNumberFormat="1">
      <alignment horizontal="center" vertical="center"/>
    </xf>
    <xf borderId="78" fillId="0" fontId="13" numFmtId="10" xfId="0" applyAlignment="1" applyBorder="1" applyFont="1" applyNumberFormat="1">
      <alignment horizontal="center"/>
    </xf>
    <xf borderId="11" fillId="0" fontId="18" numFmtId="0" xfId="0" applyAlignment="1" applyBorder="1" applyFont="1">
      <alignment horizontal="center"/>
    </xf>
    <xf borderId="12" fillId="0" fontId="18" numFmtId="0" xfId="0" applyAlignment="1" applyBorder="1" applyFont="1">
      <alignment horizontal="center"/>
    </xf>
    <xf borderId="68" fillId="0" fontId="18" numFmtId="0" xfId="0" applyAlignment="1" applyBorder="1" applyFont="1">
      <alignment horizontal="center"/>
    </xf>
    <xf borderId="24" fillId="0" fontId="26" numFmtId="0" xfId="0" applyBorder="1" applyFont="1"/>
    <xf borderId="25" fillId="0" fontId="13" numFmtId="9" xfId="0" applyAlignment="1" applyBorder="1" applyFont="1" applyNumberFormat="1">
      <alignment horizontal="center"/>
    </xf>
    <xf borderId="16" fillId="0" fontId="8" numFmtId="3" xfId="0" applyBorder="1" applyFont="1" applyNumberFormat="1"/>
    <xf borderId="24" fillId="0" fontId="8" numFmtId="3" xfId="0" applyBorder="1" applyFont="1" applyNumberFormat="1"/>
    <xf borderId="39" fillId="0" fontId="13" numFmtId="10" xfId="0" applyAlignment="1" applyBorder="1" applyFont="1" applyNumberFormat="1">
      <alignment horizontal="center"/>
    </xf>
    <xf borderId="39" fillId="0" fontId="13" numFmtId="165" xfId="0" applyAlignment="1" applyBorder="1" applyFont="1" applyNumberFormat="1">
      <alignment horizontal="center"/>
    </xf>
    <xf borderId="47" fillId="0" fontId="13" numFmtId="10" xfId="0" applyAlignment="1" applyBorder="1" applyFont="1" applyNumberFormat="1">
      <alignment horizontal="center"/>
    </xf>
    <xf borderId="102" fillId="0" fontId="8" numFmtId="165" xfId="0" applyBorder="1" applyFont="1" applyNumberFormat="1"/>
    <xf borderId="69" fillId="0" fontId="13" numFmtId="10" xfId="0" applyAlignment="1" applyBorder="1" applyFont="1" applyNumberFormat="1">
      <alignment horizontal="center"/>
    </xf>
    <xf borderId="99" fillId="0" fontId="18" numFmtId="0" xfId="0" applyBorder="1" applyFont="1"/>
    <xf borderId="105" fillId="0" fontId="18" numFmtId="165" xfId="0" applyAlignment="1" applyBorder="1" applyFont="1" applyNumberFormat="1">
      <alignment horizontal="center"/>
    </xf>
    <xf borderId="106" fillId="0" fontId="18" numFmtId="10" xfId="0" applyAlignment="1" applyBorder="1" applyFont="1" applyNumberFormat="1">
      <alignment horizontal="center"/>
    </xf>
    <xf borderId="106" fillId="0" fontId="18" numFmtId="165" xfId="0" applyAlignment="1" applyBorder="1" applyFont="1" applyNumberFormat="1">
      <alignment horizontal="center"/>
    </xf>
    <xf borderId="107" fillId="0" fontId="18" numFmtId="10" xfId="0" applyAlignment="1" applyBorder="1" applyFont="1" applyNumberFormat="1">
      <alignment horizontal="center"/>
    </xf>
    <xf borderId="108" fillId="0" fontId="18" numFmtId="10" xfId="0" applyAlignment="1" applyBorder="1" applyFont="1" applyNumberFormat="1">
      <alignment horizontal="center"/>
    </xf>
    <xf borderId="53" fillId="0" fontId="27" numFmtId="0" xfId="0" applyAlignment="1" applyBorder="1" applyFont="1">
      <alignment horizontal="left"/>
    </xf>
    <xf borderId="54" fillId="0" fontId="13" numFmtId="0" xfId="0" applyAlignment="1" applyBorder="1" applyFont="1">
      <alignment horizontal="center"/>
    </xf>
    <xf borderId="109" fillId="0" fontId="14" numFmtId="0" xfId="0" applyAlignment="1" applyBorder="1" applyFont="1">
      <alignment horizontal="center"/>
    </xf>
    <xf borderId="110" fillId="0" fontId="5" numFmtId="0" xfId="0" applyBorder="1" applyFont="1"/>
    <xf borderId="78" fillId="0" fontId="13" numFmtId="0" xfId="0" applyAlignment="1" applyBorder="1" applyFont="1">
      <alignment horizontal="center"/>
    </xf>
    <xf borderId="103" fillId="0" fontId="28" numFmtId="0" xfId="0" applyBorder="1" applyFont="1"/>
    <xf borderId="53" fillId="0" fontId="16" numFmtId="0" xfId="0" applyBorder="1" applyFont="1"/>
    <xf borderId="58" fillId="0" fontId="13" numFmtId="165" xfId="0" applyAlignment="1" applyBorder="1" applyFont="1" applyNumberFormat="1">
      <alignment horizontal="center"/>
    </xf>
    <xf borderId="9" fillId="0" fontId="18" numFmtId="10" xfId="0" applyAlignment="1" applyBorder="1" applyFont="1" applyNumberFormat="1">
      <alignment horizontal="center"/>
    </xf>
    <xf borderId="19" fillId="0" fontId="8" numFmtId="165" xfId="0" applyBorder="1" applyFont="1" applyNumberFormat="1"/>
    <xf borderId="53" fillId="0" fontId="8" numFmtId="165" xfId="0" applyBorder="1" applyFont="1" applyNumberFormat="1"/>
    <xf borderId="59" fillId="0" fontId="13" numFmtId="165" xfId="0" applyAlignment="1" applyBorder="1" applyFont="1" applyNumberFormat="1">
      <alignment horizontal="center"/>
    </xf>
    <xf borderId="103" fillId="0" fontId="16" numFmtId="0" xfId="0" applyBorder="1" applyFont="1"/>
    <xf borderId="39" fillId="0" fontId="13" numFmtId="0" xfId="0" applyAlignment="1" applyBorder="1" applyFont="1">
      <alignment horizontal="center"/>
    </xf>
    <xf borderId="69" fillId="0" fontId="13" numFmtId="0" xfId="0" applyAlignment="1" applyBorder="1" applyFont="1">
      <alignment horizontal="center"/>
    </xf>
    <xf borderId="0" fillId="0" fontId="13" numFmtId="165" xfId="0" applyFont="1" applyNumberFormat="1"/>
    <xf borderId="111" fillId="8" fontId="18" numFmtId="165" xfId="0" applyAlignment="1" applyBorder="1" applyFont="1" applyNumberFormat="1">
      <alignment horizontal="center" shrinkToFit="0" vertical="top" wrapText="1"/>
    </xf>
    <xf borderId="37" fillId="8" fontId="18" numFmtId="0" xfId="0" applyAlignment="1" applyBorder="1" applyFont="1">
      <alignment horizontal="center" shrinkToFit="0" vertical="top" wrapText="1"/>
    </xf>
    <xf borderId="37" fillId="8" fontId="18" numFmtId="165" xfId="0" applyAlignment="1" applyBorder="1" applyFont="1" applyNumberFormat="1">
      <alignment horizontal="center" shrinkToFit="0" vertical="top" wrapText="1"/>
    </xf>
    <xf borderId="112" fillId="8" fontId="18" numFmtId="0" xfId="0" applyAlignment="1" applyBorder="1" applyFont="1">
      <alignment horizontal="center" shrinkToFit="0" vertical="top" wrapText="1"/>
    </xf>
    <xf borderId="113" fillId="8" fontId="18" numFmtId="0" xfId="0" applyAlignment="1" applyBorder="1" applyFont="1">
      <alignment horizontal="center" shrinkToFit="0" vertical="top" wrapText="1"/>
    </xf>
    <xf borderId="19" fillId="0" fontId="29" numFmtId="165" xfId="0" applyAlignment="1" applyBorder="1" applyFont="1" applyNumberFormat="1">
      <alignment horizontal="center"/>
    </xf>
    <xf borderId="20" fillId="0" fontId="29" numFmtId="0" xfId="0" applyAlignment="1" applyBorder="1" applyFont="1">
      <alignment horizontal="center"/>
    </xf>
    <xf borderId="20" fillId="0" fontId="29" numFmtId="165" xfId="0" applyAlignment="1" applyBorder="1" applyFont="1" applyNumberFormat="1">
      <alignment horizontal="center"/>
    </xf>
    <xf borderId="20" fillId="0" fontId="29" numFmtId="3" xfId="0" applyAlignment="1" applyBorder="1" applyFont="1" applyNumberFormat="1">
      <alignment horizontal="center"/>
    </xf>
    <xf borderId="23" fillId="0" fontId="29" numFmtId="0" xfId="0" applyAlignment="1" applyBorder="1" applyFont="1">
      <alignment horizontal="center"/>
    </xf>
    <xf borderId="16" fillId="0" fontId="29" numFmtId="165" xfId="0" applyAlignment="1" applyBorder="1" applyFont="1" applyNumberFormat="1">
      <alignment horizontal="center"/>
    </xf>
    <xf borderId="25" fillId="0" fontId="29" numFmtId="0" xfId="0" applyAlignment="1" applyBorder="1" applyFont="1">
      <alignment horizontal="center"/>
    </xf>
    <xf borderId="25" fillId="0" fontId="29" numFmtId="165" xfId="0" applyAlignment="1" applyBorder="1" applyFont="1" applyNumberFormat="1">
      <alignment horizontal="center"/>
    </xf>
    <xf borderId="25" fillId="0" fontId="29" numFmtId="3" xfId="0" applyAlignment="1" applyBorder="1" applyFont="1" applyNumberFormat="1">
      <alignment horizontal="center"/>
    </xf>
    <xf borderId="26" fillId="0" fontId="29" numFmtId="0" xfId="0" applyAlignment="1" applyBorder="1" applyFont="1">
      <alignment horizontal="center"/>
    </xf>
    <xf borderId="35" fillId="0" fontId="29" numFmtId="165" xfId="0" applyAlignment="1" applyBorder="1" applyFont="1" applyNumberFormat="1">
      <alignment horizontal="center"/>
    </xf>
    <xf borderId="32" fillId="0" fontId="29" numFmtId="0" xfId="0" applyAlignment="1" applyBorder="1" applyFont="1">
      <alignment horizontal="center"/>
    </xf>
    <xf borderId="32" fillId="0" fontId="29" numFmtId="165" xfId="0" applyAlignment="1" applyBorder="1" applyFont="1" applyNumberFormat="1">
      <alignment horizontal="center"/>
    </xf>
    <xf borderId="32" fillId="0" fontId="29" numFmtId="3" xfId="0" applyAlignment="1" applyBorder="1" applyFont="1" applyNumberFormat="1">
      <alignment horizontal="center"/>
    </xf>
    <xf borderId="34" fillId="0" fontId="29" numFmtId="0" xfId="0" applyAlignment="1" applyBorder="1" applyFont="1">
      <alignment horizontal="center"/>
    </xf>
    <xf borderId="11" fillId="0" fontId="18" numFmtId="3" xfId="0" applyAlignment="1" applyBorder="1" applyFont="1" applyNumberFormat="1">
      <alignment horizontal="center"/>
    </xf>
    <xf borderId="20" fillId="0" fontId="13" numFmtId="3" xfId="0" applyAlignment="1" applyBorder="1" applyFont="1" applyNumberFormat="1">
      <alignment horizontal="center"/>
    </xf>
    <xf borderId="55" fillId="0" fontId="13" numFmtId="0" xfId="0" applyAlignment="1" applyBorder="1" applyFont="1">
      <alignment horizontal="center"/>
    </xf>
    <xf borderId="25" fillId="0" fontId="13" numFmtId="3" xfId="0" applyAlignment="1" applyBorder="1" applyFont="1" applyNumberFormat="1">
      <alignment horizontal="center"/>
    </xf>
    <xf borderId="16" fillId="0" fontId="25" numFmtId="165" xfId="0" applyBorder="1" applyFont="1" applyNumberFormat="1"/>
    <xf borderId="102" fillId="0" fontId="3" numFmtId="3" xfId="0" applyBorder="1" applyFont="1" applyNumberFormat="1"/>
    <xf borderId="24" fillId="7" fontId="13" numFmtId="0" xfId="0" applyBorder="1" applyFont="1"/>
    <xf borderId="25" fillId="0" fontId="16" numFmtId="3" xfId="0" applyAlignment="1" applyBorder="1" applyFont="1" applyNumberFormat="1">
      <alignment horizontal="center" vertical="center"/>
    </xf>
    <xf borderId="28" fillId="7" fontId="13" numFmtId="0" xfId="0" applyBorder="1" applyFont="1"/>
    <xf borderId="16" fillId="0" fontId="30" numFmtId="3" xfId="0" applyBorder="1" applyFont="1" applyNumberFormat="1"/>
    <xf borderId="24" fillId="0" fontId="30" numFmtId="3" xfId="0" applyBorder="1" applyFont="1" applyNumberFormat="1"/>
    <xf borderId="9" fillId="0" fontId="14" numFmtId="0" xfId="0" applyBorder="1" applyFont="1"/>
    <xf borderId="13" fillId="0" fontId="18" numFmtId="0" xfId="0" applyBorder="1" applyFont="1"/>
    <xf borderId="24" fillId="0" fontId="31" numFmtId="0" xfId="0" applyAlignment="1" applyBorder="1" applyFont="1">
      <alignment horizontal="left"/>
    </xf>
    <xf borderId="9" fillId="7" fontId="18" numFmtId="0" xfId="0" applyBorder="1" applyFont="1"/>
    <xf borderId="9" fillId="7" fontId="18" numFmtId="165" xfId="0" applyAlignment="1" applyBorder="1" applyFont="1" applyNumberFormat="1">
      <alignment horizontal="center"/>
    </xf>
    <xf borderId="9" fillId="7" fontId="18" numFmtId="10" xfId="0" applyAlignment="1" applyBorder="1" applyFont="1" applyNumberFormat="1">
      <alignment horizontal="center"/>
    </xf>
    <xf borderId="9" fillId="7" fontId="18" numFmtId="0" xfId="0" applyAlignment="1" applyBorder="1" applyFont="1">
      <alignment horizontal="center"/>
    </xf>
    <xf borderId="9" fillId="0" fontId="18" numFmtId="3" xfId="0" applyAlignment="1" applyBorder="1" applyFont="1" applyNumberFormat="1">
      <alignment horizontal="center"/>
    </xf>
    <xf borderId="9" fillId="0" fontId="13" numFmtId="10" xfId="0" applyAlignment="1" applyBorder="1" applyFont="1" applyNumberFormat="1">
      <alignment horizontal="center"/>
    </xf>
    <xf borderId="9" fillId="0" fontId="13" numFmtId="0" xfId="0" applyAlignment="1" applyBorder="1" applyFont="1">
      <alignment horizontal="center"/>
    </xf>
    <xf borderId="20" fillId="0" fontId="13" numFmtId="0" xfId="0" applyBorder="1" applyFont="1"/>
    <xf borderId="23" fillId="0" fontId="13" numFmtId="0" xfId="0" applyBorder="1" applyFont="1"/>
    <xf borderId="60" fillId="0" fontId="13" numFmtId="0" xfId="0" applyBorder="1" applyFont="1"/>
    <xf borderId="26" fillId="0" fontId="13" numFmtId="0" xfId="0" applyBorder="1" applyFont="1"/>
    <xf borderId="25" fillId="0" fontId="13" numFmtId="165" xfId="0" applyBorder="1" applyFont="1" applyNumberFormat="1"/>
    <xf borderId="65" fillId="0" fontId="13" numFmtId="0" xfId="0" applyBorder="1" applyFont="1"/>
    <xf borderId="32" fillId="0" fontId="13" numFmtId="0" xfId="0" applyBorder="1" applyFont="1"/>
    <xf borderId="32" fillId="0" fontId="13" numFmtId="165" xfId="0" applyBorder="1" applyFont="1" applyNumberFormat="1"/>
    <xf borderId="34" fillId="0" fontId="13" numFmtId="0" xfId="0" applyBorder="1" applyFont="1"/>
    <xf borderId="78" fillId="0" fontId="13" numFmtId="0" xfId="0" applyBorder="1" applyFont="1"/>
    <xf borderId="0" fillId="0" fontId="32" numFmtId="0" xfId="0" applyFont="1"/>
    <xf borderId="9" fillId="0" fontId="13" numFmtId="165" xfId="0" applyBorder="1" applyFont="1" applyNumberFormat="1"/>
    <xf borderId="20" fillId="0" fontId="13" numFmtId="165" xfId="0" applyBorder="1" applyFont="1" applyNumberFormat="1"/>
    <xf borderId="54" fillId="0" fontId="13" numFmtId="0" xfId="0" applyBorder="1" applyFont="1"/>
    <xf borderId="9" fillId="0" fontId="18" numFmtId="165" xfId="0" applyBorder="1" applyFont="1" applyNumberFormat="1"/>
    <xf borderId="102" fillId="0" fontId="16" numFmtId="0" xfId="0" applyBorder="1" applyFont="1"/>
    <xf borderId="39" fillId="0" fontId="13" numFmtId="0" xfId="0" applyBorder="1" applyFont="1"/>
    <xf borderId="47" fillId="0" fontId="13" numFmtId="0" xfId="0" applyBorder="1" applyFont="1"/>
    <xf borderId="69" fillId="0" fontId="13" numFmtId="0" xfId="0" applyBorder="1" applyFont="1"/>
    <xf borderId="11" fillId="0" fontId="18" numFmtId="0" xfId="0" applyBorder="1" applyFont="1"/>
    <xf borderId="12" fillId="0" fontId="18" numFmtId="0" xfId="0" applyBorder="1" applyFont="1"/>
    <xf quotePrefix="1" borderId="2" fillId="8" fontId="18" numFmtId="0" xfId="0" applyAlignment="1" applyBorder="1" applyFont="1">
      <alignment horizontal="center" vertical="center"/>
    </xf>
    <xf quotePrefix="1" borderId="5" fillId="8" fontId="18" numFmtId="0" xfId="0" applyAlignment="1" applyBorder="1" applyFont="1">
      <alignment horizontal="center" vertical="center"/>
    </xf>
    <xf quotePrefix="1" borderId="5" fillId="8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/>
    </xf>
    <xf borderId="0" fillId="0" fontId="16" numFmtId="0" xfId="0" applyAlignment="1" applyFont="1">
      <alignment shrinkToFit="1" vertical="top" wrapText="0"/>
    </xf>
    <xf borderId="13" fillId="8" fontId="18" numFmtId="0" xfId="0" applyAlignment="1" applyBorder="1" applyFont="1">
      <alignment horizontal="center" shrinkToFit="1" vertical="center" wrapText="0"/>
    </xf>
    <xf borderId="11" fillId="8" fontId="18" numFmtId="0" xfId="0" applyAlignment="1" applyBorder="1" applyFont="1">
      <alignment horizontal="center" shrinkToFit="1" vertical="center" wrapText="0"/>
    </xf>
    <xf borderId="12" fillId="8" fontId="18" numFmtId="0" xfId="0" applyAlignment="1" applyBorder="1" applyFont="1">
      <alignment horizontal="center" shrinkToFit="1" vertical="center" wrapText="0"/>
    </xf>
    <xf borderId="9" fillId="8" fontId="18" numFmtId="0" xfId="0" applyAlignment="1" applyBorder="1" applyFont="1">
      <alignment horizontal="center" shrinkToFit="1" vertical="center" wrapText="0"/>
    </xf>
    <xf borderId="0" fillId="0" fontId="18" numFmtId="0" xfId="0" applyAlignment="1" applyFont="1">
      <alignment shrinkToFit="1" vertical="top" wrapText="0"/>
    </xf>
    <xf borderId="19" fillId="0" fontId="13" numFmtId="3" xfId="0" applyAlignment="1" applyBorder="1" applyFont="1" applyNumberFormat="1">
      <alignment horizontal="center"/>
    </xf>
    <xf borderId="16" fillId="0" fontId="13" numFmtId="3" xfId="0" applyAlignment="1" applyBorder="1" applyFont="1" applyNumberFormat="1">
      <alignment horizontal="center"/>
    </xf>
    <xf borderId="35" fillId="0" fontId="13" numFmtId="3" xfId="0" applyAlignment="1" applyBorder="1" applyFont="1" applyNumberFormat="1">
      <alignment horizontal="center"/>
    </xf>
    <xf borderId="32" fillId="0" fontId="13" numFmtId="3" xfId="0" applyAlignment="1" applyBorder="1" applyFont="1" applyNumberFormat="1">
      <alignment horizontal="center"/>
    </xf>
    <xf borderId="114" fillId="7" fontId="18" numFmtId="0" xfId="0" applyBorder="1" applyFont="1"/>
    <xf borderId="13" fillId="7" fontId="18" numFmtId="3" xfId="0" applyAlignment="1" applyBorder="1" applyFont="1" applyNumberFormat="1">
      <alignment horizontal="center"/>
    </xf>
    <xf borderId="11" fillId="7" fontId="18" numFmtId="0" xfId="0" applyAlignment="1" applyBorder="1" applyFont="1">
      <alignment horizontal="center"/>
    </xf>
    <xf borderId="11" fillId="7" fontId="18" numFmtId="3" xfId="0" applyAlignment="1" applyBorder="1" applyFont="1" applyNumberFormat="1">
      <alignment horizontal="center"/>
    </xf>
    <xf borderId="11" fillId="7" fontId="13" numFmtId="3" xfId="0" applyAlignment="1" applyBorder="1" applyFont="1" applyNumberFormat="1">
      <alignment horizontal="center"/>
    </xf>
    <xf borderId="11" fillId="7" fontId="13" numFmtId="0" xfId="0" applyAlignment="1" applyBorder="1" applyFont="1">
      <alignment horizontal="center"/>
    </xf>
    <xf borderId="1" fillId="7" fontId="18" numFmtId="3" xfId="0" applyAlignment="1" applyBorder="1" applyFont="1" applyNumberFormat="1">
      <alignment horizontal="center"/>
    </xf>
    <xf borderId="115" fillId="7" fontId="18" numFmtId="0" xfId="0" applyAlignment="1" applyBorder="1" applyFont="1">
      <alignment horizontal="center"/>
    </xf>
    <xf borderId="25" fillId="7" fontId="18" numFmtId="3" xfId="0" applyAlignment="1" applyBorder="1" applyFont="1" applyNumberFormat="1">
      <alignment horizontal="center"/>
    </xf>
    <xf borderId="26" fillId="7" fontId="18" numFmtId="0" xfId="0" applyAlignment="1" applyBorder="1" applyFont="1">
      <alignment horizontal="center"/>
    </xf>
    <xf borderId="65" fillId="7" fontId="18" numFmtId="0" xfId="0" applyAlignment="1" applyBorder="1" applyFont="1">
      <alignment horizontal="center"/>
    </xf>
    <xf borderId="19" fillId="0" fontId="13" numFmtId="3" xfId="0" applyAlignment="1" applyBorder="1" applyFont="1" applyNumberFormat="1">
      <alignment horizontal="right"/>
    </xf>
    <xf borderId="16" fillId="0" fontId="3" numFmtId="3" xfId="0" applyAlignment="1" applyBorder="1" applyFont="1" applyNumberFormat="1">
      <alignment horizontal="right"/>
    </xf>
    <xf borderId="35" fillId="0" fontId="13" numFmtId="3" xfId="0" applyAlignment="1" applyBorder="1" applyFont="1" applyNumberFormat="1">
      <alignment horizontal="right"/>
    </xf>
    <xf borderId="35" fillId="0" fontId="25" numFmtId="165" xfId="0" applyAlignment="1" applyBorder="1" applyFont="1" applyNumberFormat="1">
      <alignment horizontal="right"/>
    </xf>
    <xf borderId="103" fillId="0" fontId="25" numFmtId="165" xfId="0" applyBorder="1" applyFont="1" applyNumberFormat="1"/>
    <xf borderId="65" fillId="0" fontId="13" numFmtId="165" xfId="0" applyAlignment="1" applyBorder="1" applyFont="1" applyNumberFormat="1">
      <alignment horizontal="right"/>
    </xf>
    <xf borderId="16" fillId="0" fontId="13" numFmtId="165" xfId="0" applyAlignment="1" applyBorder="1" applyFont="1" applyNumberFormat="1">
      <alignment horizontal="right"/>
    </xf>
    <xf borderId="65" fillId="0" fontId="13" numFmtId="3" xfId="0" applyAlignment="1" applyBorder="1" applyFont="1" applyNumberFormat="1">
      <alignment horizontal="right"/>
    </xf>
    <xf borderId="16" fillId="0" fontId="13" numFmtId="3" xfId="0" applyAlignment="1" applyBorder="1" applyFont="1" applyNumberFormat="1">
      <alignment horizontal="right"/>
    </xf>
    <xf borderId="24" fillId="0" fontId="13" numFmtId="3" xfId="0" applyAlignment="1" applyBorder="1" applyFont="1" applyNumberFormat="1">
      <alignment horizontal="center"/>
    </xf>
    <xf borderId="53" fillId="0" fontId="13" numFmtId="3" xfId="0" applyAlignment="1" applyBorder="1" applyFont="1" applyNumberFormat="1">
      <alignment horizontal="center"/>
    </xf>
    <xf borderId="103" fillId="0" fontId="13" numFmtId="3" xfId="0" applyAlignment="1" applyBorder="1" applyFont="1" applyNumberFormat="1">
      <alignment horizontal="center"/>
    </xf>
    <xf borderId="16" fillId="0" fontId="25" numFmtId="165" xfId="0" applyAlignment="1" applyBorder="1" applyFont="1" applyNumberFormat="1">
      <alignment horizontal="right"/>
    </xf>
    <xf borderId="16" fillId="0" fontId="16" numFmtId="165" xfId="0" applyAlignment="1" applyBorder="1" applyFont="1" applyNumberFormat="1">
      <alignment horizontal="right" vertical="center"/>
    </xf>
    <xf borderId="19" fillId="0" fontId="16" numFmtId="165" xfId="0" applyAlignment="1" applyBorder="1" applyFont="1" applyNumberFormat="1">
      <alignment horizontal="right" vertical="center"/>
    </xf>
    <xf borderId="53" fillId="0" fontId="16" numFmtId="165" xfId="0" applyAlignment="1" applyBorder="1" applyFont="1" applyNumberFormat="1">
      <alignment horizontal="center" vertical="center"/>
    </xf>
    <xf borderId="13" fillId="0" fontId="18" numFmtId="3" xfId="0" applyAlignment="1" applyBorder="1" applyFont="1" applyNumberFormat="1">
      <alignment horizontal="center"/>
    </xf>
    <xf borderId="26" fillId="0" fontId="13" numFmtId="3" xfId="0" applyAlignment="1" applyBorder="1" applyFont="1" applyNumberFormat="1">
      <alignment horizontal="center"/>
    </xf>
    <xf borderId="24" fillId="0" fontId="33" numFmtId="0" xfId="0" applyBorder="1" applyFont="1"/>
    <xf borderId="39" fillId="0" fontId="13" numFmtId="3" xfId="0" applyAlignment="1" applyBorder="1" applyFont="1" applyNumberFormat="1">
      <alignment horizontal="center"/>
    </xf>
    <xf borderId="102" fillId="0" fontId="13" numFmtId="3" xfId="0" applyAlignment="1" applyBorder="1" applyFont="1" applyNumberFormat="1">
      <alignment horizontal="center"/>
    </xf>
    <xf borderId="65" fillId="0" fontId="18" numFmtId="3" xfId="0" applyAlignment="1" applyBorder="1" applyFont="1" applyNumberFormat="1">
      <alignment horizontal="center"/>
    </xf>
    <xf borderId="26" fillId="0" fontId="18" numFmtId="10" xfId="0" applyAlignment="1" applyBorder="1" applyFont="1" applyNumberFormat="1">
      <alignment horizontal="center"/>
    </xf>
    <xf borderId="16" fillId="0" fontId="13" numFmtId="164" xfId="0" applyAlignment="1" applyBorder="1" applyFont="1" applyNumberFormat="1">
      <alignment horizontal="center"/>
    </xf>
    <xf borderId="24" fillId="0" fontId="13" numFmtId="164" xfId="0" applyAlignment="1" applyBorder="1" applyFont="1" applyNumberFormat="1">
      <alignment horizontal="center"/>
    </xf>
    <xf borderId="19" fillId="0" fontId="13" numFmtId="164" xfId="0" applyAlignment="1" applyBorder="1" applyFont="1" applyNumberFormat="1">
      <alignment horizontal="center"/>
    </xf>
    <xf borderId="53" fillId="0" fontId="13" numFmtId="164" xfId="0" applyAlignment="1" applyBorder="1" applyFont="1" applyNumberFormat="1">
      <alignment horizontal="center"/>
    </xf>
    <xf borderId="65" fillId="0" fontId="13" numFmtId="3" xfId="0" applyAlignment="1" applyBorder="1" applyFont="1" applyNumberFormat="1">
      <alignment horizontal="center"/>
    </xf>
    <xf borderId="103" fillId="0" fontId="34" numFmtId="0" xfId="0" applyBorder="1" applyFont="1"/>
    <xf borderId="9" fillId="0" fontId="13" numFmtId="3" xfId="0" applyAlignment="1" applyBorder="1" applyFont="1" applyNumberFormat="1">
      <alignment horizontal="center"/>
    </xf>
    <xf borderId="65" fillId="0" fontId="18" numFmtId="10" xfId="0" applyAlignment="1" applyBorder="1" applyFont="1" applyNumberFormat="1">
      <alignment horizontal="center"/>
    </xf>
    <xf borderId="25" fillId="0" fontId="18" numFmtId="3" xfId="0" applyAlignment="1" applyBorder="1" applyFont="1" applyNumberFormat="1">
      <alignment horizontal="center"/>
    </xf>
    <xf borderId="36" fillId="0" fontId="13" numFmtId="164" xfId="0" applyAlignment="1" applyBorder="1" applyFont="1" applyNumberFormat="1">
      <alignment horizontal="center"/>
    </xf>
    <xf borderId="102" fillId="0" fontId="13" numFmtId="164" xfId="0" applyAlignment="1" applyBorder="1" applyFont="1" applyNumberFormat="1">
      <alignment horizontal="center"/>
    </xf>
    <xf borderId="25" fillId="0" fontId="13" numFmtId="1" xfId="0" applyAlignment="1" applyBorder="1" applyFont="1" applyNumberFormat="1">
      <alignment horizontal="center"/>
    </xf>
    <xf borderId="16" fillId="0" fontId="18" numFmtId="3" xfId="0" applyAlignment="1" applyBorder="1" applyFont="1" applyNumberFormat="1">
      <alignment horizontal="center"/>
    </xf>
    <xf borderId="0" fillId="0" fontId="13" numFmtId="3" xfId="0" applyFont="1" applyNumberFormat="1"/>
    <xf borderId="0" fillId="0" fontId="35" numFmtId="0" xfId="0" applyFont="1"/>
    <xf borderId="11" fillId="8" fontId="18" numFmtId="0" xfId="0" applyAlignment="1" applyBorder="1" applyFont="1">
      <alignment horizontal="center" shrinkToFit="0" vertical="top" wrapText="1"/>
    </xf>
    <xf borderId="11" fillId="8" fontId="18" numFmtId="165" xfId="0" applyAlignment="1" applyBorder="1" applyFont="1" applyNumberFormat="1">
      <alignment horizontal="center" shrinkToFit="0" vertical="top" wrapText="1"/>
    </xf>
    <xf borderId="24" fillId="0" fontId="13" numFmtId="10" xfId="0" applyAlignment="1" applyBorder="1" applyFont="1" applyNumberFormat="1">
      <alignment horizontal="center"/>
    </xf>
    <xf borderId="104" fillId="0" fontId="13" numFmtId="0" xfId="0" applyAlignment="1" applyBorder="1" applyFont="1">
      <alignment horizontal="center"/>
    </xf>
    <xf borderId="116" fillId="0" fontId="13" numFmtId="3" xfId="0" applyAlignment="1" applyBorder="1" applyFont="1" applyNumberFormat="1">
      <alignment horizontal="center"/>
    </xf>
    <xf borderId="64" fillId="0" fontId="13" numFmtId="0" xfId="0" applyAlignment="1" applyBorder="1" applyFont="1">
      <alignment horizontal="center"/>
    </xf>
    <xf borderId="64" fillId="0" fontId="13" numFmtId="165" xfId="0" applyAlignment="1" applyBorder="1" applyFont="1" applyNumberFormat="1">
      <alignment horizontal="center"/>
    </xf>
    <xf borderId="64" fillId="0" fontId="13" numFmtId="3" xfId="0" applyAlignment="1" applyBorder="1" applyFont="1" applyNumberFormat="1">
      <alignment horizontal="center"/>
    </xf>
    <xf borderId="117" fillId="0" fontId="13" numFmtId="0" xfId="0" applyAlignment="1" applyBorder="1" applyFont="1">
      <alignment horizontal="center"/>
    </xf>
    <xf borderId="104" fillId="0" fontId="13" numFmtId="165" xfId="0" applyAlignment="1" applyBorder="1" applyFont="1" applyNumberFormat="1">
      <alignment horizontal="center"/>
    </xf>
    <xf borderId="104" fillId="0" fontId="13" numFmtId="3" xfId="0" applyAlignment="1" applyBorder="1" applyFont="1" applyNumberFormat="1">
      <alignment horizontal="center"/>
    </xf>
    <xf borderId="53" fillId="0" fontId="13" numFmtId="10" xfId="0" applyAlignment="1" applyBorder="1" applyFont="1" applyNumberFormat="1">
      <alignment horizontal="center"/>
    </xf>
    <xf borderId="9" fillId="7" fontId="18" numFmtId="3" xfId="0" applyAlignment="1" applyBorder="1" applyFont="1" applyNumberFormat="1">
      <alignment horizontal="center"/>
    </xf>
    <xf borderId="9" fillId="7" fontId="13" numFmtId="3" xfId="0" applyAlignment="1" applyBorder="1" applyFont="1" applyNumberFormat="1">
      <alignment horizontal="center"/>
    </xf>
    <xf borderId="9" fillId="7" fontId="13" numFmtId="0" xfId="0" applyAlignment="1" applyBorder="1" applyFont="1">
      <alignment horizontal="center"/>
    </xf>
    <xf borderId="71" fillId="0" fontId="10" numFmtId="0" xfId="0" applyBorder="1" applyFont="1"/>
    <xf borderId="102" fillId="0" fontId="10" numFmtId="0" xfId="0" applyBorder="1" applyFont="1"/>
    <xf borderId="24" fillId="0" fontId="13" numFmtId="10" xfId="0" applyBorder="1" applyFont="1" applyNumberFormat="1"/>
    <xf borderId="25" fillId="0" fontId="13" numFmtId="164" xfId="0" applyAlignment="1" applyBorder="1" applyFont="1" applyNumberFormat="1">
      <alignment horizontal="center"/>
    </xf>
    <xf borderId="26" fillId="0" fontId="13" numFmtId="164" xfId="0" applyAlignment="1" applyBorder="1" applyFont="1" applyNumberFormat="1">
      <alignment horizontal="center"/>
    </xf>
    <xf borderId="103" fillId="0" fontId="13" numFmtId="10" xfId="0" applyAlignment="1" applyBorder="1" applyFont="1" applyNumberFormat="1">
      <alignment horizontal="center"/>
    </xf>
    <xf borderId="24" fillId="0" fontId="13" numFmtId="9" xfId="0" applyBorder="1" applyFont="1" applyNumberFormat="1"/>
    <xf borderId="24" fillId="0" fontId="18" numFmtId="0" xfId="0" applyAlignment="1" applyBorder="1" applyFont="1">
      <alignment horizontal="center"/>
    </xf>
    <xf borderId="0" fillId="0" fontId="13" numFmtId="10" xfId="0" applyFont="1" applyNumberFormat="1"/>
    <xf borderId="24" fillId="0" fontId="18" numFmtId="10" xfId="0" applyAlignment="1" applyBorder="1" applyFont="1" applyNumberFormat="1">
      <alignment horizontal="center"/>
    </xf>
    <xf borderId="9" fillId="0" fontId="36" numFmtId="0" xfId="0" applyBorder="1" applyFont="1"/>
    <xf borderId="114" fillId="7" fontId="4" numFmtId="0" xfId="0" applyBorder="1" applyFont="1"/>
    <xf borderId="102" fillId="0" fontId="13" numFmtId="0" xfId="0" applyAlignment="1" applyBorder="1" applyFont="1">
      <alignment horizontal="center"/>
    </xf>
    <xf borderId="9" fillId="0" fontId="37" numFmtId="0" xfId="0" applyAlignment="1" applyBorder="1" applyFont="1">
      <alignment horizontal="left"/>
    </xf>
    <xf borderId="25" fillId="0" fontId="18" numFmtId="10" xfId="0" applyAlignment="1" applyBorder="1" applyFont="1" applyNumberFormat="1">
      <alignment horizontal="center"/>
    </xf>
    <xf borderId="25" fillId="0" fontId="18" numFmtId="165" xfId="0" applyAlignment="1" applyBorder="1" applyFont="1" applyNumberFormat="1">
      <alignment horizontal="center"/>
    </xf>
    <xf borderId="26" fillId="0" fontId="18" numFmtId="0" xfId="0" applyAlignment="1" applyBorder="1" applyFont="1">
      <alignment horizontal="center"/>
    </xf>
    <xf borderId="24" fillId="0" fontId="18" numFmtId="3" xfId="0" applyAlignment="1" applyBorder="1" applyFont="1" applyNumberFormat="1">
      <alignment horizontal="center"/>
    </xf>
    <xf borderId="9" fillId="0" fontId="13" numFmtId="164" xfId="0" applyAlignment="1" applyBorder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111" fillId="8" fontId="18" numFmtId="0" xfId="0" applyAlignment="1" applyBorder="1" applyFont="1">
      <alignment horizontal="center" shrinkToFit="0" vertical="center" wrapText="1"/>
    </xf>
    <xf borderId="37" fillId="8" fontId="18" numFmtId="0" xfId="0" applyAlignment="1" applyBorder="1" applyFont="1">
      <alignment horizontal="center" shrinkToFit="0" vertical="center" wrapText="1"/>
    </xf>
    <xf borderId="37" fillId="8" fontId="18" numFmtId="165" xfId="0" applyAlignment="1" applyBorder="1" applyFont="1" applyNumberFormat="1">
      <alignment horizontal="center" shrinkToFit="0" vertical="center" wrapText="1"/>
    </xf>
    <xf borderId="112" fillId="8" fontId="18" numFmtId="0" xfId="0" applyAlignment="1" applyBorder="1" applyFont="1">
      <alignment horizontal="center" shrinkToFit="0" vertical="center" wrapText="1"/>
    </xf>
    <xf borderId="9" fillId="8" fontId="18" numFmtId="0" xfId="0" applyAlignment="1" applyBorder="1" applyFont="1">
      <alignment horizontal="center" shrinkToFit="0" vertical="center" wrapText="1"/>
    </xf>
    <xf borderId="9" fillId="8" fontId="18" numFmtId="165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top" wrapText="1"/>
    </xf>
    <xf borderId="9" fillId="7" fontId="13" numFmtId="165" xfId="0" applyAlignment="1" applyBorder="1" applyFont="1" applyNumberFormat="1">
      <alignment horizontal="center"/>
    </xf>
    <xf borderId="34" fillId="0" fontId="13" numFmtId="10" xfId="0" applyBorder="1" applyFont="1" applyNumberFormat="1"/>
    <xf borderId="11" fillId="0" fontId="18" numFmtId="165" xfId="0" applyBorder="1" applyFont="1" applyNumberFormat="1"/>
    <xf borderId="12" fillId="0" fontId="18" numFmtId="165" xfId="0" applyBorder="1" applyFont="1" applyNumberFormat="1"/>
    <xf borderId="68" fillId="0" fontId="18" numFmtId="165" xfId="0" applyBorder="1" applyFont="1" applyNumberFormat="1"/>
    <xf borderId="70" fillId="0" fontId="13" numFmtId="10" xfId="0" applyBorder="1" applyFont="1" applyNumberFormat="1"/>
    <xf borderId="39" fillId="0" fontId="8" numFmtId="165" xfId="0" applyBorder="1" applyFont="1" applyNumberFormat="1"/>
    <xf borderId="47" fillId="0" fontId="13" numFmtId="10" xfId="0" applyBorder="1" applyFont="1" applyNumberFormat="1"/>
    <xf borderId="39" fillId="0" fontId="13" numFmtId="165" xfId="0" applyBorder="1" applyFont="1" applyNumberFormat="1"/>
    <xf borderId="67" fillId="0" fontId="14" numFmtId="0" xfId="0" applyAlignment="1" applyBorder="1" applyFont="1">
      <alignment horizontal="center"/>
    </xf>
    <xf borderId="63" fillId="0" fontId="5" numFmtId="0" xfId="0" applyBorder="1" applyFont="1"/>
    <xf borderId="60" fillId="0" fontId="13" numFmtId="10" xfId="0" applyBorder="1" applyFont="1" applyNumberFormat="1"/>
    <xf borderId="26" fillId="0" fontId="8" numFmtId="165" xfId="0" applyBorder="1" applyFont="1" applyNumberFormat="1"/>
    <xf borderId="12" fillId="0" fontId="18" numFmtId="10" xfId="0" applyBorder="1" applyFont="1" applyNumberFormat="1"/>
    <xf borderId="0" fillId="0" fontId="2" numFmtId="165" xfId="0" applyFont="1" applyNumberFormat="1"/>
    <xf borderId="0" fillId="0" fontId="4" numFmtId="0" xfId="0" applyFont="1"/>
    <xf borderId="0" fillId="0" fontId="11" numFmtId="0" xfId="0" applyFont="1"/>
    <xf borderId="99" fillId="8" fontId="4" numFmtId="0" xfId="0" applyAlignment="1" applyBorder="1" applyFont="1">
      <alignment horizontal="center" vertical="center"/>
    </xf>
    <xf quotePrefix="1" borderId="5" fillId="8" fontId="4" numFmtId="0" xfId="0" applyAlignment="1" applyBorder="1" applyFont="1">
      <alignment horizontal="center" vertical="center"/>
    </xf>
    <xf quotePrefix="1" borderId="5" fillId="8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shrinkToFit="0" vertical="top" wrapText="1"/>
    </xf>
    <xf borderId="9" fillId="8" fontId="4" numFmtId="165" xfId="0" applyAlignment="1" applyBorder="1" applyFont="1" applyNumberFormat="1">
      <alignment horizontal="center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53" fillId="0" fontId="3" numFmtId="0" xfId="0" applyAlignment="1" applyBorder="1" applyFont="1">
      <alignment horizontal="center"/>
    </xf>
    <xf borderId="53" fillId="0" fontId="3" numFmtId="0" xfId="0" applyBorder="1" applyFont="1"/>
    <xf borderId="57" fillId="0" fontId="3" numFmtId="165" xfId="0" applyAlignment="1" applyBorder="1" applyFont="1" applyNumberFormat="1">
      <alignment horizontal="center"/>
    </xf>
    <xf borderId="53" fillId="0" fontId="3" numFmtId="165" xfId="0" applyAlignment="1" applyBorder="1" applyFont="1" applyNumberFormat="1">
      <alignment horizontal="center"/>
    </xf>
    <xf borderId="53" fillId="0" fontId="3" numFmtId="3" xfId="0" applyAlignment="1" applyBorder="1" applyFont="1" applyNumberFormat="1">
      <alignment horizontal="center"/>
    </xf>
    <xf borderId="19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24" fillId="0" fontId="3" numFmtId="0" xfId="0" applyBorder="1" applyFont="1"/>
    <xf borderId="61" fillId="0" fontId="3" numFmtId="165" xfId="0" applyAlignment="1" applyBorder="1" applyFont="1" applyNumberFormat="1">
      <alignment horizontal="center"/>
    </xf>
    <xf borderId="24" fillId="0" fontId="3" numFmtId="165" xfId="0" applyAlignment="1" applyBorder="1" applyFont="1" applyNumberFormat="1">
      <alignment horizontal="center"/>
    </xf>
    <xf borderId="24" fillId="0" fontId="3" numFmtId="3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/>
    </xf>
    <xf borderId="16" fillId="0" fontId="3" numFmtId="0" xfId="0" applyBorder="1" applyFont="1"/>
    <xf borderId="103" fillId="0" fontId="3" numFmtId="0" xfId="0" applyAlignment="1" applyBorder="1" applyFont="1">
      <alignment horizontal="center"/>
    </xf>
    <xf borderId="103" fillId="0" fontId="3" numFmtId="0" xfId="0" applyBorder="1" applyFont="1"/>
    <xf borderId="63" fillId="0" fontId="3" numFmtId="165" xfId="0" applyAlignment="1" applyBorder="1" applyFont="1" applyNumberFormat="1">
      <alignment horizontal="center"/>
    </xf>
    <xf borderId="103" fillId="0" fontId="3" numFmtId="165" xfId="0" applyAlignment="1" applyBorder="1" applyFont="1" applyNumberFormat="1">
      <alignment horizontal="center"/>
    </xf>
    <xf borderId="103" fillId="0" fontId="3" numFmtId="3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9" fillId="0" fontId="4" numFmtId="165" xfId="0" applyAlignment="1" applyBorder="1" applyFont="1" applyNumberFormat="1">
      <alignment horizontal="center"/>
    </xf>
    <xf borderId="9" fillId="0" fontId="4" numFmtId="3" xfId="0" applyAlignment="1" applyBorder="1" applyFont="1" applyNumberFormat="1">
      <alignment horizontal="center"/>
    </xf>
    <xf borderId="53" fillId="0" fontId="4" numFmtId="0" xfId="0" applyAlignment="1" applyBorder="1" applyFont="1">
      <alignment horizontal="center"/>
    </xf>
    <xf borderId="53" fillId="0" fontId="4" numFmtId="0" xfId="0" applyBorder="1" applyFont="1"/>
    <xf borderId="57" fillId="0" fontId="4" numFmtId="165" xfId="0" applyAlignment="1" applyBorder="1" applyFont="1" applyNumberFormat="1">
      <alignment horizontal="center"/>
    </xf>
    <xf borderId="53" fillId="0" fontId="4" numFmtId="165" xfId="0" applyAlignment="1" applyBorder="1" applyFont="1" applyNumberFormat="1">
      <alignment horizontal="center"/>
    </xf>
    <xf borderId="53" fillId="0" fontId="4" numFmtId="3" xfId="0" applyAlignment="1" applyBorder="1" applyFont="1" applyNumberFormat="1">
      <alignment horizontal="center"/>
    </xf>
    <xf borderId="24" fillId="0" fontId="4" numFmtId="0" xfId="0" applyBorder="1" applyFont="1"/>
    <xf borderId="24" fillId="0" fontId="4" numFmtId="165" xfId="0" applyAlignment="1" applyBorder="1" applyFont="1" applyNumberFormat="1">
      <alignment horizontal="center"/>
    </xf>
    <xf borderId="24" fillId="0" fontId="4" numFmtId="3" xfId="0" applyAlignment="1" applyBorder="1" applyFont="1" applyNumberFormat="1">
      <alignment horizontal="center"/>
    </xf>
    <xf borderId="16" fillId="0" fontId="4" numFmtId="0" xfId="0" applyBorder="1" applyFont="1"/>
    <xf borderId="24" fillId="7" fontId="3" numFmtId="0" xfId="0" applyBorder="1" applyFont="1"/>
    <xf borderId="61" fillId="0" fontId="2" numFmtId="165" xfId="0" applyAlignment="1" applyBorder="1" applyFont="1" applyNumberFormat="1">
      <alignment horizontal="center" vertical="center"/>
    </xf>
    <xf borderId="24" fillId="0" fontId="2" numFmtId="165" xfId="0" applyAlignment="1" applyBorder="1" applyFont="1" applyNumberFormat="1">
      <alignment horizontal="center" vertical="center"/>
    </xf>
    <xf borderId="24" fillId="0" fontId="2" numFmtId="3" xfId="0" applyAlignment="1" applyBorder="1" applyFont="1" applyNumberFormat="1">
      <alignment horizontal="center" vertical="center"/>
    </xf>
    <xf borderId="24" fillId="0" fontId="3" numFmtId="10" xfId="0" applyAlignment="1" applyBorder="1" applyFont="1" applyNumberFormat="1">
      <alignment horizontal="center"/>
    </xf>
    <xf borderId="16" fillId="0" fontId="3" numFmtId="3" xfId="0" applyAlignment="1" applyBorder="1" applyFont="1" applyNumberFormat="1">
      <alignment horizontal="center"/>
    </xf>
    <xf borderId="24" fillId="9" fontId="3" numFmtId="0" xfId="0" applyBorder="1" applyFill="1" applyFont="1"/>
    <xf borderId="118" fillId="9" fontId="3" numFmtId="165" xfId="0" applyAlignment="1" applyBorder="1" applyFont="1" applyNumberFormat="1">
      <alignment horizontal="center"/>
    </xf>
    <xf borderId="24" fillId="9" fontId="3" numFmtId="10" xfId="0" applyAlignment="1" applyBorder="1" applyFont="1" applyNumberFormat="1">
      <alignment horizontal="center"/>
    </xf>
    <xf borderId="24" fillId="9" fontId="3" numFmtId="165" xfId="0" applyAlignment="1" applyBorder="1" applyFont="1" applyNumberFormat="1">
      <alignment horizontal="center"/>
    </xf>
    <xf borderId="24" fillId="9" fontId="3" numFmtId="3" xfId="0" applyAlignment="1" applyBorder="1" applyFont="1" applyNumberFormat="1">
      <alignment horizontal="center"/>
    </xf>
    <xf borderId="16" fillId="9" fontId="3" numFmtId="3" xfId="0" applyAlignment="1" applyBorder="1" applyFont="1" applyNumberFormat="1">
      <alignment horizontal="center"/>
    </xf>
    <xf borderId="74" fillId="9" fontId="3" numFmtId="0" xfId="0" applyBorder="1" applyFont="1"/>
    <xf borderId="61" fillId="0" fontId="3" numFmtId="165" xfId="0" applyBorder="1" applyFont="1" applyNumberFormat="1"/>
    <xf borderId="24" fillId="0" fontId="3" numFmtId="165" xfId="0" applyBorder="1" applyFont="1" applyNumberFormat="1"/>
    <xf borderId="24" fillId="0" fontId="38" numFmtId="0" xfId="0" applyBorder="1" applyFont="1"/>
    <xf borderId="63" fillId="0" fontId="3" numFmtId="165" xfId="0" applyBorder="1" applyFont="1" applyNumberFormat="1"/>
    <xf borderId="103" fillId="0" fontId="3" numFmtId="165" xfId="0" applyBorder="1" applyFont="1" applyNumberFormat="1"/>
    <xf borderId="9" fillId="0" fontId="4" numFmtId="165" xfId="0" applyBorder="1" applyFont="1" applyNumberFormat="1"/>
    <xf borderId="24" fillId="0" fontId="4" numFmtId="165" xfId="0" applyBorder="1" applyFont="1" applyNumberFormat="1"/>
    <xf borderId="9" fillId="0" fontId="39" numFmtId="0" xfId="0" applyBorder="1" applyFont="1"/>
    <xf borderId="8" fillId="0" fontId="4" numFmtId="165" xfId="0" applyBorder="1" applyFont="1" applyNumberFormat="1"/>
    <xf borderId="9" fillId="0" fontId="4" numFmtId="10" xfId="0" applyAlignment="1" applyBorder="1" applyFont="1" applyNumberFormat="1">
      <alignment horizontal="center"/>
    </xf>
    <xf borderId="9" fillId="0" fontId="4" numFmtId="3" xfId="0" applyBorder="1" applyFont="1" applyNumberFormat="1"/>
    <xf borderId="13" fillId="0" fontId="4" numFmtId="10" xfId="0" applyAlignment="1" applyBorder="1" applyFont="1" applyNumberFormat="1">
      <alignment horizontal="center"/>
    </xf>
    <xf borderId="57" fillId="0" fontId="3" numFmtId="165" xfId="0" applyBorder="1" applyFont="1" applyNumberFormat="1"/>
    <xf borderId="53" fillId="0" fontId="3" numFmtId="165" xfId="0" applyBorder="1" applyFont="1" applyNumberFormat="1"/>
    <xf borderId="19" fillId="0" fontId="3" numFmtId="0" xfId="0" applyBorder="1" applyFont="1"/>
    <xf borderId="24" fillId="0" fontId="40" numFmtId="0" xfId="0" applyAlignment="1" applyBorder="1" applyFont="1">
      <alignment horizontal="left"/>
    </xf>
    <xf borderId="16" fillId="0" fontId="4" numFmtId="165" xfId="0" applyBorder="1" applyFont="1" applyNumberFormat="1"/>
    <xf borderId="24" fillId="10" fontId="3" numFmtId="0" xfId="0" applyBorder="1" applyFill="1" applyFont="1"/>
    <xf borderId="118" fillId="10" fontId="3" numFmtId="165" xfId="0" applyAlignment="1" applyBorder="1" applyFont="1" applyNumberFormat="1">
      <alignment horizontal="center"/>
    </xf>
    <xf borderId="24" fillId="10" fontId="3" numFmtId="10" xfId="0" applyAlignment="1" applyBorder="1" applyFont="1" applyNumberFormat="1">
      <alignment horizontal="center"/>
    </xf>
    <xf borderId="24" fillId="10" fontId="3" numFmtId="165" xfId="0" applyAlignment="1" applyBorder="1" applyFont="1" applyNumberFormat="1">
      <alignment horizontal="center"/>
    </xf>
    <xf borderId="24" fillId="10" fontId="3" numFmtId="0" xfId="0" applyAlignment="1" applyBorder="1" applyFont="1">
      <alignment horizontal="center"/>
    </xf>
    <xf borderId="16" fillId="10" fontId="3" numFmtId="10" xfId="0" applyAlignment="1" applyBorder="1" applyFont="1" applyNumberFormat="1">
      <alignment horizontal="center"/>
    </xf>
    <xf borderId="9" fillId="0" fontId="3" numFmtId="0" xfId="0" applyBorder="1" applyFont="1"/>
    <xf borderId="9" fillId="0" fontId="41" numFmtId="0" xfId="0" applyBorder="1" applyFont="1"/>
    <xf borderId="8" fillId="0" fontId="3" numFmtId="165" xfId="0" applyBorder="1" applyFont="1" applyNumberFormat="1"/>
    <xf borderId="9" fillId="0" fontId="3" numFmtId="165" xfId="0" applyBorder="1" applyFont="1" applyNumberFormat="1"/>
    <xf borderId="13" fillId="0" fontId="3" numFmtId="0" xfId="0" applyBorder="1" applyFont="1"/>
    <xf borderId="102" fillId="0" fontId="3" numFmtId="0" xfId="0" applyBorder="1" applyFont="1"/>
    <xf borderId="103" fillId="0" fontId="42" numFmtId="0" xfId="0" applyBorder="1" applyFont="1"/>
    <xf borderId="35" fillId="0" fontId="3" numFmtId="0" xfId="0" applyBorder="1" applyFont="1"/>
    <xf borderId="13" fillId="0" fontId="4" numFmtId="0" xfId="0" applyBorder="1" applyFont="1"/>
    <xf borderId="102" fillId="0" fontId="2" numFmtId="0" xfId="0" applyBorder="1" applyFont="1"/>
    <xf borderId="71" fillId="0" fontId="3" numFmtId="165" xfId="0" applyBorder="1" applyFont="1" applyNumberFormat="1"/>
    <xf borderId="102" fillId="0" fontId="3" numFmtId="165" xfId="0" applyBorder="1" applyFont="1" applyNumberFormat="1"/>
    <xf borderId="0" fillId="0" fontId="16" numFmtId="10" xfId="0" applyFont="1" applyNumberFormat="1"/>
    <xf quotePrefix="1" borderId="5" fillId="8" fontId="4" numFmtId="0" xfId="0" applyAlignment="1" applyBorder="1" applyFont="1">
      <alignment horizontal="center"/>
    </xf>
    <xf quotePrefix="1" borderId="5" fillId="8" fontId="4" numFmtId="0" xfId="0" applyAlignment="1" applyBorder="1" applyFont="1">
      <alignment horizontal="center" readingOrder="0"/>
    </xf>
    <xf borderId="119" fillId="8" fontId="4" numFmtId="165" xfId="0" applyAlignment="1" applyBorder="1" applyFont="1" applyNumberFormat="1">
      <alignment horizontal="center" shrinkToFit="0" vertical="top" wrapText="1"/>
    </xf>
    <xf borderId="120" fillId="8" fontId="4" numFmtId="10" xfId="0" applyAlignment="1" applyBorder="1" applyFont="1" applyNumberFormat="1">
      <alignment horizontal="center" shrinkToFit="0" vertical="top" wrapText="1"/>
    </xf>
    <xf borderId="120" fillId="8" fontId="4" numFmtId="165" xfId="0" applyAlignment="1" applyBorder="1" applyFont="1" applyNumberFormat="1">
      <alignment horizontal="center" shrinkToFit="0" vertical="top" wrapText="1"/>
    </xf>
    <xf borderId="120" fillId="8" fontId="4" numFmtId="0" xfId="0" applyAlignment="1" applyBorder="1" applyFont="1">
      <alignment horizontal="center" shrinkToFit="0" vertical="top" wrapText="1"/>
    </xf>
    <xf borderId="121" fillId="8" fontId="4" numFmtId="0" xfId="0" applyAlignment="1" applyBorder="1" applyFont="1">
      <alignment horizontal="center" shrinkToFit="0" vertical="top" wrapText="1"/>
    </xf>
    <xf borderId="9" fillId="8" fontId="4" numFmtId="165" xfId="0" applyAlignment="1" applyBorder="1" applyFont="1" applyNumberFormat="1">
      <alignment horizontal="center" shrinkToFit="0" vertical="top" wrapText="1"/>
    </xf>
    <xf borderId="9" fillId="8" fontId="4" numFmtId="10" xfId="0" applyAlignment="1" applyBorder="1" applyFont="1" applyNumberFormat="1">
      <alignment horizontal="center" shrinkToFit="0" vertical="top" wrapText="1"/>
    </xf>
    <xf borderId="9" fillId="8" fontId="4" numFmtId="0" xfId="0" applyAlignment="1" applyBorder="1" applyFont="1">
      <alignment horizontal="center" shrinkToFit="0" vertical="top" wrapText="1"/>
    </xf>
    <xf borderId="15" fillId="11" fontId="13" numFmtId="0" xfId="0" applyAlignment="1" applyBorder="1" applyFill="1" applyFont="1">
      <alignment horizontal="center"/>
    </xf>
    <xf borderId="15" fillId="11" fontId="13" numFmtId="0" xfId="0" applyBorder="1" applyFont="1"/>
    <xf borderId="54" fillId="0" fontId="3" numFmtId="165" xfId="0" applyAlignment="1" applyBorder="1" applyFont="1" applyNumberFormat="1">
      <alignment horizontal="center"/>
    </xf>
    <xf borderId="20" fillId="0" fontId="3" numFmtId="10" xfId="0" applyAlignment="1" applyBorder="1" applyFont="1" applyNumberFormat="1">
      <alignment horizontal="center"/>
    </xf>
    <xf borderId="20" fillId="0" fontId="3" numFmtId="165" xfId="0" applyAlignment="1" applyBorder="1" applyFont="1" applyNumberFormat="1">
      <alignment horizontal="center"/>
    </xf>
    <xf borderId="20" fillId="0" fontId="3" numFmtId="0" xfId="0" applyAlignment="1" applyBorder="1" applyFont="1">
      <alignment horizontal="center"/>
    </xf>
    <xf borderId="20" fillId="0" fontId="3" numFmtId="3" xfId="0" applyAlignment="1" applyBorder="1" applyFont="1" applyNumberFormat="1">
      <alignment horizontal="center"/>
    </xf>
    <xf borderId="55" fillId="0" fontId="3" numFmtId="0" xfId="0" applyAlignment="1" applyBorder="1" applyFont="1">
      <alignment horizontal="center"/>
    </xf>
    <xf borderId="19" fillId="0" fontId="3" numFmtId="165" xfId="0" applyAlignment="1" applyBorder="1" applyFont="1" applyNumberFormat="1">
      <alignment horizontal="center"/>
    </xf>
    <xf borderId="24" fillId="11" fontId="13" numFmtId="0" xfId="0" applyAlignment="1" applyBorder="1" applyFont="1">
      <alignment horizontal="center"/>
    </xf>
    <xf borderId="24" fillId="11" fontId="13" numFmtId="0" xfId="0" applyBorder="1" applyFont="1"/>
    <xf borderId="65" fillId="0" fontId="3" numFmtId="165" xfId="0" applyAlignment="1" applyBorder="1" applyFont="1" applyNumberFormat="1">
      <alignment horizontal="center"/>
    </xf>
    <xf borderId="25" fillId="0" fontId="3" numFmtId="10" xfId="0" applyAlignment="1" applyBorder="1" applyFont="1" applyNumberFormat="1">
      <alignment horizontal="center"/>
    </xf>
    <xf borderId="25" fillId="0" fontId="3" numFmtId="165" xfId="0" applyAlignment="1" applyBorder="1" applyFont="1" applyNumberFormat="1">
      <alignment horizontal="center"/>
    </xf>
    <xf borderId="25" fillId="0" fontId="3" numFmtId="0" xfId="0" applyAlignment="1" applyBorder="1" applyFont="1">
      <alignment horizontal="center"/>
    </xf>
    <xf borderId="25" fillId="0" fontId="3" numFmtId="3" xfId="0" applyAlignment="1" applyBorder="1" applyFont="1" applyNumberFormat="1">
      <alignment horizontal="center"/>
    </xf>
    <xf borderId="60" fillId="0" fontId="3" numFmtId="0" xfId="0" applyAlignment="1" applyBorder="1" applyFont="1">
      <alignment horizontal="center"/>
    </xf>
    <xf borderId="16" fillId="0" fontId="3" numFmtId="165" xfId="0" applyAlignment="1" applyBorder="1" applyFont="1" applyNumberFormat="1">
      <alignment horizontal="center"/>
    </xf>
    <xf borderId="25" fillId="0" fontId="3" numFmtId="10" xfId="0" applyBorder="1" applyFont="1" applyNumberFormat="1"/>
    <xf borderId="60" fillId="0" fontId="3" numFmtId="0" xfId="0" applyBorder="1" applyFont="1"/>
    <xf borderId="78" fillId="0" fontId="3" numFmtId="165" xfId="0" applyAlignment="1" applyBorder="1" applyFont="1" applyNumberFormat="1">
      <alignment horizontal="center"/>
    </xf>
    <xf borderId="32" fillId="0" fontId="3" numFmtId="10" xfId="0" applyBorder="1" applyFont="1" applyNumberFormat="1"/>
    <xf borderId="32" fillId="0" fontId="3" numFmtId="165" xfId="0" applyAlignment="1" applyBorder="1" applyFont="1" applyNumberFormat="1">
      <alignment horizontal="center"/>
    </xf>
    <xf borderId="32" fillId="0" fontId="3" numFmtId="3" xfId="0" applyAlignment="1" applyBorder="1" applyFont="1" applyNumberFormat="1">
      <alignment horizontal="center"/>
    </xf>
    <xf borderId="62" fillId="0" fontId="3" numFmtId="0" xfId="0" applyBorder="1" applyFont="1"/>
    <xf borderId="35" fillId="0" fontId="3" numFmtId="165" xfId="0" applyAlignment="1" applyBorder="1" applyFont="1" applyNumberFormat="1">
      <alignment horizontal="center"/>
    </xf>
    <xf borderId="9" fillId="0" fontId="4" numFmtId="0" xfId="0" applyAlignment="1" applyBorder="1" applyFont="1">
      <alignment horizontal="left"/>
    </xf>
    <xf borderId="9" fillId="0" fontId="3" numFmtId="10" xfId="0" applyBorder="1" applyFont="1" applyNumberFormat="1"/>
    <xf borderId="9" fillId="0" fontId="3" numFmtId="165" xfId="0" applyAlignment="1" applyBorder="1" applyFont="1" applyNumberFormat="1">
      <alignment horizontal="center"/>
    </xf>
    <xf borderId="9" fillId="0" fontId="3" numFmtId="3" xfId="0" applyAlignment="1" applyBorder="1" applyFont="1" applyNumberFormat="1">
      <alignment horizontal="center"/>
    </xf>
    <xf borderId="55" fillId="0" fontId="3" numFmtId="0" xfId="0" applyBorder="1" applyFont="1"/>
    <xf borderId="54" fillId="0" fontId="3" numFmtId="10" xfId="0" applyBorder="1" applyFont="1" applyNumberFormat="1"/>
    <xf borderId="65" fillId="0" fontId="3" numFmtId="10" xfId="0" applyBorder="1" applyFont="1" applyNumberFormat="1"/>
    <xf borderId="65" fillId="0" fontId="2" numFmtId="165" xfId="0" applyAlignment="1" applyBorder="1" applyFont="1" applyNumberFormat="1">
      <alignment horizontal="center" vertical="center"/>
    </xf>
    <xf borderId="25" fillId="0" fontId="2" numFmtId="165" xfId="0" applyAlignment="1" applyBorder="1" applyFont="1" applyNumberFormat="1">
      <alignment horizontal="center" vertical="center"/>
    </xf>
    <xf borderId="25" fillId="0" fontId="2" numFmtId="3" xfId="0" applyAlignment="1" applyBorder="1" applyFont="1" applyNumberFormat="1">
      <alignment horizontal="center" vertical="center"/>
    </xf>
    <xf borderId="78" fillId="0" fontId="4" numFmtId="165" xfId="0" applyAlignment="1" applyBorder="1" applyFont="1" applyNumberFormat="1">
      <alignment horizontal="center"/>
    </xf>
    <xf borderId="32" fillId="0" fontId="4" numFmtId="10" xfId="0" applyBorder="1" applyFont="1" applyNumberFormat="1"/>
    <xf borderId="32" fillId="0" fontId="4" numFmtId="165" xfId="0" applyAlignment="1" applyBorder="1" applyFont="1" applyNumberFormat="1">
      <alignment horizontal="center"/>
    </xf>
    <xf borderId="32" fillId="0" fontId="4" numFmtId="0" xfId="0" applyBorder="1" applyFont="1"/>
    <xf borderId="32" fillId="0" fontId="4" numFmtId="3" xfId="0" applyAlignment="1" applyBorder="1" applyFont="1" applyNumberFormat="1">
      <alignment horizontal="center"/>
    </xf>
    <xf borderId="62" fillId="0" fontId="4" numFmtId="0" xfId="0" applyBorder="1" applyFont="1"/>
    <xf borderId="78" fillId="0" fontId="4" numFmtId="10" xfId="0" applyBorder="1" applyFont="1" applyNumberFormat="1"/>
    <xf borderId="13" fillId="0" fontId="4" numFmtId="165" xfId="0" applyAlignment="1" applyBorder="1" applyFont="1" applyNumberFormat="1">
      <alignment horizontal="center"/>
    </xf>
    <xf borderId="11" fillId="0" fontId="4" numFmtId="10" xfId="0" applyAlignment="1" applyBorder="1" applyFont="1" applyNumberFormat="1">
      <alignment horizontal="center"/>
    </xf>
    <xf borderId="11" fillId="0" fontId="4" numFmtId="165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11" fillId="0" fontId="4" numFmtId="3" xfId="0" applyAlignment="1" applyBorder="1" applyFont="1" applyNumberFormat="1">
      <alignment horizontal="center"/>
    </xf>
    <xf borderId="52" fillId="0" fontId="4" numFmtId="0" xfId="0" applyAlignment="1" applyBorder="1" applyFont="1">
      <alignment horizontal="center"/>
    </xf>
    <xf borderId="68" fillId="0" fontId="4" numFmtId="10" xfId="0" applyAlignment="1" applyBorder="1" applyFont="1" applyNumberFormat="1">
      <alignment horizontal="center"/>
    </xf>
    <xf borderId="55" fillId="0" fontId="3" numFmtId="3" xfId="0" applyAlignment="1" applyBorder="1" applyFont="1" applyNumberFormat="1">
      <alignment horizontal="center"/>
    </xf>
    <xf borderId="54" fillId="0" fontId="3" numFmtId="10" xfId="0" applyAlignment="1" applyBorder="1" applyFont="1" applyNumberFormat="1">
      <alignment horizontal="center"/>
    </xf>
    <xf borderId="60" fillId="0" fontId="3" numFmtId="3" xfId="0" applyAlignment="1" applyBorder="1" applyFont="1" applyNumberFormat="1">
      <alignment horizontal="center"/>
    </xf>
    <xf borderId="65" fillId="0" fontId="3" numFmtId="10" xfId="0" applyAlignment="1" applyBorder="1" applyFont="1" applyNumberFormat="1">
      <alignment horizontal="center"/>
    </xf>
    <xf borderId="115" fillId="9" fontId="3" numFmtId="165" xfId="0" applyAlignment="1" applyBorder="1" applyFont="1" applyNumberFormat="1">
      <alignment horizontal="center"/>
    </xf>
    <xf borderId="25" fillId="9" fontId="3" numFmtId="10" xfId="0" applyAlignment="1" applyBorder="1" applyFont="1" applyNumberFormat="1">
      <alignment horizontal="center"/>
    </xf>
    <xf borderId="25" fillId="9" fontId="3" numFmtId="165" xfId="0" applyAlignment="1" applyBorder="1" applyFont="1" applyNumberFormat="1">
      <alignment horizontal="center"/>
    </xf>
    <xf borderId="25" fillId="9" fontId="3" numFmtId="3" xfId="0" applyAlignment="1" applyBorder="1" applyFont="1" applyNumberFormat="1">
      <alignment horizontal="center"/>
    </xf>
    <xf borderId="27" fillId="9" fontId="3" numFmtId="3" xfId="0" applyAlignment="1" applyBorder="1" applyFont="1" applyNumberFormat="1">
      <alignment horizontal="center"/>
    </xf>
    <xf borderId="16" fillId="9" fontId="3" numFmtId="165" xfId="0" applyAlignment="1" applyBorder="1" applyFont="1" applyNumberFormat="1">
      <alignment horizontal="center"/>
    </xf>
    <xf borderId="65" fillId="9" fontId="3" numFmtId="10" xfId="0" applyAlignment="1" applyBorder="1" applyFont="1" applyNumberFormat="1">
      <alignment horizontal="center"/>
    </xf>
    <xf borderId="0" fillId="0" fontId="25" numFmtId="165" xfId="0" applyFont="1" applyNumberFormat="1"/>
    <xf borderId="78" fillId="0" fontId="3" numFmtId="165" xfId="0" applyBorder="1" applyFont="1" applyNumberFormat="1"/>
    <xf borderId="78" fillId="0" fontId="3" numFmtId="10" xfId="0" applyBorder="1" applyFont="1" applyNumberFormat="1"/>
    <xf borderId="11" fillId="0" fontId="3" numFmtId="165" xfId="0" applyBorder="1" applyFont="1" applyNumberFormat="1"/>
    <xf borderId="11" fillId="0" fontId="3" numFmtId="0" xfId="0" applyBorder="1" applyFont="1"/>
    <xf borderId="52" fillId="0" fontId="3" numFmtId="0" xfId="0" applyBorder="1" applyFont="1"/>
    <xf borderId="68" fillId="0" fontId="4" numFmtId="10" xfId="0" applyBorder="1" applyFont="1" applyNumberFormat="1"/>
    <xf borderId="102" fillId="0" fontId="18" numFmtId="0" xfId="0" applyBorder="1" applyFont="1"/>
    <xf borderId="39" fillId="0" fontId="4" numFmtId="10" xfId="0" applyBorder="1" applyFont="1" applyNumberFormat="1"/>
    <xf borderId="39" fillId="0" fontId="4" numFmtId="165" xfId="0" applyBorder="1" applyFont="1" applyNumberFormat="1"/>
    <xf borderId="39" fillId="0" fontId="4" numFmtId="0" xfId="0" applyBorder="1" applyFont="1"/>
    <xf borderId="70" fillId="0" fontId="4" numFmtId="0" xfId="0" applyBorder="1" applyFont="1"/>
    <xf borderId="102" fillId="0" fontId="25" numFmtId="165" xfId="0" applyBorder="1" applyFont="1" applyNumberFormat="1"/>
    <xf borderId="69" fillId="0" fontId="4" numFmtId="10" xfId="0" applyBorder="1" applyFont="1" applyNumberFormat="1"/>
    <xf borderId="52" fillId="0" fontId="4" numFmtId="0" xfId="0" applyBorder="1" applyFont="1"/>
    <xf borderId="5" fillId="0" fontId="18" numFmtId="0" xfId="0" applyAlignment="1" applyBorder="1" applyFont="1">
      <alignment horizontal="left"/>
    </xf>
    <xf borderId="11" fillId="0" fontId="3" numFmtId="3" xfId="0" applyBorder="1" applyFont="1" applyNumberFormat="1"/>
    <xf borderId="78" fillId="0" fontId="4" numFmtId="165" xfId="0" applyBorder="1" applyFont="1" applyNumberFormat="1"/>
    <xf borderId="32" fillId="0" fontId="4" numFmtId="165" xfId="0" applyBorder="1" applyFont="1" applyNumberFormat="1"/>
    <xf borderId="62" fillId="0" fontId="4" numFmtId="165" xfId="0" applyBorder="1" applyFont="1" applyNumberFormat="1"/>
    <xf borderId="35" fillId="0" fontId="4" numFmtId="165" xfId="0" applyBorder="1" applyFont="1" applyNumberFormat="1"/>
    <xf borderId="103" fillId="0" fontId="4" numFmtId="165" xfId="0" applyBorder="1" applyFont="1" applyNumberFormat="1"/>
    <xf borderId="72" fillId="0" fontId="14" numFmtId="0" xfId="0" applyAlignment="1" applyBorder="1" applyFont="1">
      <alignment horizontal="center"/>
    </xf>
    <xf borderId="71" fillId="0" fontId="5" numFmtId="0" xfId="0" applyBorder="1" applyFont="1"/>
    <xf borderId="69" fillId="0" fontId="3" numFmtId="165" xfId="0" applyAlignment="1" applyBorder="1" applyFont="1" applyNumberFormat="1">
      <alignment horizontal="center"/>
    </xf>
    <xf borderId="39" fillId="0" fontId="3" numFmtId="10" xfId="0" applyAlignment="1" applyBorder="1" applyFont="1" applyNumberFormat="1">
      <alignment horizontal="center"/>
    </xf>
    <xf borderId="39" fillId="0" fontId="3" numFmtId="165" xfId="0" applyAlignment="1" applyBorder="1" applyFont="1" applyNumberFormat="1">
      <alignment horizontal="center"/>
    </xf>
    <xf borderId="39" fillId="0" fontId="3" numFmtId="0" xfId="0" applyAlignment="1" applyBorder="1" applyFont="1">
      <alignment horizontal="center"/>
    </xf>
    <xf borderId="70" fillId="0" fontId="3" numFmtId="0" xfId="0" applyAlignment="1" applyBorder="1" applyFont="1">
      <alignment horizontal="center"/>
    </xf>
    <xf borderId="36" fillId="0" fontId="3" numFmtId="165" xfId="0" applyAlignment="1" applyBorder="1" applyFont="1" applyNumberFormat="1">
      <alignment horizontal="center"/>
    </xf>
    <xf borderId="102" fillId="0" fontId="3" numFmtId="165" xfId="0" applyAlignment="1" applyBorder="1" applyFont="1" applyNumberFormat="1">
      <alignment horizontal="center"/>
    </xf>
    <xf borderId="69" fillId="0" fontId="3" numFmtId="10" xfId="0" applyAlignment="1" applyBorder="1" applyFont="1" applyNumberFormat="1">
      <alignment horizontal="center"/>
    </xf>
    <xf borderId="5" fillId="0" fontId="43" numFmtId="0" xfId="0" applyAlignment="1" applyBorder="1" applyFont="1">
      <alignment horizontal="center"/>
    </xf>
    <xf borderId="68" fillId="0" fontId="4" numFmtId="165" xfId="0" applyAlignment="1" applyBorder="1" applyFont="1" applyNumberFormat="1">
      <alignment horizontal="center"/>
    </xf>
    <xf borderId="60" fillId="0" fontId="3" numFmtId="10" xfId="0" applyAlignment="1" applyBorder="1" applyFont="1" applyNumberFormat="1">
      <alignment horizontal="center"/>
    </xf>
    <xf borderId="56" fillId="0" fontId="3" numFmtId="165" xfId="0" applyBorder="1" applyFont="1" applyNumberFormat="1"/>
    <xf borderId="9" fillId="0" fontId="4" numFmtId="10" xfId="0" applyBorder="1" applyFont="1" applyNumberFormat="1"/>
    <xf borderId="72" fillId="0" fontId="25" numFmtId="165" xfId="0" applyBorder="1" applyFont="1" applyNumberFormat="1"/>
    <xf borderId="73" fillId="0" fontId="3" numFmtId="165" xfId="0" applyBorder="1" applyFont="1" applyNumberFormat="1"/>
    <xf borderId="39" fillId="0" fontId="3" numFmtId="10" xfId="0" applyBorder="1" applyFont="1" applyNumberFormat="1"/>
    <xf borderId="70" fillId="0" fontId="3" numFmtId="0" xfId="0" applyBorder="1" applyFont="1"/>
    <xf borderId="69" fillId="0" fontId="3" numFmtId="10" xfId="0" applyBorder="1" applyFont="1" applyNumberFormat="1"/>
    <xf borderId="11" fillId="0" fontId="3" numFmtId="10" xfId="0" applyBorder="1" applyFont="1" applyNumberFormat="1"/>
    <xf borderId="68" fillId="0" fontId="3" numFmtId="10" xfId="0" applyBorder="1" applyFont="1" applyNumberFormat="1"/>
    <xf borderId="0" fillId="0" fontId="13" numFmtId="3" xfId="0" applyAlignment="1" applyFont="1" applyNumberFormat="1">
      <alignment horizontal="center"/>
    </xf>
    <xf borderId="0" fillId="0" fontId="16" numFmtId="164" xfId="0" applyFont="1" applyNumberFormat="1"/>
    <xf borderId="111" fillId="8" fontId="18" numFmtId="0" xfId="0" applyAlignment="1" applyBorder="1" applyFont="1">
      <alignment horizontal="center" shrinkToFit="0" vertical="top" wrapText="1"/>
    </xf>
    <xf borderId="37" fillId="8" fontId="18" numFmtId="164" xfId="0" applyAlignment="1" applyBorder="1" applyFont="1" applyNumberFormat="1">
      <alignment horizontal="center" shrinkToFit="0" vertical="top" wrapText="1"/>
    </xf>
    <xf borderId="9" fillId="8" fontId="18" numFmtId="164" xfId="0" applyAlignment="1" applyBorder="1" applyFont="1" applyNumberFormat="1">
      <alignment horizontal="center" shrinkToFit="0" vertical="top" wrapText="1"/>
    </xf>
    <xf borderId="54" fillId="0" fontId="13" numFmtId="3" xfId="0" applyAlignment="1" applyBorder="1" applyFont="1" applyNumberFormat="1">
      <alignment horizontal="center"/>
    </xf>
    <xf borderId="20" fillId="0" fontId="13" numFmtId="164" xfId="0" applyAlignment="1" applyBorder="1" applyFont="1" applyNumberFormat="1">
      <alignment horizontal="center"/>
    </xf>
    <xf borderId="78" fillId="0" fontId="13" numFmtId="3" xfId="0" applyAlignment="1" applyBorder="1" applyFont="1" applyNumberFormat="1">
      <alignment horizontal="center"/>
    </xf>
    <xf borderId="32" fillId="0" fontId="13" numFmtId="164" xfId="0" applyAlignment="1" applyBorder="1" applyFont="1" applyNumberFormat="1">
      <alignment horizontal="center"/>
    </xf>
    <xf borderId="54" fillId="0" fontId="18" numFmtId="165" xfId="0" applyAlignment="1" applyBorder="1" applyFont="1" applyNumberFormat="1">
      <alignment horizontal="center"/>
    </xf>
    <xf borderId="56" fillId="0" fontId="18" numFmtId="165" xfId="0" applyAlignment="1" applyBorder="1" applyFont="1" applyNumberFormat="1">
      <alignment horizontal="center"/>
    </xf>
    <xf borderId="19" fillId="0" fontId="18" numFmtId="165" xfId="0" applyAlignment="1" applyBorder="1" applyFont="1" applyNumberFormat="1">
      <alignment horizontal="center"/>
    </xf>
    <xf borderId="54" fillId="0" fontId="13" numFmtId="165" xfId="0" applyAlignment="1" applyBorder="1" applyFont="1" applyNumberFormat="1">
      <alignment horizontal="center"/>
    </xf>
    <xf borderId="53" fillId="0" fontId="18" numFmtId="165" xfId="0" applyAlignment="1" applyBorder="1" applyFont="1" applyNumberFormat="1">
      <alignment horizontal="center"/>
    </xf>
    <xf borderId="65" fillId="0" fontId="16" numFmtId="165" xfId="0" applyAlignment="1" applyBorder="1" applyFont="1" applyNumberFormat="1">
      <alignment horizontal="center" vertical="center"/>
    </xf>
    <xf borderId="25" fillId="0" fontId="16" numFmtId="164" xfId="0" applyAlignment="1" applyBorder="1" applyFont="1" applyNumberFormat="1">
      <alignment horizontal="center" vertical="center"/>
    </xf>
    <xf borderId="78" fillId="0" fontId="13" numFmtId="165" xfId="0" applyAlignment="1" applyBorder="1" applyFont="1" applyNumberFormat="1">
      <alignment horizontal="center"/>
    </xf>
    <xf borderId="68" fillId="0" fontId="18" numFmtId="165" xfId="0" applyAlignment="1" applyBorder="1" applyFont="1" applyNumberFormat="1">
      <alignment horizontal="center"/>
    </xf>
    <xf borderId="11" fillId="0" fontId="18" numFmtId="164" xfId="0" applyAlignment="1" applyBorder="1" applyFont="1" applyNumberFormat="1">
      <alignment horizontal="center"/>
    </xf>
    <xf borderId="103" fillId="0" fontId="18" numFmtId="0" xfId="0" applyBorder="1" applyFont="1"/>
    <xf borderId="53" fillId="0" fontId="44" numFmtId="0" xfId="0" applyBorder="1" applyFont="1"/>
    <xf borderId="9" fillId="0" fontId="18" numFmtId="164" xfId="0" applyAlignment="1" applyBorder="1" applyFont="1" applyNumberFormat="1">
      <alignment horizontal="center"/>
    </xf>
    <xf borderId="53" fillId="0" fontId="18" numFmtId="0" xfId="0" applyBorder="1" applyFont="1"/>
    <xf borderId="78" fillId="0" fontId="18" numFmtId="165" xfId="0" applyAlignment="1" applyBorder="1" applyFont="1" applyNumberFormat="1">
      <alignment horizontal="center"/>
    </xf>
    <xf borderId="32" fillId="0" fontId="18" numFmtId="0" xfId="0" applyAlignment="1" applyBorder="1" applyFont="1">
      <alignment horizontal="center"/>
    </xf>
    <xf borderId="32" fillId="0" fontId="18" numFmtId="165" xfId="0" applyAlignment="1" applyBorder="1" applyFont="1" applyNumberFormat="1">
      <alignment horizontal="center"/>
    </xf>
    <xf borderId="32" fillId="0" fontId="18" numFmtId="10" xfId="0" applyAlignment="1" applyBorder="1" applyFont="1" applyNumberFormat="1">
      <alignment horizontal="center"/>
    </xf>
    <xf borderId="32" fillId="0" fontId="18" numFmtId="164" xfId="0" applyAlignment="1" applyBorder="1" applyFont="1" applyNumberFormat="1">
      <alignment horizontal="center"/>
    </xf>
    <xf borderId="34" fillId="0" fontId="18" numFmtId="0" xfId="0" applyAlignment="1" applyBorder="1" applyFont="1">
      <alignment horizontal="center"/>
    </xf>
    <xf borderId="35" fillId="0" fontId="18" numFmtId="165" xfId="0" applyAlignment="1" applyBorder="1" applyFont="1" applyNumberFormat="1">
      <alignment horizontal="center"/>
    </xf>
    <xf borderId="103" fillId="0" fontId="18" numFmtId="165" xfId="0" applyAlignment="1" applyBorder="1" applyFont="1" applyNumberFormat="1">
      <alignment horizontal="center"/>
    </xf>
    <xf borderId="78" fillId="0" fontId="18" numFmtId="0" xfId="0" applyAlignment="1" applyBorder="1" applyFont="1">
      <alignment horizontal="center"/>
    </xf>
    <xf borderId="11" fillId="0" fontId="13" numFmtId="0" xfId="0" applyAlignment="1" applyBorder="1" applyFont="1">
      <alignment horizontal="center"/>
    </xf>
    <xf borderId="11" fillId="0" fontId="13" numFmtId="165" xfId="0" applyAlignment="1" applyBorder="1" applyFont="1" applyNumberFormat="1">
      <alignment horizontal="center"/>
    </xf>
    <xf borderId="11" fillId="0" fontId="13" numFmtId="164" xfId="0" applyAlignment="1" applyBorder="1" applyFont="1" applyNumberFormat="1">
      <alignment horizontal="center"/>
    </xf>
    <xf borderId="12" fillId="0" fontId="13" numFmtId="0" xfId="0" applyAlignment="1" applyBorder="1" applyFont="1">
      <alignment horizontal="center"/>
    </xf>
    <xf borderId="68" fillId="0" fontId="13" numFmtId="0" xfId="0" applyAlignment="1" applyBorder="1" applyFont="1">
      <alignment horizontal="center"/>
    </xf>
    <xf borderId="65" fillId="0" fontId="18" numFmtId="0" xfId="0" applyAlignment="1" applyBorder="1" applyFont="1">
      <alignment horizontal="center"/>
    </xf>
    <xf borderId="25" fillId="0" fontId="18" numFmtId="164" xfId="0" applyAlignment="1" applyBorder="1" applyFont="1" applyNumberFormat="1">
      <alignment horizontal="center"/>
    </xf>
    <xf quotePrefix="1" borderId="72" fillId="0" fontId="30" numFmtId="0" xfId="0" applyBorder="1" applyFont="1"/>
    <xf borderId="24" fillId="0" fontId="13" numFmtId="0" xfId="0" applyAlignment="1" applyBorder="1" applyFont="1">
      <alignment horizontal="left"/>
    </xf>
    <xf borderId="11" fillId="0" fontId="13" numFmtId="10" xfId="0" applyAlignment="1" applyBorder="1" applyFont="1" applyNumberFormat="1">
      <alignment horizontal="center"/>
    </xf>
    <xf borderId="69" fillId="0" fontId="13" numFmtId="165" xfId="0" applyAlignment="1" applyBorder="1" applyFont="1" applyNumberFormat="1">
      <alignment horizontal="center"/>
    </xf>
    <xf borderId="39" fillId="0" fontId="13" numFmtId="164" xfId="0" applyAlignment="1" applyBorder="1" applyFont="1" applyNumberFormat="1">
      <alignment horizontal="center"/>
    </xf>
    <xf borderId="58" fillId="0" fontId="13" numFmtId="3" xfId="0" applyAlignment="1" applyBorder="1" applyFont="1" applyNumberFormat="1">
      <alignment horizontal="center"/>
    </xf>
    <xf borderId="59" fillId="0" fontId="13" numFmtId="3" xfId="0" applyAlignment="1" applyBorder="1" applyFont="1" applyNumberFormat="1">
      <alignment horizontal="center"/>
    </xf>
    <xf borderId="67" fillId="0" fontId="13" numFmtId="3" xfId="0" applyAlignment="1" applyBorder="1" applyFont="1" applyNumberFormat="1">
      <alignment horizontal="center"/>
    </xf>
    <xf borderId="25" fillId="0" fontId="18" numFmtId="165" xfId="0" applyBorder="1" applyFont="1" applyNumberFormat="1"/>
    <xf borderId="26" fillId="0" fontId="18" numFmtId="165" xfId="0" applyBorder="1" applyFont="1" applyNumberFormat="1"/>
    <xf borderId="24" fillId="0" fontId="13" numFmtId="165" xfId="0" applyBorder="1" applyFont="1" applyNumberFormat="1"/>
    <xf borderId="32" fillId="0" fontId="18" numFmtId="165" xfId="0" applyBorder="1" applyFont="1" applyNumberFormat="1"/>
    <xf borderId="34" fillId="0" fontId="18" numFmtId="165" xfId="0" applyBorder="1" applyFont="1" applyNumberFormat="1"/>
    <xf borderId="103" fillId="0" fontId="13" numFmtId="165" xfId="0" applyBorder="1" applyFont="1" applyNumberFormat="1"/>
    <xf borderId="9" fillId="0" fontId="35" numFmtId="3" xfId="0" applyAlignment="1" applyBorder="1" applyFont="1" applyNumberFormat="1">
      <alignment horizontal="center" vertical="center"/>
    </xf>
    <xf borderId="16" fillId="0" fontId="8" numFmtId="4" xfId="0" applyBorder="1" applyFont="1" applyNumberFormat="1"/>
    <xf borderId="24" fillId="0" fontId="8" numFmtId="4" xfId="0" applyBorder="1" applyFont="1" applyNumberFormat="1"/>
    <xf borderId="25" fillId="0" fontId="13" numFmtId="3" xfId="0" applyBorder="1" applyFont="1" applyNumberFormat="1"/>
    <xf borderId="24" fillId="0" fontId="13" numFmtId="3" xfId="0" applyBorder="1" applyFont="1" applyNumberFormat="1"/>
    <xf borderId="13" fillId="0" fontId="18" numFmtId="165" xfId="0" applyBorder="1" applyFont="1" applyNumberFormat="1"/>
    <xf borderId="11" fillId="0" fontId="45" numFmtId="165" xfId="0" applyAlignment="1" applyBorder="1" applyFont="1" applyNumberFormat="1">
      <alignment horizontal="center"/>
    </xf>
    <xf borderId="11" fillId="0" fontId="45" numFmtId="165" xfId="0" applyBorder="1" applyFont="1" applyNumberFormat="1"/>
    <xf borderId="12" fillId="0" fontId="45" numFmtId="165" xfId="0" applyBorder="1" applyFont="1" applyNumberFormat="1"/>
    <xf borderId="9" fillId="0" fontId="45" numFmtId="165" xfId="0" applyAlignment="1" applyBorder="1" applyFont="1" applyNumberFormat="1">
      <alignment horizontal="center"/>
    </xf>
    <xf borderId="9" fillId="0" fontId="45" numFmtId="165" xfId="0" applyBorder="1" applyFont="1" applyNumberFormat="1"/>
    <xf borderId="16" fillId="0" fontId="16" numFmtId="3" xfId="0" applyAlignment="1" applyBorder="1" applyFont="1" applyNumberFormat="1">
      <alignment horizontal="center" vertical="center"/>
    </xf>
    <xf borderId="24" fillId="0" fontId="16" numFmtId="3" xfId="0" applyAlignment="1" applyBorder="1" applyFont="1" applyNumberFormat="1">
      <alignment horizontal="center" vertical="center"/>
    </xf>
    <xf borderId="24" fillId="0" fontId="18" numFmtId="165" xfId="0" applyBorder="1" applyFont="1" applyNumberFormat="1"/>
    <xf borderId="11" fillId="0" fontId="18" numFmtId="10" xfId="0" applyBorder="1" applyFont="1" applyNumberFormat="1"/>
    <xf borderId="9" fillId="0" fontId="18" numFmtId="10" xfId="0" applyBorder="1" applyFont="1" applyNumberFormat="1"/>
    <xf borderId="39" fillId="0" fontId="18" numFmtId="10" xfId="0" applyAlignment="1" applyBorder="1" applyFont="1" applyNumberFormat="1">
      <alignment horizontal="center"/>
    </xf>
    <xf borderId="39" fillId="0" fontId="18" numFmtId="3" xfId="0" applyAlignment="1" applyBorder="1" applyFont="1" applyNumberFormat="1">
      <alignment horizontal="center"/>
    </xf>
    <xf borderId="39" fillId="0" fontId="18" numFmtId="10" xfId="0" applyBorder="1" applyFont="1" applyNumberFormat="1"/>
    <xf borderId="47" fillId="0" fontId="18" numFmtId="0" xfId="0" applyBorder="1" applyFont="1"/>
    <xf borderId="102" fillId="0" fontId="18" numFmtId="10" xfId="0" applyAlignment="1" applyBorder="1" applyFont="1" applyNumberFormat="1">
      <alignment horizontal="center"/>
    </xf>
    <xf borderId="102" fillId="0" fontId="18" numFmtId="3" xfId="0" applyAlignment="1" applyBorder="1" applyFont="1" applyNumberFormat="1">
      <alignment horizontal="center"/>
    </xf>
    <xf borderId="102" fillId="0" fontId="18" numFmtId="10" xfId="0" applyBorder="1" applyFont="1" applyNumberFormat="1"/>
    <xf borderId="25" fillId="0" fontId="13" numFmtId="10" xfId="0" applyBorder="1" applyFont="1" applyNumberFormat="1"/>
    <xf borderId="11" fillId="0" fontId="18" numFmtId="3" xfId="0" applyBorder="1" applyFont="1" applyNumberFormat="1"/>
    <xf borderId="9" fillId="0" fontId="18" numFmtId="3" xfId="0" applyBorder="1" applyFont="1" applyNumberFormat="1"/>
    <xf borderId="20" fillId="0" fontId="13" numFmtId="10" xfId="0" applyBorder="1" applyFont="1" applyNumberFormat="1"/>
    <xf borderId="53" fillId="0" fontId="13" numFmtId="10" xfId="0" applyBorder="1" applyFont="1" applyNumberFormat="1"/>
    <xf borderId="13" fillId="8" fontId="18" numFmtId="0" xfId="0" applyAlignment="1" applyBorder="1" applyFont="1">
      <alignment horizontal="center" shrinkToFit="0" vertical="center" wrapText="1"/>
    </xf>
    <xf borderId="11" fillId="8" fontId="18" numFmtId="0" xfId="0" applyAlignment="1" applyBorder="1" applyFont="1">
      <alignment horizontal="center" shrinkToFit="0" vertical="center" wrapText="1"/>
    </xf>
    <xf borderId="12" fillId="8" fontId="18" numFmtId="0" xfId="0" applyAlignment="1" applyBorder="1" applyFont="1">
      <alignment horizontal="center" shrinkToFit="0" vertical="center" wrapText="1"/>
    </xf>
    <xf borderId="10" fillId="8" fontId="18" numFmtId="0" xfId="0" applyAlignment="1" applyBorder="1" applyFont="1">
      <alignment horizontal="center" shrinkToFit="0" vertical="center" wrapText="1"/>
    </xf>
    <xf borderId="25" fillId="0" fontId="13" numFmtId="164" xfId="0" applyBorder="1" applyFont="1" applyNumberFormat="1"/>
    <xf borderId="26" fillId="0" fontId="13" numFmtId="164" xfId="0" applyBorder="1" applyFont="1" applyNumberFormat="1"/>
    <xf borderId="19" fillId="0" fontId="13" numFmtId="0" xfId="0" applyAlignment="1" applyBorder="1" applyFont="1">
      <alignment horizontal="center"/>
    </xf>
    <xf borderId="59" fillId="0" fontId="18" numFmtId="0" xfId="0" applyAlignment="1" applyBorder="1" applyFont="1">
      <alignment horizontal="left"/>
    </xf>
    <xf borderId="61" fillId="0" fontId="5" numFmtId="0" xfId="0" applyBorder="1" applyFont="1"/>
    <xf borderId="69" fillId="0" fontId="18" numFmtId="165" xfId="0" applyAlignment="1" applyBorder="1" applyFont="1" applyNumberFormat="1">
      <alignment horizontal="center"/>
    </xf>
    <xf borderId="39" fillId="0" fontId="18" numFmtId="165" xfId="0" applyBorder="1" applyFont="1" applyNumberFormat="1"/>
    <xf borderId="47" fillId="0" fontId="18" numFmtId="165" xfId="0" applyBorder="1" applyFont="1" applyNumberFormat="1"/>
    <xf borderId="102" fillId="0" fontId="18" numFmtId="165" xfId="0" applyAlignment="1" applyBorder="1" applyFont="1" applyNumberFormat="1">
      <alignment horizontal="center"/>
    </xf>
    <xf borderId="102" fillId="0" fontId="18" numFmtId="165" xfId="0" applyBorder="1" applyFont="1" applyNumberFormat="1"/>
    <xf borderId="25" fillId="0" fontId="13" numFmtId="10" xfId="0" applyAlignment="1" applyBorder="1" applyFont="1" applyNumberFormat="1">
      <alignment horizontal="right"/>
    </xf>
    <xf borderId="25" fillId="0" fontId="13" numFmtId="3" xfId="0" applyAlignment="1" applyBorder="1" applyFont="1" applyNumberFormat="1">
      <alignment horizontal="right"/>
    </xf>
    <xf borderId="60" fillId="0" fontId="13" numFmtId="0" xfId="0" applyAlignment="1" applyBorder="1" applyFont="1">
      <alignment horizontal="right"/>
    </xf>
    <xf borderId="16" fillId="0" fontId="3" numFmtId="165" xfId="0" applyAlignment="1" applyBorder="1" applyFont="1" applyNumberFormat="1">
      <alignment horizontal="right"/>
    </xf>
    <xf borderId="65" fillId="0" fontId="13" numFmtId="10" xfId="0" applyBorder="1" applyFont="1" applyNumberFormat="1"/>
    <xf borderId="26" fillId="0" fontId="13" numFmtId="0" xfId="0" applyAlignment="1" applyBorder="1" applyFont="1">
      <alignment horizontal="right"/>
    </xf>
    <xf borderId="19" fillId="0" fontId="13" numFmtId="165" xfId="0" applyAlignment="1" applyBorder="1" applyFont="1" applyNumberFormat="1">
      <alignment horizontal="right"/>
    </xf>
    <xf borderId="32" fillId="0" fontId="13" numFmtId="0" xfId="0" applyAlignment="1" applyBorder="1" applyFont="1">
      <alignment horizontal="right"/>
    </xf>
    <xf borderId="34" fillId="0" fontId="13" numFmtId="0" xfId="0" applyAlignment="1" applyBorder="1" applyFont="1">
      <alignment horizontal="right"/>
    </xf>
    <xf borderId="0" fillId="0" fontId="46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3" numFmtId="0" xfId="0" applyAlignment="1" applyFont="1">
      <alignment horizontal="center" shrinkToFit="0" vertical="top" wrapText="1"/>
    </xf>
    <xf borderId="53" fillId="0" fontId="13" numFmtId="0" xfId="0" applyAlignment="1" applyBorder="1" applyFont="1">
      <alignment horizontal="left"/>
    </xf>
    <xf borderId="19" fillId="0" fontId="13" numFmtId="3" xfId="0" applyAlignment="1" applyBorder="1" applyFont="1" applyNumberFormat="1">
      <alignment horizontal="left"/>
    </xf>
    <xf borderId="20" fillId="0" fontId="13" numFmtId="0" xfId="0" applyAlignment="1" applyBorder="1" applyFont="1">
      <alignment horizontal="left"/>
    </xf>
    <xf borderId="20" fillId="0" fontId="13" numFmtId="3" xfId="0" applyAlignment="1" applyBorder="1" applyFont="1" applyNumberFormat="1">
      <alignment horizontal="left"/>
    </xf>
    <xf borderId="23" fillId="0" fontId="13" numFmtId="0" xfId="0" applyAlignment="1" applyBorder="1" applyFont="1">
      <alignment horizontal="left"/>
    </xf>
    <xf borderId="16" fillId="0" fontId="13" numFmtId="3" xfId="0" applyAlignment="1" applyBorder="1" applyFont="1" applyNumberFormat="1">
      <alignment horizontal="left"/>
    </xf>
    <xf borderId="25" fillId="0" fontId="13" numFmtId="0" xfId="0" applyAlignment="1" applyBorder="1" applyFont="1">
      <alignment horizontal="left"/>
    </xf>
    <xf borderId="25" fillId="0" fontId="13" numFmtId="3" xfId="0" applyAlignment="1" applyBorder="1" applyFont="1" applyNumberFormat="1">
      <alignment horizontal="left"/>
    </xf>
    <xf borderId="26" fillId="0" fontId="13" numFmtId="0" xfId="0" applyAlignment="1" applyBorder="1" applyFont="1">
      <alignment horizontal="left"/>
    </xf>
    <xf borderId="103" fillId="0" fontId="13" numFmtId="0" xfId="0" applyAlignment="1" applyBorder="1" applyFont="1">
      <alignment horizontal="left"/>
    </xf>
    <xf borderId="35" fillId="0" fontId="13" numFmtId="3" xfId="0" applyAlignment="1" applyBorder="1" applyFont="1" applyNumberFormat="1">
      <alignment horizontal="left"/>
    </xf>
    <xf borderId="32" fillId="0" fontId="13" numFmtId="0" xfId="0" applyAlignment="1" applyBorder="1" applyFont="1">
      <alignment horizontal="left"/>
    </xf>
    <xf borderId="32" fillId="0" fontId="13" numFmtId="3" xfId="0" applyAlignment="1" applyBorder="1" applyFont="1" applyNumberFormat="1">
      <alignment horizontal="left"/>
    </xf>
    <xf borderId="34" fillId="0" fontId="13" numFmtId="0" xfId="0" applyAlignment="1" applyBorder="1" applyFont="1">
      <alignment horizontal="left"/>
    </xf>
    <xf borderId="9" fillId="0" fontId="18" numFmtId="0" xfId="0" applyAlignment="1" applyBorder="1" applyFont="1">
      <alignment horizontal="left"/>
    </xf>
    <xf borderId="102" fillId="0" fontId="9" numFmtId="0" xfId="0" applyBorder="1" applyFont="1"/>
    <xf borderId="25" fillId="0" fontId="18" numFmtId="0" xfId="0" applyAlignment="1" applyBorder="1" applyFont="1">
      <alignment horizontal="center"/>
    </xf>
    <xf borderId="9" fillId="0" fontId="13" numFmtId="0" xfId="0" applyAlignment="1" applyBorder="1" applyFont="1">
      <alignment horizontal="left"/>
    </xf>
    <xf borderId="11" fillId="0" fontId="13" numFmtId="3" xfId="0" applyAlignment="1" applyBorder="1" applyFont="1" applyNumberFormat="1">
      <alignment horizontal="center"/>
    </xf>
    <xf borderId="67" fillId="0" fontId="14" numFmtId="0" xfId="0" applyAlignment="1" applyBorder="1" applyFont="1">
      <alignment horizontal="left"/>
    </xf>
    <xf borderId="71" fillId="0" fontId="47" numFmtId="0" xfId="0" applyBorder="1" applyFont="1"/>
    <xf borderId="24" fillId="0" fontId="47" numFmtId="0" xfId="0" applyBorder="1" applyFont="1"/>
    <xf borderId="26" fillId="0" fontId="47" numFmtId="0" xfId="0" applyBorder="1" applyFont="1"/>
    <xf borderId="102" fillId="0" fontId="13" numFmtId="0" xfId="0" applyAlignment="1" applyBorder="1" applyFont="1">
      <alignment horizontal="left"/>
    </xf>
    <xf borderId="103" fillId="0" fontId="48" numFmtId="0" xfId="0" applyAlignment="1" applyBorder="1" applyFont="1">
      <alignment horizontal="left"/>
    </xf>
    <xf borderId="19" fillId="0" fontId="13" numFmtId="0" xfId="0" applyBorder="1" applyFont="1"/>
    <xf borderId="16" fillId="0" fontId="13" numFmtId="0" xfId="0" applyBorder="1" applyFont="1"/>
    <xf borderId="35" fillId="0" fontId="13" numFmtId="0" xfId="0" applyBorder="1" applyFont="1"/>
    <xf borderId="62" fillId="0" fontId="13" numFmtId="0" xfId="0" applyBorder="1" applyFont="1"/>
    <xf borderId="55" fillId="0" fontId="13" numFmtId="0" xfId="0" applyBorder="1" applyFont="1"/>
    <xf borderId="16" fillId="0" fontId="18" numFmtId="0" xfId="0" applyBorder="1" applyFont="1"/>
    <xf borderId="16" fillId="0" fontId="49" numFmtId="0" xfId="0" applyBorder="1" applyFont="1"/>
    <xf borderId="36" fillId="0" fontId="18" numFmtId="0" xfId="0" applyBorder="1" applyFont="1"/>
    <xf borderId="25" fillId="0" fontId="18" numFmtId="0" xfId="0" applyBorder="1" applyFont="1"/>
    <xf borderId="60" fillId="0" fontId="18" numFmtId="0" xfId="0" applyBorder="1" applyFont="1"/>
    <xf borderId="9" fillId="0" fontId="50" numFmtId="0" xfId="0" applyBorder="1" applyFont="1"/>
    <xf borderId="9" fillId="0" fontId="7" numFmtId="0" xfId="0" applyBorder="1" applyFont="1"/>
    <xf borderId="9" fillId="0" fontId="50" numFmtId="10" xfId="0" applyAlignment="1" applyBorder="1" applyFont="1" applyNumberFormat="1">
      <alignment horizontal="center"/>
    </xf>
    <xf borderId="9" fillId="0" fontId="50" numFmtId="3" xfId="0" applyAlignment="1" applyBorder="1" applyFont="1" applyNumberFormat="1">
      <alignment horizontal="center"/>
    </xf>
    <xf borderId="9" fillId="0" fontId="50" numFmtId="10" xfId="0" applyBorder="1" applyFont="1" applyNumberFormat="1"/>
    <xf borderId="65" fillId="0" fontId="50" numFmtId="10" xfId="0" applyAlignment="1" applyBorder="1" applyFont="1" applyNumberFormat="1">
      <alignment horizontal="center"/>
    </xf>
    <xf borderId="25" fillId="0" fontId="50" numFmtId="3" xfId="0" applyAlignment="1" applyBorder="1" applyFont="1" applyNumberFormat="1">
      <alignment horizontal="center"/>
    </xf>
    <xf borderId="25" fillId="0" fontId="50" numFmtId="10" xfId="0" applyBorder="1" applyFont="1" applyNumberFormat="1"/>
    <xf borderId="60" fillId="0" fontId="50" numFmtId="10" xfId="0" applyBorder="1" applyFont="1" applyNumberFormat="1"/>
    <xf borderId="24" fillId="0" fontId="50" numFmtId="10" xfId="0" applyAlignment="1" applyBorder="1" applyFont="1" applyNumberFormat="1">
      <alignment horizontal="center"/>
    </xf>
    <xf borderId="24" fillId="0" fontId="50" numFmtId="3" xfId="0" applyAlignment="1" applyBorder="1" applyFont="1" applyNumberFormat="1">
      <alignment horizontal="center"/>
    </xf>
    <xf borderId="24" fillId="0" fontId="50" numFmtId="10" xfId="0" applyBorder="1" applyFont="1" applyNumberFormat="1"/>
    <xf borderId="36" fillId="0" fontId="13" numFmtId="0" xfId="0" applyBorder="1" applyFont="1"/>
    <xf borderId="20" fillId="0" fontId="13" numFmtId="3" xfId="0" applyBorder="1" applyFont="1" applyNumberFormat="1"/>
    <xf borderId="53" fillId="0" fontId="13" numFmtId="3" xfId="0" applyBorder="1" applyFont="1" applyNumberFormat="1"/>
    <xf borderId="78" fillId="0" fontId="5" numFmtId="0" xfId="0" applyBorder="1" applyFont="1"/>
    <xf borderId="35" fillId="0" fontId="51" numFmtId="0" xfId="0" applyBorder="1" applyFont="1"/>
    <xf borderId="25" fillId="0" fontId="18" numFmtId="10" xfId="0" applyBorder="1" applyFont="1" applyNumberFormat="1"/>
    <xf borderId="25" fillId="0" fontId="18" numFmtId="3" xfId="0" applyBorder="1" applyFont="1" applyNumberFormat="1"/>
    <xf borderId="24" fillId="0" fontId="18" numFmtId="10" xfId="0" applyBorder="1" applyFont="1" applyNumberFormat="1"/>
    <xf borderId="24" fillId="0" fontId="18" numFmtId="3" xfId="0" applyBorder="1" applyFont="1" applyNumberFormat="1"/>
    <xf borderId="9" fillId="0" fontId="13" numFmtId="3" xfId="0" applyBorder="1" applyFont="1" applyNumberFormat="1"/>
    <xf borderId="104" fillId="0" fontId="18" numFmtId="10" xfId="0" applyAlignment="1" applyBorder="1" applyFont="1" applyNumberFormat="1">
      <alignment horizontal="center"/>
    </xf>
    <xf borderId="104" fillId="0" fontId="18" numFmtId="3" xfId="0" applyAlignment="1" applyBorder="1" applyFont="1" applyNumberFormat="1">
      <alignment horizontal="center"/>
    </xf>
    <xf borderId="104" fillId="0" fontId="18" numFmtId="10" xfId="0" applyBorder="1" applyFont="1" applyNumberFormat="1"/>
    <xf borderId="104" fillId="0" fontId="18" numFmtId="0" xfId="0" applyBorder="1" applyFont="1"/>
    <xf borderId="0" fillId="0" fontId="9" numFmtId="168" xfId="0" applyFont="1" applyNumberFormat="1"/>
    <xf borderId="0" fillId="0" fontId="9" numFmtId="169" xfId="0" applyFont="1" applyNumberFormat="1"/>
    <xf borderId="0" fillId="0" fontId="9" numFmtId="170" xfId="0" applyFont="1" applyNumberFormat="1"/>
    <xf borderId="74" fillId="3" fontId="9" numFmtId="0" xfId="0" applyBorder="1" applyFont="1"/>
    <xf borderId="74" fillId="3" fontId="9" numFmtId="168" xfId="0" applyBorder="1" applyFont="1" applyNumberFormat="1"/>
    <xf borderId="74" fillId="3" fontId="9" numFmtId="3" xfId="0" applyBorder="1" applyFont="1" applyNumberFormat="1"/>
    <xf borderId="25" fillId="0" fontId="9" numFmtId="0" xfId="0" applyAlignment="1" applyBorder="1" applyFont="1">
      <alignment horizontal="center"/>
    </xf>
    <xf borderId="25" fillId="0" fontId="9" numFmtId="3" xfId="0" applyAlignment="1" applyBorder="1" applyFont="1" applyNumberFormat="1">
      <alignment horizontal="center"/>
    </xf>
    <xf borderId="25" fillId="0" fontId="4" numFmtId="0" xfId="0" applyAlignment="1" applyBorder="1" applyFont="1">
      <alignment horizontal="center"/>
    </xf>
    <xf borderId="122" fillId="0" fontId="21" numFmtId="165" xfId="0" applyAlignment="1" applyBorder="1" applyFont="1" applyNumberFormat="1">
      <alignment horizontal="right" vertical="center"/>
    </xf>
    <xf borderId="25" fillId="0" fontId="21" numFmtId="165" xfId="0" applyAlignment="1" applyBorder="1" applyFont="1" applyNumberFormat="1">
      <alignment horizontal="right" vertical="center"/>
    </xf>
    <xf borderId="25" fillId="0" fontId="4" numFmtId="3" xfId="0" applyBorder="1" applyFont="1" applyNumberFormat="1"/>
    <xf borderId="25" fillId="0" fontId="4" numFmtId="0" xfId="0" applyBorder="1" applyFont="1"/>
    <xf borderId="25" fillId="2" fontId="7" numFmtId="166" xfId="0" applyAlignment="1" applyBorder="1" applyFont="1" applyNumberFormat="1">
      <alignment horizontal="center"/>
    </xf>
    <xf quotePrefix="1" borderId="0" fillId="0" fontId="9" numFmtId="0" xfId="0" applyFont="1"/>
    <xf borderId="25" fillId="2" fontId="7" numFmtId="3" xfId="0" applyAlignment="1" applyBorder="1" applyFont="1" applyNumberFormat="1">
      <alignment horizontal="center"/>
    </xf>
    <xf borderId="25" fillId="2" fontId="7" numFmtId="10" xfId="0" applyAlignment="1" applyBorder="1" applyFont="1" applyNumberFormat="1">
      <alignment horizontal="center"/>
    </xf>
    <xf quotePrefix="1" borderId="25" fillId="2" fontId="7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right"/>
    </xf>
    <xf borderId="0" fillId="0" fontId="18" numFmtId="166" xfId="0" applyAlignment="1" applyFont="1" applyNumberFormat="1">
      <alignment horizontal="center"/>
    </xf>
    <xf borderId="9" fillId="4" fontId="18" numFmtId="0" xfId="0" applyBorder="1" applyFont="1"/>
    <xf borderId="5" fillId="4" fontId="18" numFmtId="168" xfId="0" applyAlignment="1" applyBorder="1" applyFont="1" applyNumberFormat="1">
      <alignment horizontal="center" shrinkToFit="0" vertical="top" wrapText="1"/>
    </xf>
    <xf quotePrefix="1" borderId="5" fillId="4" fontId="18" numFmtId="168" xfId="0" applyAlignment="1" applyBorder="1" applyFont="1" applyNumberFormat="1">
      <alignment horizontal="center" shrinkToFit="0" vertical="top" wrapText="1"/>
    </xf>
    <xf borderId="99" fillId="4" fontId="18" numFmtId="166" xfId="0" applyAlignment="1" applyBorder="1" applyFont="1" applyNumberFormat="1">
      <alignment horizontal="center" vertical="center"/>
    </xf>
    <xf borderId="9" fillId="4" fontId="52" numFmtId="0" xfId="0" applyBorder="1" applyFont="1"/>
    <xf borderId="13" fillId="4" fontId="18" numFmtId="168" xfId="0" applyAlignment="1" applyBorder="1" applyFont="1" applyNumberFormat="1">
      <alignment horizontal="center" shrinkToFit="0" vertical="top" wrapText="1"/>
    </xf>
    <xf borderId="12" fillId="4" fontId="18" numFmtId="168" xfId="0" applyAlignment="1" applyBorder="1" applyFont="1" applyNumberFormat="1">
      <alignment horizontal="center" shrinkToFit="0" vertical="top" wrapText="1"/>
    </xf>
    <xf borderId="14" fillId="4" fontId="18" numFmtId="168" xfId="0" applyAlignment="1" applyBorder="1" applyFont="1" applyNumberFormat="1">
      <alignment horizontal="center" shrinkToFit="0" vertical="top" wrapText="1"/>
    </xf>
    <xf borderId="23" fillId="0" fontId="13" numFmtId="10" xfId="0" applyAlignment="1" applyBorder="1" applyFont="1" applyNumberFormat="1">
      <alignment horizontal="right"/>
    </xf>
    <xf borderId="55" fillId="0" fontId="13" numFmtId="10" xfId="0" applyAlignment="1" applyBorder="1" applyFont="1" applyNumberFormat="1">
      <alignment horizontal="right"/>
    </xf>
    <xf borderId="53" fillId="0" fontId="13" numFmtId="3" xfId="0" applyAlignment="1" applyBorder="1" applyFont="1" applyNumberFormat="1">
      <alignment horizontal="right"/>
    </xf>
    <xf borderId="57" fillId="0" fontId="13" numFmtId="10" xfId="0" applyAlignment="1" applyBorder="1" applyFont="1" applyNumberFormat="1">
      <alignment horizontal="center"/>
    </xf>
    <xf borderId="26" fillId="0" fontId="13" numFmtId="10" xfId="0" applyAlignment="1" applyBorder="1" applyFont="1" applyNumberFormat="1">
      <alignment horizontal="right"/>
    </xf>
    <xf borderId="61" fillId="0" fontId="13" numFmtId="10" xfId="0" applyAlignment="1" applyBorder="1" applyFont="1" applyNumberFormat="1">
      <alignment horizontal="center"/>
    </xf>
    <xf borderId="24" fillId="0" fontId="13" numFmtId="3" xfId="0" applyAlignment="1" applyBorder="1" applyFont="1" applyNumberFormat="1">
      <alignment horizontal="right"/>
    </xf>
    <xf borderId="34" fillId="0" fontId="13" numFmtId="10" xfId="0" applyAlignment="1" applyBorder="1" applyFont="1" applyNumberFormat="1">
      <alignment horizontal="right"/>
    </xf>
    <xf borderId="35" fillId="0" fontId="13" numFmtId="165" xfId="0" applyAlignment="1" applyBorder="1" applyFont="1" applyNumberFormat="1">
      <alignment horizontal="right"/>
    </xf>
    <xf borderId="23" fillId="0" fontId="13" numFmtId="165" xfId="0" applyAlignment="1" applyBorder="1" applyFont="1" applyNumberFormat="1">
      <alignment horizontal="right"/>
    </xf>
    <xf borderId="35" fillId="0" fontId="13" numFmtId="164" xfId="0" applyAlignment="1" applyBorder="1" applyFont="1" applyNumberFormat="1">
      <alignment horizontal="right"/>
    </xf>
    <xf borderId="103" fillId="0" fontId="13" numFmtId="164" xfId="0" applyAlignment="1" applyBorder="1" applyFont="1" applyNumberFormat="1">
      <alignment horizontal="right"/>
    </xf>
    <xf borderId="13" fillId="4" fontId="18" numFmtId="165" xfId="0" applyAlignment="1" applyBorder="1" applyFont="1" applyNumberFormat="1">
      <alignment horizontal="center"/>
    </xf>
    <xf borderId="12" fillId="4" fontId="18" numFmtId="10" xfId="0" applyAlignment="1" applyBorder="1" applyFont="1" applyNumberFormat="1">
      <alignment horizontal="right"/>
    </xf>
    <xf borderId="14" fillId="4" fontId="18" numFmtId="10" xfId="0" applyAlignment="1" applyBorder="1" applyFont="1" applyNumberFormat="1">
      <alignment horizontal="right"/>
    </xf>
    <xf borderId="9" fillId="4" fontId="18" numFmtId="3" xfId="0" applyAlignment="1" applyBorder="1" applyFont="1" applyNumberFormat="1">
      <alignment horizontal="right"/>
    </xf>
    <xf borderId="40" fillId="4" fontId="18" numFmtId="10" xfId="0" applyAlignment="1" applyBorder="1" applyFont="1" applyNumberFormat="1">
      <alignment horizontal="center"/>
    </xf>
    <xf borderId="23" fillId="0" fontId="13" numFmtId="0" xfId="0" applyAlignment="1" applyBorder="1" applyFont="1">
      <alignment horizontal="right"/>
    </xf>
    <xf borderId="19" fillId="0" fontId="13" numFmtId="0" xfId="0" applyAlignment="1" applyBorder="1" applyFont="1">
      <alignment horizontal="right"/>
    </xf>
    <xf borderId="55" fillId="0" fontId="13" numFmtId="0" xfId="0" applyAlignment="1" applyBorder="1" applyFont="1">
      <alignment horizontal="right"/>
    </xf>
    <xf borderId="53" fillId="0" fontId="13" numFmtId="0" xfId="0" applyAlignment="1" applyBorder="1" applyFont="1">
      <alignment horizontal="right"/>
    </xf>
    <xf borderId="57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right"/>
    </xf>
    <xf borderId="24" fillId="0" fontId="13" numFmtId="0" xfId="0" applyAlignment="1" applyBorder="1" applyFont="1">
      <alignment horizontal="right"/>
    </xf>
    <xf borderId="60" fillId="0" fontId="13" numFmtId="10" xfId="0" applyAlignment="1" applyBorder="1" applyFont="1" applyNumberFormat="1">
      <alignment horizontal="right"/>
    </xf>
    <xf borderId="34" fillId="0" fontId="13" numFmtId="3" xfId="0" applyAlignment="1" applyBorder="1" applyFont="1" applyNumberFormat="1">
      <alignment horizontal="right"/>
    </xf>
    <xf borderId="62" fillId="0" fontId="13" numFmtId="3" xfId="0" applyAlignment="1" applyBorder="1" applyFont="1" applyNumberFormat="1">
      <alignment horizontal="right"/>
    </xf>
    <xf borderId="103" fillId="0" fontId="13" numFmtId="3" xfId="0" applyAlignment="1" applyBorder="1" applyFont="1" applyNumberFormat="1">
      <alignment horizontal="right"/>
    </xf>
    <xf borderId="63" fillId="0" fontId="13" numFmtId="10" xfId="0" applyAlignment="1" applyBorder="1" applyFont="1" applyNumberFormat="1">
      <alignment horizontal="center"/>
    </xf>
    <xf borderId="13" fillId="4" fontId="18" numFmtId="3" xfId="0" applyAlignment="1" applyBorder="1" applyFont="1" applyNumberFormat="1">
      <alignment horizontal="right"/>
    </xf>
    <xf borderId="47" fillId="0" fontId="13" numFmtId="0" xfId="0" applyAlignment="1" applyBorder="1" applyFont="1">
      <alignment horizontal="right"/>
    </xf>
    <xf borderId="36" fillId="0" fontId="13" numFmtId="0" xfId="0" applyAlignment="1" applyBorder="1" applyFont="1">
      <alignment horizontal="right"/>
    </xf>
    <xf borderId="36" fillId="0" fontId="13" numFmtId="164" xfId="0" applyAlignment="1" applyBorder="1" applyFont="1" applyNumberFormat="1">
      <alignment horizontal="right"/>
    </xf>
    <xf borderId="70" fillId="0" fontId="13" numFmtId="0" xfId="0" applyAlignment="1" applyBorder="1" applyFont="1">
      <alignment horizontal="right"/>
    </xf>
    <xf borderId="102" fillId="0" fontId="13" numFmtId="0" xfId="0" applyAlignment="1" applyBorder="1" applyFont="1">
      <alignment horizontal="right"/>
    </xf>
    <xf borderId="71" fillId="0" fontId="13" numFmtId="0" xfId="0" applyAlignment="1" applyBorder="1" applyFont="1">
      <alignment horizontal="center"/>
    </xf>
    <xf borderId="12" fillId="4" fontId="18" numFmtId="3" xfId="0" applyAlignment="1" applyBorder="1" applyFont="1" applyNumberFormat="1">
      <alignment horizontal="right"/>
    </xf>
    <xf borderId="24" fillId="0" fontId="13" numFmtId="165" xfId="0" applyAlignment="1" applyBorder="1" applyFont="1" applyNumberFormat="1">
      <alignment horizontal="right"/>
    </xf>
    <xf borderId="103" fillId="0" fontId="13" numFmtId="165" xfId="0" applyAlignment="1" applyBorder="1" applyFont="1" applyNumberFormat="1">
      <alignment horizontal="right"/>
    </xf>
    <xf borderId="123" fillId="0" fontId="13" numFmtId="0" xfId="0" applyAlignment="1" applyBorder="1" applyFont="1">
      <alignment horizontal="right"/>
    </xf>
    <xf borderId="124" fillId="0" fontId="13" numFmtId="0" xfId="0" applyAlignment="1" applyBorder="1" applyFont="1">
      <alignment horizontal="right"/>
    </xf>
    <xf borderId="10" fillId="4" fontId="18" numFmtId="3" xfId="0" applyAlignment="1" applyBorder="1" applyFont="1" applyNumberFormat="1">
      <alignment horizontal="right"/>
    </xf>
    <xf borderId="0" fillId="0" fontId="16" numFmtId="165" xfId="0" applyAlignment="1" applyFont="1" applyNumberFormat="1">
      <alignment horizontal="center"/>
    </xf>
    <xf borderId="0" fillId="0" fontId="16" numFmtId="165" xfId="0" applyAlignment="1" applyFont="1" applyNumberFormat="1">
      <alignment horizontal="right"/>
    </xf>
    <xf borderId="0" fillId="0" fontId="16" numFmtId="3" xfId="0" applyAlignment="1" applyFont="1" applyNumberFormat="1">
      <alignment horizontal="center"/>
    </xf>
    <xf borderId="0" fillId="0" fontId="16" numFmtId="164" xfId="0" applyAlignment="1" applyFont="1" applyNumberFormat="1">
      <alignment horizontal="right"/>
    </xf>
    <xf quotePrefix="1" borderId="0" fillId="0" fontId="53" numFmtId="0" xfId="0" applyFont="1"/>
    <xf borderId="16" fillId="0" fontId="13" numFmtId="164" xfId="0" applyAlignment="1" applyBorder="1" applyFont="1" applyNumberFormat="1">
      <alignment horizontal="right"/>
    </xf>
    <xf borderId="26" fillId="0" fontId="13" numFmtId="165" xfId="0" applyAlignment="1" applyBorder="1" applyFont="1" applyNumberFormat="1">
      <alignment horizontal="right"/>
    </xf>
    <xf borderId="55" fillId="0" fontId="13" numFmtId="165" xfId="0" applyAlignment="1" applyBorder="1" applyFont="1" applyNumberFormat="1">
      <alignment horizontal="right"/>
    </xf>
    <xf borderId="53" fillId="0" fontId="13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2.63"/>
    <col customWidth="1" min="4" max="4" width="8.13"/>
    <col customWidth="1" min="5" max="5" width="14.25"/>
    <col customWidth="1" min="6" max="6" width="12.63"/>
    <col customWidth="1" min="7" max="7" width="12.25"/>
    <col customWidth="1" min="9" max="9" width="11.63"/>
    <col customWidth="1" min="15" max="15" width="12.75"/>
    <col customWidth="1" min="17" max="17" width="14.63"/>
    <col customWidth="1" min="19" max="19" width="12.75"/>
    <col customWidth="1" min="21" max="21" width="12.75"/>
    <col customWidth="1" min="23" max="23" width="12.75"/>
    <col customWidth="1" min="25" max="25" width="12.75"/>
    <col customWidth="1" min="27" max="27" width="12.75"/>
    <col customWidth="1" min="31" max="31" width="12.75"/>
    <col customWidth="1" min="33" max="33" width="12.75"/>
    <col customWidth="1" min="35" max="35" width="12.75"/>
    <col customWidth="1" min="37" max="37" width="12.75"/>
    <col customWidth="1" min="39" max="39" width="12.75"/>
    <col customWidth="1" min="41" max="41" width="12.75"/>
    <col customWidth="1" min="43" max="43" width="12.75"/>
    <col customWidth="1" min="45" max="45" width="12.75"/>
    <col customWidth="1" min="47" max="47" width="12.75"/>
    <col customWidth="1" min="49" max="49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15.75" customHeight="1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15.75" customHeight="1">
      <c r="B3" s="4"/>
      <c r="C3" s="5" t="s">
        <v>2</v>
      </c>
      <c r="D3" s="6"/>
      <c r="E3" s="6"/>
      <c r="F3" s="7"/>
      <c r="G3" s="8" t="s">
        <v>3</v>
      </c>
      <c r="H3" s="6"/>
      <c r="I3" s="6"/>
      <c r="J3" s="7"/>
      <c r="K3" s="9" t="s">
        <v>4</v>
      </c>
      <c r="L3" s="10"/>
      <c r="M3" s="10"/>
      <c r="N3" s="11"/>
      <c r="O3" s="9" t="s">
        <v>5</v>
      </c>
      <c r="P3" s="10"/>
      <c r="Q3" s="10"/>
      <c r="R3" s="12"/>
      <c r="S3" s="9" t="s">
        <v>6</v>
      </c>
      <c r="T3" s="10"/>
      <c r="U3" s="10"/>
      <c r="V3" s="12"/>
      <c r="W3" s="9" t="s">
        <v>7</v>
      </c>
      <c r="X3" s="10"/>
      <c r="Y3" s="10"/>
      <c r="Z3" s="12"/>
      <c r="AA3" s="9" t="s">
        <v>8</v>
      </c>
      <c r="AB3" s="10"/>
      <c r="AC3" s="10"/>
      <c r="AD3" s="12"/>
      <c r="AE3" s="9" t="s">
        <v>9</v>
      </c>
      <c r="AF3" s="10"/>
      <c r="AG3" s="10"/>
      <c r="AH3" s="12"/>
      <c r="AI3" s="9" t="s">
        <v>10</v>
      </c>
      <c r="AJ3" s="10"/>
      <c r="AK3" s="10"/>
      <c r="AL3" s="12"/>
      <c r="AM3" s="9" t="s">
        <v>11</v>
      </c>
      <c r="AN3" s="10"/>
      <c r="AO3" s="10"/>
      <c r="AP3" s="12"/>
      <c r="AQ3" s="9" t="s">
        <v>12</v>
      </c>
      <c r="AR3" s="10"/>
      <c r="AS3" s="10"/>
      <c r="AT3" s="12"/>
      <c r="AU3" s="9" t="s">
        <v>13</v>
      </c>
      <c r="AV3" s="10"/>
      <c r="AW3" s="10"/>
      <c r="AX3" s="12"/>
      <c r="AY3" s="9" t="s">
        <v>14</v>
      </c>
      <c r="AZ3" s="10"/>
      <c r="BA3" s="10"/>
      <c r="BB3" s="12"/>
      <c r="BC3" s="9" t="s">
        <v>15</v>
      </c>
      <c r="BD3" s="10"/>
      <c r="BE3" s="10"/>
      <c r="BF3" s="12"/>
      <c r="BG3" s="9" t="s">
        <v>16</v>
      </c>
      <c r="BH3" s="10"/>
      <c r="BI3" s="10"/>
      <c r="BJ3" s="12"/>
    </row>
    <row r="4" ht="15.75" customHeight="1">
      <c r="B4" s="13"/>
      <c r="C4" s="14" t="s">
        <v>17</v>
      </c>
      <c r="D4" s="15" t="s">
        <v>18</v>
      </c>
      <c r="E4" s="15" t="s">
        <v>19</v>
      </c>
      <c r="F4" s="16" t="s">
        <v>18</v>
      </c>
      <c r="G4" s="17" t="s">
        <v>20</v>
      </c>
      <c r="H4" s="15" t="s">
        <v>18</v>
      </c>
      <c r="I4" s="15" t="s">
        <v>19</v>
      </c>
      <c r="J4" s="16" t="s">
        <v>18</v>
      </c>
      <c r="K4" s="14" t="s">
        <v>17</v>
      </c>
      <c r="L4" s="15" t="s">
        <v>18</v>
      </c>
      <c r="M4" s="15" t="s">
        <v>19</v>
      </c>
      <c r="N4" s="18" t="s">
        <v>18</v>
      </c>
      <c r="O4" s="17" t="s">
        <v>17</v>
      </c>
      <c r="P4" s="15" t="s">
        <v>18</v>
      </c>
      <c r="Q4" s="15" t="s">
        <v>19</v>
      </c>
      <c r="R4" s="16" t="s">
        <v>18</v>
      </c>
      <c r="S4" s="17" t="s">
        <v>17</v>
      </c>
      <c r="T4" s="15" t="s">
        <v>18</v>
      </c>
      <c r="U4" s="15" t="s">
        <v>19</v>
      </c>
      <c r="V4" s="16" t="s">
        <v>18</v>
      </c>
      <c r="W4" s="17" t="s">
        <v>17</v>
      </c>
      <c r="X4" s="15" t="s">
        <v>18</v>
      </c>
      <c r="Y4" s="15" t="s">
        <v>19</v>
      </c>
      <c r="Z4" s="16" t="s">
        <v>18</v>
      </c>
      <c r="AA4" s="17" t="s">
        <v>17</v>
      </c>
      <c r="AB4" s="15" t="s">
        <v>18</v>
      </c>
      <c r="AC4" s="15" t="s">
        <v>19</v>
      </c>
      <c r="AD4" s="16" t="s">
        <v>18</v>
      </c>
      <c r="AE4" s="17" t="s">
        <v>17</v>
      </c>
      <c r="AF4" s="15" t="s">
        <v>18</v>
      </c>
      <c r="AG4" s="15" t="s">
        <v>19</v>
      </c>
      <c r="AH4" s="16" t="s">
        <v>18</v>
      </c>
      <c r="AI4" s="17" t="s">
        <v>17</v>
      </c>
      <c r="AJ4" s="15" t="s">
        <v>18</v>
      </c>
      <c r="AK4" s="15" t="s">
        <v>19</v>
      </c>
      <c r="AL4" s="16" t="s">
        <v>18</v>
      </c>
      <c r="AM4" s="17" t="s">
        <v>17</v>
      </c>
      <c r="AN4" s="15" t="s">
        <v>18</v>
      </c>
      <c r="AO4" s="15" t="s">
        <v>19</v>
      </c>
      <c r="AP4" s="16" t="s">
        <v>18</v>
      </c>
      <c r="AQ4" s="17" t="s">
        <v>17</v>
      </c>
      <c r="AR4" s="15" t="s">
        <v>18</v>
      </c>
      <c r="AS4" s="15" t="s">
        <v>19</v>
      </c>
      <c r="AT4" s="16" t="s">
        <v>18</v>
      </c>
      <c r="AU4" s="17" t="s">
        <v>17</v>
      </c>
      <c r="AV4" s="15" t="s">
        <v>18</v>
      </c>
      <c r="AW4" s="15" t="s">
        <v>19</v>
      </c>
      <c r="AX4" s="16" t="s">
        <v>18</v>
      </c>
      <c r="AY4" s="17" t="s">
        <v>17</v>
      </c>
      <c r="AZ4" s="15" t="s">
        <v>18</v>
      </c>
      <c r="BA4" s="15" t="s">
        <v>19</v>
      </c>
      <c r="BB4" s="16" t="s">
        <v>18</v>
      </c>
      <c r="BC4" s="17" t="s">
        <v>17</v>
      </c>
      <c r="BD4" s="15" t="s">
        <v>18</v>
      </c>
      <c r="BE4" s="15" t="s">
        <v>19</v>
      </c>
      <c r="BF4" s="16" t="s">
        <v>18</v>
      </c>
      <c r="BG4" s="17" t="s">
        <v>17</v>
      </c>
      <c r="BH4" s="15" t="s">
        <v>18</v>
      </c>
      <c r="BI4" s="15" t="s">
        <v>19</v>
      </c>
      <c r="BJ4" s="16" t="s">
        <v>18</v>
      </c>
    </row>
    <row r="5" ht="15.75" customHeight="1">
      <c r="B5" s="19" t="s">
        <v>21</v>
      </c>
      <c r="C5" s="20">
        <f t="shared" ref="C5:C9" si="1">G5+K5</f>
        <v>11608399.75</v>
      </c>
      <c r="D5" s="21">
        <f t="shared" ref="D5:D9" si="2">C5/$C$10</f>
        <v>0.078003476</v>
      </c>
      <c r="E5" s="22">
        <f t="shared" ref="E5:E9" si="3">I5+M5</f>
        <v>0</v>
      </c>
      <c r="F5" s="23" t="str">
        <f t="shared" ref="F5:F9" si="4">E5/E$10</f>
        <v>#DIV/0!</v>
      </c>
      <c r="G5" s="24">
        <f>'Q1 FY26-27'!G5</f>
        <v>0</v>
      </c>
      <c r="H5" s="25"/>
      <c r="I5" s="26">
        <f>'Q1 FY26-27'!I5</f>
        <v>0</v>
      </c>
      <c r="J5" s="25"/>
      <c r="K5" s="27">
        <f t="shared" ref="K5:K9" si="5">O5+S5+W5+AA5+AE5+AI5+AM5+AQ5+AU5+AY5+BC5+BG5</f>
        <v>11608399.75</v>
      </c>
      <c r="L5" s="21">
        <f t="shared" ref="L5:L9" si="6">K5/$K$10</f>
        <v>0.078003476</v>
      </c>
      <c r="M5" s="22">
        <f t="shared" ref="M5:M9" si="7">Q5+U5+Y5+AC5+AG5+AK5+AO5</f>
        <v>0</v>
      </c>
      <c r="N5" s="28" t="str">
        <f t="shared" ref="N5:N9" si="8">M5/M$10</f>
        <v>#DIV/0!</v>
      </c>
      <c r="O5" s="29">
        <f>'Q1 FY26-27'!O5</f>
        <v>2407580</v>
      </c>
      <c r="P5" s="30">
        <f t="shared" ref="P5:P9" si="9">O5/O$10</f>
        <v>0.05881572225</v>
      </c>
      <c r="Q5" s="31">
        <f>'Q1 FY26-27'!Q5</f>
        <v>0</v>
      </c>
      <c r="R5" s="30" t="str">
        <f t="shared" ref="R5:R9" si="10">Q5/Q$10</f>
        <v>#DIV/0!</v>
      </c>
      <c r="S5" s="29">
        <f>'Q1 FY26-27'!S5</f>
        <v>0</v>
      </c>
      <c r="T5" s="30">
        <f t="shared" ref="T5:T9" si="11">S5/S$10</f>
        <v>0</v>
      </c>
      <c r="U5" s="31">
        <f>'Q1 FY26-27'!U5</f>
        <v>0</v>
      </c>
      <c r="V5" s="30" t="str">
        <f t="shared" ref="V5:V9" si="12">U5/U$10</f>
        <v>#DIV/0!</v>
      </c>
      <c r="W5" s="29">
        <f>'Q1 FY26-27'!W5</f>
        <v>2398144</v>
      </c>
      <c r="X5" s="30">
        <f t="shared" ref="X5:X9" si="13">W5/W$10</f>
        <v>0.094851748</v>
      </c>
      <c r="Y5" s="31">
        <f>'Q1 FY26-27'!Y5</f>
        <v>0</v>
      </c>
      <c r="Z5" s="30" t="str">
        <f t="shared" ref="Z5:Z9" si="14">Y5/Y$10</f>
        <v>#DIV/0!</v>
      </c>
      <c r="AA5" s="29">
        <f>'Q1 FY26-27'!AA5</f>
        <v>2390099.75</v>
      </c>
      <c r="AB5" s="30">
        <f t="shared" ref="AB5:AB9" si="15">AA5/AA$10</f>
        <v>0.1248376789</v>
      </c>
      <c r="AC5" s="31">
        <f>'Q1 FY26-27'!AC5</f>
        <v>0</v>
      </c>
      <c r="AD5" s="30" t="str">
        <f t="shared" ref="AD5:AD9" si="16">AC5/AC$10</f>
        <v>#DIV/0!</v>
      </c>
      <c r="AE5" s="29">
        <f>'Q1 FY26-27'!AE5</f>
        <v>3237788.5</v>
      </c>
      <c r="AF5" s="30">
        <f t="shared" ref="AF5:AF9" si="17">AE5/AE$10</f>
        <v>0.0945816365</v>
      </c>
      <c r="AG5" s="31">
        <f>'Q1 FY26-27'!AG5</f>
        <v>0</v>
      </c>
      <c r="AH5" s="30" t="str">
        <f t="shared" ref="AH5:AH9" si="18">AG5/AG$10</f>
        <v>#DIV/0!</v>
      </c>
      <c r="AI5" s="29">
        <f>'Q1 FY26-27'!AI5</f>
        <v>0</v>
      </c>
      <c r="AJ5" s="30" t="str">
        <f t="shared" ref="AJ5:AJ9" si="19">AI5/AI$10</f>
        <v>#DIV/0!</v>
      </c>
      <c r="AK5" s="31">
        <f>'Q1 FY26-27'!AK5</f>
        <v>0</v>
      </c>
      <c r="AL5" s="30" t="str">
        <f t="shared" ref="AL5:AL9" si="20">AK5/AK$10</f>
        <v>#DIV/0!</v>
      </c>
      <c r="AM5" s="29">
        <f>'Q1 FY26-27'!AM5</f>
        <v>0</v>
      </c>
      <c r="AN5" s="30">
        <f t="shared" ref="AN5:AN9" si="21">AM5/AM$10</f>
        <v>0</v>
      </c>
      <c r="AO5" s="31">
        <f>'Q1 FY26-27'!AO5</f>
        <v>0</v>
      </c>
      <c r="AP5" s="30" t="str">
        <f t="shared" ref="AP5:AP9" si="22">AO5/AO$10</f>
        <v>#DIV/0!</v>
      </c>
      <c r="AQ5" s="29">
        <f>'Q1 FY26-27'!AQ5</f>
        <v>1174787.5</v>
      </c>
      <c r="AR5" s="30">
        <f t="shared" ref="AR5:AR9" si="23">AQ5/AQ$10</f>
        <v>0.04865321252</v>
      </c>
      <c r="AS5" s="31">
        <f>'Q1 FY26-27'!AS5</f>
        <v>0</v>
      </c>
      <c r="AT5" s="32"/>
      <c r="AU5" s="33">
        <v>0.0</v>
      </c>
      <c r="AV5" s="30">
        <f t="shared" ref="AV5:AV9" si="24">AU5/AU$10</f>
        <v>0</v>
      </c>
      <c r="AW5" s="31">
        <f>'Q1 FY26-27'!AW5</f>
        <v>0</v>
      </c>
      <c r="AX5" s="32"/>
      <c r="AY5" s="34">
        <f>'Q1 FY26-27'!AY5</f>
        <v>0</v>
      </c>
      <c r="AZ5" s="25"/>
      <c r="BA5" s="31">
        <f>'Q1 FY26-27'!BA5</f>
        <v>0</v>
      </c>
      <c r="BB5" s="32"/>
      <c r="BC5" s="34">
        <f>'Q1 FY26-27'!BC5</f>
        <v>0</v>
      </c>
      <c r="BD5" s="25"/>
      <c r="BE5" s="31">
        <f>'Q1 FY26-27'!BE5</f>
        <v>0</v>
      </c>
      <c r="BF5" s="32"/>
      <c r="BG5" s="34">
        <f>'Q1 FY26-27'!BG5</f>
        <v>0</v>
      </c>
      <c r="BH5" s="25"/>
      <c r="BI5" s="34">
        <f>'Q1 FY26-27'!BI5</f>
        <v>0</v>
      </c>
      <c r="BJ5" s="32"/>
    </row>
    <row r="6" ht="15.75" customHeight="1">
      <c r="B6" s="35" t="s">
        <v>22</v>
      </c>
      <c r="C6" s="20">
        <f t="shared" si="1"/>
        <v>24020516</v>
      </c>
      <c r="D6" s="21">
        <f t="shared" si="2"/>
        <v>0.1614075828</v>
      </c>
      <c r="E6" s="36">
        <f t="shared" si="3"/>
        <v>0</v>
      </c>
      <c r="F6" s="37" t="str">
        <f t="shared" si="4"/>
        <v>#DIV/0!</v>
      </c>
      <c r="G6" s="24">
        <f>'Q1 FY26-27'!G6</f>
        <v>0</v>
      </c>
      <c r="H6" s="38"/>
      <c r="I6" s="26">
        <f>'Q1 FY26-27'!I6</f>
        <v>0</v>
      </c>
      <c r="J6" s="38"/>
      <c r="K6" s="27">
        <f t="shared" si="5"/>
        <v>24020516</v>
      </c>
      <c r="L6" s="21">
        <f t="shared" si="6"/>
        <v>0.1614075828</v>
      </c>
      <c r="M6" s="36">
        <f t="shared" si="7"/>
        <v>0</v>
      </c>
      <c r="N6" s="39" t="str">
        <f t="shared" si="8"/>
        <v>#DIV/0!</v>
      </c>
      <c r="O6" s="29">
        <f>'Q1 FY26-27'!O6</f>
        <v>9818016</v>
      </c>
      <c r="P6" s="40">
        <f t="shared" si="9"/>
        <v>0.2398481887</v>
      </c>
      <c r="Q6" s="31">
        <f>'Q1 FY26-27'!Q6</f>
        <v>0</v>
      </c>
      <c r="R6" s="40" t="str">
        <f t="shared" si="10"/>
        <v>#DIV/0!</v>
      </c>
      <c r="S6" s="29">
        <f>'Q1 FY26-27'!S6</f>
        <v>0</v>
      </c>
      <c r="T6" s="40">
        <f t="shared" si="11"/>
        <v>0</v>
      </c>
      <c r="U6" s="31">
        <f>'Q1 FY26-27'!U6</f>
        <v>0</v>
      </c>
      <c r="V6" s="40" t="str">
        <f t="shared" si="12"/>
        <v>#DIV/0!</v>
      </c>
      <c r="W6" s="29">
        <f>'Q1 FY26-27'!W6</f>
        <v>1505040</v>
      </c>
      <c r="X6" s="40">
        <f t="shared" si="13"/>
        <v>0.05952756582</v>
      </c>
      <c r="Y6" s="31">
        <f>'Q1 FY26-27'!Y6</f>
        <v>0</v>
      </c>
      <c r="Z6" s="40" t="str">
        <f t="shared" si="14"/>
        <v>#DIV/0!</v>
      </c>
      <c r="AA6" s="29">
        <f>'Q1 FY26-27'!AA6</f>
        <v>0</v>
      </c>
      <c r="AB6" s="40">
        <f t="shared" si="15"/>
        <v>0</v>
      </c>
      <c r="AC6" s="31">
        <f>'Q1 FY26-27'!AC6</f>
        <v>0</v>
      </c>
      <c r="AD6" s="40" t="str">
        <f t="shared" si="16"/>
        <v>#DIV/0!</v>
      </c>
      <c r="AE6" s="29">
        <f>'Q1 FY26-27'!AE6</f>
        <v>4194442.5</v>
      </c>
      <c r="AF6" s="40">
        <f t="shared" si="17"/>
        <v>0.1225272237</v>
      </c>
      <c r="AG6" s="31">
        <f>'Q1 FY26-27'!AG6</f>
        <v>0</v>
      </c>
      <c r="AH6" s="40" t="str">
        <f t="shared" si="18"/>
        <v>#DIV/0!</v>
      </c>
      <c r="AI6" s="29">
        <f>'Q1 FY26-27'!AI6</f>
        <v>0</v>
      </c>
      <c r="AJ6" s="40" t="str">
        <f t="shared" si="19"/>
        <v>#DIV/0!</v>
      </c>
      <c r="AK6" s="31">
        <f>'Q1 FY26-27'!AK6</f>
        <v>0</v>
      </c>
      <c r="AL6" s="30" t="str">
        <f t="shared" si="20"/>
        <v>#DIV/0!</v>
      </c>
      <c r="AM6" s="41">
        <f>'Q1 FY26-27'!AM6</f>
        <v>0</v>
      </c>
      <c r="AN6" s="40">
        <f t="shared" si="21"/>
        <v>0</v>
      </c>
      <c r="AO6" s="31">
        <f>'Q1 FY26-27'!AO6</f>
        <v>0</v>
      </c>
      <c r="AP6" s="40" t="str">
        <f t="shared" si="22"/>
        <v>#DIV/0!</v>
      </c>
      <c r="AQ6" s="29">
        <f>'Q1 FY26-27'!AQ6</f>
        <v>8503017.5</v>
      </c>
      <c r="AR6" s="40">
        <f t="shared" si="23"/>
        <v>0.3521480417</v>
      </c>
      <c r="AS6" s="31">
        <f>'Q1 FY26-27'!AS6</f>
        <v>0</v>
      </c>
      <c r="AT6" s="42"/>
      <c r="AU6" s="34">
        <v>0.0</v>
      </c>
      <c r="AV6" s="40">
        <f t="shared" si="24"/>
        <v>0</v>
      </c>
      <c r="AW6" s="31">
        <f>'Q1 FY26-27'!AW6</f>
        <v>0</v>
      </c>
      <c r="AX6" s="42"/>
      <c r="AY6" s="34">
        <f>'Q1 FY26-27'!AY6</f>
        <v>0</v>
      </c>
      <c r="AZ6" s="38"/>
      <c r="BA6" s="31">
        <f>'Q1 FY26-27'!BA6</f>
        <v>0</v>
      </c>
      <c r="BB6" s="42"/>
      <c r="BC6" s="34">
        <f>'Q1 FY26-27'!BC6</f>
        <v>0</v>
      </c>
      <c r="BD6" s="38"/>
      <c r="BE6" s="43">
        <f>'Q1 FY26-27'!BE6</f>
        <v>0</v>
      </c>
      <c r="BF6" s="42"/>
      <c r="BG6" s="34">
        <f>'Q1 FY26-27'!BG6</f>
        <v>0</v>
      </c>
      <c r="BH6" s="38"/>
      <c r="BI6" s="34">
        <f>'Q1 FY26-27'!BI6</f>
        <v>0</v>
      </c>
      <c r="BJ6" s="42"/>
    </row>
    <row r="7" ht="15.75" customHeight="1">
      <c r="B7" s="35" t="s">
        <v>23</v>
      </c>
      <c r="C7" s="20">
        <f t="shared" si="1"/>
        <v>108260254</v>
      </c>
      <c r="D7" s="21">
        <f t="shared" si="2"/>
        <v>0.7274625538</v>
      </c>
      <c r="E7" s="36">
        <f t="shared" si="3"/>
        <v>0</v>
      </c>
      <c r="F7" s="37" t="str">
        <f t="shared" si="4"/>
        <v>#DIV/0!</v>
      </c>
      <c r="G7" s="24">
        <f>'Q1 FY26-27'!G7</f>
        <v>0</v>
      </c>
      <c r="H7" s="38"/>
      <c r="I7" s="26">
        <f>'Q1 FY26-27'!I7</f>
        <v>0</v>
      </c>
      <c r="J7" s="38"/>
      <c r="K7" s="27">
        <f t="shared" si="5"/>
        <v>108260254</v>
      </c>
      <c r="L7" s="21">
        <f t="shared" si="6"/>
        <v>0.7274625538</v>
      </c>
      <c r="M7" s="36">
        <f t="shared" si="7"/>
        <v>0</v>
      </c>
      <c r="N7" s="39" t="str">
        <f t="shared" si="8"/>
        <v>#DIV/0!</v>
      </c>
      <c r="O7" s="29">
        <f>'Q1 FY26-27'!O7</f>
        <v>26989558.87</v>
      </c>
      <c r="P7" s="40">
        <f t="shared" si="9"/>
        <v>0.6593385882</v>
      </c>
      <c r="Q7" s="31">
        <f>'Q1 FY26-27'!Q7</f>
        <v>0</v>
      </c>
      <c r="R7" s="40" t="str">
        <f t="shared" si="10"/>
        <v>#DIV/0!</v>
      </c>
      <c r="S7" s="29">
        <f>'Q1 FY26-27'!S7</f>
        <v>1667248</v>
      </c>
      <c r="T7" s="40">
        <f t="shared" si="11"/>
        <v>1</v>
      </c>
      <c r="U7" s="31">
        <f>'Q1 FY26-27'!U7</f>
        <v>0</v>
      </c>
      <c r="V7" s="40" t="str">
        <f t="shared" si="12"/>
        <v>#DIV/0!</v>
      </c>
      <c r="W7" s="29">
        <f>'Q1 FY26-27'!W7</f>
        <v>20658266.49</v>
      </c>
      <c r="X7" s="40">
        <f t="shared" si="13"/>
        <v>0.8170788273</v>
      </c>
      <c r="Y7" s="31">
        <f>'Q1 FY26-27'!Y7</f>
        <v>0</v>
      </c>
      <c r="Z7" s="40" t="str">
        <f t="shared" si="14"/>
        <v>#DIV/0!</v>
      </c>
      <c r="AA7" s="29">
        <f>'Q1 FY26-27'!AA7</f>
        <v>16390588.15</v>
      </c>
      <c r="AB7" s="40">
        <f t="shared" si="15"/>
        <v>0.8560994081</v>
      </c>
      <c r="AC7" s="31">
        <f>'Q1 FY26-27'!AC7</f>
        <v>0</v>
      </c>
      <c r="AD7" s="40" t="str">
        <f t="shared" si="16"/>
        <v>#DIV/0!</v>
      </c>
      <c r="AE7" s="29">
        <f>'Q1 FY26-27'!AE7</f>
        <v>25758068.25</v>
      </c>
      <c r="AF7" s="40">
        <f t="shared" si="17"/>
        <v>0.752439589</v>
      </c>
      <c r="AG7" s="31">
        <f>'Q1 FY26-27'!AG7</f>
        <v>0</v>
      </c>
      <c r="AH7" s="40" t="str">
        <f t="shared" si="18"/>
        <v>#DIV/0!</v>
      </c>
      <c r="AI7" s="29">
        <f>'Q1 FY26-27'!AI7</f>
        <v>0</v>
      </c>
      <c r="AJ7" s="40" t="str">
        <f t="shared" si="19"/>
        <v>#DIV/0!</v>
      </c>
      <c r="AK7" s="31">
        <f>'Q1 FY26-27'!AK7</f>
        <v>0</v>
      </c>
      <c r="AL7" s="30" t="str">
        <f t="shared" si="20"/>
        <v>#DIV/0!</v>
      </c>
      <c r="AM7" s="41">
        <f>'Q1 FY26-27'!AM7</f>
        <v>970993.82</v>
      </c>
      <c r="AN7" s="40">
        <f t="shared" si="21"/>
        <v>1</v>
      </c>
      <c r="AO7" s="31">
        <f>'Q1 FY26-27'!AO7</f>
        <v>0</v>
      </c>
      <c r="AP7" s="40" t="str">
        <f t="shared" si="22"/>
        <v>#DIV/0!</v>
      </c>
      <c r="AQ7" s="29">
        <f>'Q1 FY26-27'!AQ7</f>
        <v>13386679.5</v>
      </c>
      <c r="AR7" s="40">
        <f t="shared" si="23"/>
        <v>0.5544023602</v>
      </c>
      <c r="AS7" s="31">
        <f>'Q1 FY26-27'!AS7</f>
        <v>0</v>
      </c>
      <c r="AT7" s="42"/>
      <c r="AU7" s="34">
        <f>'Q1 FY26-27'!AU7</f>
        <v>666826.99</v>
      </c>
      <c r="AV7" s="40">
        <f t="shared" si="24"/>
        <v>1</v>
      </c>
      <c r="AW7" s="31">
        <f>'Q1 FY26-27'!AW7</f>
        <v>0</v>
      </c>
      <c r="AX7" s="42"/>
      <c r="AY7" s="34">
        <f>'Q1 FY26-27'!AY7</f>
        <v>228077.89</v>
      </c>
      <c r="AZ7" s="38"/>
      <c r="BA7" s="31">
        <f>'Q1 FY26-27'!BA7</f>
        <v>0</v>
      </c>
      <c r="BB7" s="42"/>
      <c r="BC7" s="34">
        <f>'Q1 FY26-27'!BC7</f>
        <v>306961.08</v>
      </c>
      <c r="BD7" s="38"/>
      <c r="BE7" s="43">
        <f>'Q1 FY26-27'!BE7</f>
        <v>0</v>
      </c>
      <c r="BF7" s="42"/>
      <c r="BG7" s="34">
        <f>'Q1 FY26-27'!BG7</f>
        <v>1236985</v>
      </c>
      <c r="BH7" s="38"/>
      <c r="BI7" s="34">
        <f>'Q1 FY26-27'!BI7</f>
        <v>0</v>
      </c>
      <c r="BJ7" s="42"/>
    </row>
    <row r="8" ht="15.75" customHeight="1">
      <c r="B8" s="44" t="s">
        <v>24</v>
      </c>
      <c r="C8" s="45">
        <f t="shared" si="1"/>
        <v>4894605.05</v>
      </c>
      <c r="D8" s="21">
        <f t="shared" si="2"/>
        <v>0.03288965023</v>
      </c>
      <c r="E8" s="46">
        <f t="shared" si="3"/>
        <v>0</v>
      </c>
      <c r="F8" s="47" t="str">
        <f t="shared" si="4"/>
        <v>#DIV/0!</v>
      </c>
      <c r="G8" s="24">
        <f>'Q1 FY26-27'!G8</f>
        <v>0</v>
      </c>
      <c r="H8" s="48"/>
      <c r="I8" s="26">
        <f>'Q1 FY26-27'!I8</f>
        <v>0</v>
      </c>
      <c r="J8" s="48"/>
      <c r="K8" s="27">
        <f t="shared" si="5"/>
        <v>4894605.05</v>
      </c>
      <c r="L8" s="21">
        <f t="shared" si="6"/>
        <v>0.03288965023</v>
      </c>
      <c r="M8" s="46">
        <f t="shared" si="7"/>
        <v>0</v>
      </c>
      <c r="N8" s="49" t="str">
        <f t="shared" si="8"/>
        <v>#DIV/0!</v>
      </c>
      <c r="O8" s="29">
        <f>'Q1 FY26-27'!O8</f>
        <v>1719138</v>
      </c>
      <c r="P8" s="50">
        <f t="shared" si="9"/>
        <v>0.04199750086</v>
      </c>
      <c r="Q8" s="31">
        <f>'Q1 FY26-27'!Q8</f>
        <v>0</v>
      </c>
      <c r="R8" s="50" t="str">
        <f t="shared" si="10"/>
        <v>#DIV/0!</v>
      </c>
      <c r="S8" s="29">
        <f>'Q1 FY26-27'!S8</f>
        <v>0</v>
      </c>
      <c r="T8" s="50">
        <f t="shared" si="11"/>
        <v>0</v>
      </c>
      <c r="U8" s="31">
        <f>'Q1 FY26-27'!U8</f>
        <v>0</v>
      </c>
      <c r="V8" s="50" t="str">
        <f t="shared" si="12"/>
        <v>#DIV/0!</v>
      </c>
      <c r="W8" s="29">
        <f>'Q1 FY26-27'!W8</f>
        <v>721626</v>
      </c>
      <c r="X8" s="50">
        <f t="shared" si="13"/>
        <v>0.02854185883</v>
      </c>
      <c r="Y8" s="31">
        <f>'Q1 FY26-27'!Y8</f>
        <v>0</v>
      </c>
      <c r="Z8" s="50" t="str">
        <f t="shared" si="14"/>
        <v>#DIV/0!</v>
      </c>
      <c r="AA8" s="29">
        <f>'Q1 FY26-27'!AA8</f>
        <v>356972.05</v>
      </c>
      <c r="AB8" s="50">
        <f t="shared" si="15"/>
        <v>0.01864506373</v>
      </c>
      <c r="AC8" s="31">
        <f>'Q1 FY26-27'!AC8</f>
        <v>0</v>
      </c>
      <c r="AD8" s="50" t="str">
        <f t="shared" si="16"/>
        <v>#DIV/0!</v>
      </c>
      <c r="AE8" s="29">
        <f>'Q1 FY26-27'!AE8</f>
        <v>1028709</v>
      </c>
      <c r="AF8" s="50">
        <f t="shared" si="17"/>
        <v>0.0300504436</v>
      </c>
      <c r="AG8" s="31">
        <f>'Q1 FY26-27'!AG8</f>
        <v>0</v>
      </c>
      <c r="AH8" s="50" t="str">
        <f t="shared" si="18"/>
        <v>#DIV/0!</v>
      </c>
      <c r="AI8" s="29">
        <f>'Q1 FY26-27'!AI8</f>
        <v>0</v>
      </c>
      <c r="AJ8" s="50" t="str">
        <f t="shared" si="19"/>
        <v>#DIV/0!</v>
      </c>
      <c r="AK8" s="31">
        <f>'Q1 FY26-27'!AK8</f>
        <v>0</v>
      </c>
      <c r="AL8" s="30" t="str">
        <f t="shared" si="20"/>
        <v>#DIV/0!</v>
      </c>
      <c r="AM8" s="41">
        <f>'Q1 FY26-27'!AM8</f>
        <v>0</v>
      </c>
      <c r="AN8" s="50">
        <f t="shared" si="21"/>
        <v>0</v>
      </c>
      <c r="AO8" s="31">
        <f>'Q1 FY26-27'!AO8</f>
        <v>0</v>
      </c>
      <c r="AP8" s="50" t="str">
        <f t="shared" si="22"/>
        <v>#DIV/0!</v>
      </c>
      <c r="AQ8" s="29">
        <f>'Q1 FY26-27'!AQ8</f>
        <v>1068160</v>
      </c>
      <c r="AR8" s="50">
        <f t="shared" si="23"/>
        <v>0.04423729014</v>
      </c>
      <c r="AS8" s="31">
        <f>'Q1 FY26-27'!AS8</f>
        <v>0</v>
      </c>
      <c r="AT8" s="51"/>
      <c r="AU8" s="52">
        <v>0.0</v>
      </c>
      <c r="AV8" s="50">
        <f t="shared" si="24"/>
        <v>0</v>
      </c>
      <c r="AW8" s="31">
        <f>'Q1 FY26-27'!AW8</f>
        <v>0</v>
      </c>
      <c r="AX8" s="51"/>
      <c r="AY8" s="34">
        <f>'Q1 FY26-27'!AY8</f>
        <v>0</v>
      </c>
      <c r="AZ8" s="48"/>
      <c r="BA8" s="31">
        <f>'Q1 FY26-27'!BA8</f>
        <v>0</v>
      </c>
      <c r="BB8" s="51"/>
      <c r="BC8" s="34">
        <f>'Q1 FY26-27'!BC8</f>
        <v>0</v>
      </c>
      <c r="BD8" s="48"/>
      <c r="BE8" s="43">
        <f>'Q1 FY26-27'!BE8</f>
        <v>0</v>
      </c>
      <c r="BF8" s="51"/>
      <c r="BG8" s="34">
        <f>'Q1 FY26-27'!BG8</f>
        <v>0</v>
      </c>
      <c r="BH8" s="48"/>
      <c r="BI8" s="34">
        <f>'Q1 FY26-27'!BI8</f>
        <v>0</v>
      </c>
      <c r="BJ8" s="51"/>
    </row>
    <row r="9" ht="15.75" customHeight="1">
      <c r="B9" s="44" t="s">
        <v>25</v>
      </c>
      <c r="C9" s="45">
        <f t="shared" si="1"/>
        <v>35231</v>
      </c>
      <c r="D9" s="21">
        <f t="shared" si="2"/>
        <v>0.0002367372353</v>
      </c>
      <c r="E9" s="46">
        <f t="shared" si="3"/>
        <v>0</v>
      </c>
      <c r="F9" s="47" t="str">
        <f t="shared" si="4"/>
        <v>#DIV/0!</v>
      </c>
      <c r="G9" s="24">
        <f>'Q1 FY26-27'!G9</f>
        <v>0</v>
      </c>
      <c r="H9" s="48"/>
      <c r="I9" s="26">
        <f>'Q1 FY26-27'!I9</f>
        <v>0</v>
      </c>
      <c r="J9" s="48"/>
      <c r="K9" s="27">
        <f t="shared" si="5"/>
        <v>35231</v>
      </c>
      <c r="L9" s="21">
        <f t="shared" si="6"/>
        <v>0.0002367372353</v>
      </c>
      <c r="M9" s="46">
        <f t="shared" si="7"/>
        <v>0</v>
      </c>
      <c r="N9" s="49" t="str">
        <f t="shared" si="8"/>
        <v>#DIV/0!</v>
      </c>
      <c r="O9" s="53">
        <f>'Q1 FY26-27'!O9</f>
        <v>0</v>
      </c>
      <c r="P9" s="50">
        <f t="shared" si="9"/>
        <v>0</v>
      </c>
      <c r="Q9" s="31">
        <f>'Q1 FY26-27'!Q9</f>
        <v>0</v>
      </c>
      <c r="R9" s="50" t="str">
        <f t="shared" si="10"/>
        <v>#DIV/0!</v>
      </c>
      <c r="S9" s="29">
        <f>'Q1 FY26-27'!S9</f>
        <v>0</v>
      </c>
      <c r="T9" s="50">
        <f t="shared" si="11"/>
        <v>0</v>
      </c>
      <c r="U9" s="31">
        <f>'Q1 FY26-27'!U9</f>
        <v>0</v>
      </c>
      <c r="V9" s="50" t="str">
        <f t="shared" si="12"/>
        <v>#DIV/0!</v>
      </c>
      <c r="W9" s="29">
        <f>'Q1 FY26-27'!W9</f>
        <v>0</v>
      </c>
      <c r="X9" s="50">
        <f t="shared" si="13"/>
        <v>0</v>
      </c>
      <c r="Y9" s="31">
        <f>'Q1 FY26-27'!Y9</f>
        <v>0</v>
      </c>
      <c r="Z9" s="50" t="str">
        <f t="shared" si="14"/>
        <v>#DIV/0!</v>
      </c>
      <c r="AA9" s="29">
        <f>'Q1 FY26-27'!AA9</f>
        <v>8000</v>
      </c>
      <c r="AB9" s="50">
        <f t="shared" si="15"/>
        <v>0.0004178492682</v>
      </c>
      <c r="AC9" s="31">
        <f>'Q1 FY26-27'!AC9</f>
        <v>0</v>
      </c>
      <c r="AD9" s="50" t="str">
        <f t="shared" si="16"/>
        <v>#DIV/0!</v>
      </c>
      <c r="AE9" s="29">
        <f>'Q1 FY26-27'!AE9</f>
        <v>13731</v>
      </c>
      <c r="AF9" s="50">
        <f t="shared" si="17"/>
        <v>0.0004011072529</v>
      </c>
      <c r="AG9" s="31">
        <f>'Q1 FY26-27'!AG9</f>
        <v>0</v>
      </c>
      <c r="AH9" s="50" t="str">
        <f t="shared" si="18"/>
        <v>#DIV/0!</v>
      </c>
      <c r="AI9" s="29">
        <f>'Q1 FY26-27'!AI9</f>
        <v>0</v>
      </c>
      <c r="AJ9" s="50" t="str">
        <f t="shared" si="19"/>
        <v>#DIV/0!</v>
      </c>
      <c r="AK9" s="31">
        <f>'Q1 FY26-27'!AK9</f>
        <v>0</v>
      </c>
      <c r="AL9" s="30" t="str">
        <f t="shared" si="20"/>
        <v>#DIV/0!</v>
      </c>
      <c r="AM9" s="41">
        <f>'Q1 FY26-27'!AM9</f>
        <v>0</v>
      </c>
      <c r="AN9" s="50">
        <f t="shared" si="21"/>
        <v>0</v>
      </c>
      <c r="AO9" s="31">
        <f>'Q1 FY26-27'!AO9</f>
        <v>0</v>
      </c>
      <c r="AP9" s="50" t="str">
        <f t="shared" si="22"/>
        <v>#DIV/0!</v>
      </c>
      <c r="AQ9" s="29">
        <f>'Q1 FY26-27'!AQ9</f>
        <v>13500</v>
      </c>
      <c r="AR9" s="50">
        <f t="shared" si="23"/>
        <v>0.0005590954697</v>
      </c>
      <c r="AS9" s="31">
        <f>'Q1 FY26-27'!AS9</f>
        <v>0</v>
      </c>
      <c r="AT9" s="51"/>
      <c r="AU9" s="52">
        <v>0.0</v>
      </c>
      <c r="AV9" s="50">
        <f t="shared" si="24"/>
        <v>0</v>
      </c>
      <c r="AW9" s="31">
        <f>'Q1 FY26-27'!AW9</f>
        <v>0</v>
      </c>
      <c r="AX9" s="51"/>
      <c r="AY9" s="34">
        <f>'Q1 FY26-27'!AY9</f>
        <v>0</v>
      </c>
      <c r="AZ9" s="48"/>
      <c r="BA9" s="31">
        <f>'Q1 FY26-27'!BA9</f>
        <v>0</v>
      </c>
      <c r="BB9" s="51"/>
      <c r="BC9" s="34">
        <f>'Q1 FY26-27'!BC9</f>
        <v>0</v>
      </c>
      <c r="BD9" s="48"/>
      <c r="BE9" s="43">
        <f>'Q1 FY26-27'!BE9</f>
        <v>0</v>
      </c>
      <c r="BF9" s="51"/>
      <c r="BG9" s="34">
        <f>'Q1 FY26-27'!BG9</f>
        <v>0</v>
      </c>
      <c r="BH9" s="48"/>
      <c r="BI9" s="34">
        <f>'Q1 FY26-27'!BI9</f>
        <v>0</v>
      </c>
      <c r="BJ9" s="51"/>
    </row>
    <row r="10" ht="15.75" customHeight="1">
      <c r="B10" s="13" t="s">
        <v>26</v>
      </c>
      <c r="C10" s="54">
        <f>SUM(C5:C9)</f>
        <v>148819005.8</v>
      </c>
      <c r="D10" s="55">
        <f>C10/C10</f>
        <v>1</v>
      </c>
      <c r="E10" s="56">
        <f>SUM(E5:E9)</f>
        <v>0</v>
      </c>
      <c r="F10" s="55" t="str">
        <f>E10/E10</f>
        <v>#DIV/0!</v>
      </c>
      <c r="G10" s="54">
        <f>SUM(G5:G9)</f>
        <v>0</v>
      </c>
      <c r="H10" s="57"/>
      <c r="I10" s="54">
        <f>SUM(I5:I9)</f>
        <v>0</v>
      </c>
      <c r="J10" s="57"/>
      <c r="K10" s="58">
        <f>SUM(K5:K9)</f>
        <v>148819005.8</v>
      </c>
      <c r="L10" s="55">
        <f>K10/K10</f>
        <v>1</v>
      </c>
      <c r="M10" s="58">
        <f>SUM(M5:M9)</f>
        <v>0</v>
      </c>
      <c r="N10" s="59" t="str">
        <f>M10/M10</f>
        <v>#DIV/0!</v>
      </c>
      <c r="O10" s="54">
        <f>SUM(O5:O9)</f>
        <v>40934292.87</v>
      </c>
      <c r="P10" s="60"/>
      <c r="Q10" s="58">
        <f>SUM(Q5:Q9)</f>
        <v>0</v>
      </c>
      <c r="R10" s="61"/>
      <c r="S10" s="54">
        <f>SUM(S5:S9)</f>
        <v>1667248</v>
      </c>
      <c r="T10" s="57"/>
      <c r="U10" s="56">
        <f>SUM(U5:U8)</f>
        <v>0</v>
      </c>
      <c r="V10" s="61"/>
      <c r="W10" s="54">
        <f>SUM(W5:W9)</f>
        <v>25283076.49</v>
      </c>
      <c r="X10" s="57"/>
      <c r="Y10" s="56">
        <f>SUM(Y5:Y8)</f>
        <v>0</v>
      </c>
      <c r="Z10" s="61"/>
      <c r="AA10" s="54">
        <f>SUM(AA5:AA9)</f>
        <v>19145659.95</v>
      </c>
      <c r="AB10" s="57"/>
      <c r="AC10" s="56">
        <f>SUM(AC5:AC8)</f>
        <v>0</v>
      </c>
      <c r="AD10" s="61"/>
      <c r="AE10" s="54">
        <f>SUM(AE5:AE9)</f>
        <v>34232739.25</v>
      </c>
      <c r="AF10" s="57"/>
      <c r="AG10" s="56">
        <f>SUM(AG5:AG8)</f>
        <v>0</v>
      </c>
      <c r="AH10" s="61"/>
      <c r="AI10" s="54">
        <f>SUM(AI5:AI9)</f>
        <v>0</v>
      </c>
      <c r="AJ10" s="57"/>
      <c r="AK10" s="54">
        <f>SUM(AK5:AK9)</f>
        <v>0</v>
      </c>
      <c r="AL10" s="61"/>
      <c r="AM10" s="54">
        <f>SUM(AM5:AM9)</f>
        <v>970993.82</v>
      </c>
      <c r="AN10" s="57"/>
      <c r="AO10" s="56">
        <f>SUM(AO5:AO8)</f>
        <v>0</v>
      </c>
      <c r="AP10" s="57"/>
      <c r="AQ10" s="54">
        <f>SUM(AQ5:AQ9)</f>
        <v>24146144.5</v>
      </c>
      <c r="AR10" s="57"/>
      <c r="AS10" s="56">
        <f>'Q1 FY26-27'!AS10</f>
        <v>0</v>
      </c>
      <c r="AT10" s="61"/>
      <c r="AU10" s="62">
        <f>SUM(AU5:AU8)</f>
        <v>666826.99</v>
      </c>
      <c r="AV10" s="57"/>
      <c r="AW10" s="63">
        <f>SUM(AW5:AW8)</f>
        <v>0</v>
      </c>
      <c r="AX10" s="61"/>
      <c r="AY10" s="62">
        <f>SUM(AY5:AY8)</f>
        <v>228077.89</v>
      </c>
      <c r="AZ10" s="57"/>
      <c r="BA10" s="63">
        <f>SUM(BA5:BA8)</f>
        <v>0</v>
      </c>
      <c r="BB10" s="61"/>
      <c r="BC10" s="62">
        <f>SUM(BC5:BC8)</f>
        <v>306961.08</v>
      </c>
      <c r="BD10" s="57"/>
      <c r="BE10" s="63">
        <f>SUM(BE5:BE8)</f>
        <v>0</v>
      </c>
      <c r="BF10" s="61"/>
      <c r="BG10" s="62">
        <f>SUM(BG5:BG8)</f>
        <v>1236985</v>
      </c>
      <c r="BH10" s="57"/>
      <c r="BI10" s="63">
        <f>SUM(BI5:BI8)</f>
        <v>0</v>
      </c>
      <c r="BJ10" s="61"/>
    </row>
    <row r="11" ht="15.75" customHeight="1">
      <c r="B11" s="64" t="s">
        <v>27</v>
      </c>
      <c r="C11" s="65">
        <f>C10/12</f>
        <v>12401583.82</v>
      </c>
      <c r="D11" s="65"/>
      <c r="E11" s="65">
        <f>E10/12</f>
        <v>0</v>
      </c>
      <c r="F11" s="66"/>
      <c r="G11" s="67" t="str">
        <f>'Q1 FY26-27'!G11</f>
        <v/>
      </c>
      <c r="H11" s="68"/>
      <c r="I11" s="68" t="str">
        <f>'Q1 FY26-27'!I11</f>
        <v/>
      </c>
      <c r="J11" s="68"/>
      <c r="K11" s="69"/>
      <c r="L11" s="68"/>
      <c r="M11" s="68"/>
      <c r="N11" s="70"/>
      <c r="O11" s="71" t="str">
        <f>'Q1 FY26-27'!O11</f>
        <v/>
      </c>
      <c r="P11" s="68"/>
      <c r="Q11" s="68"/>
      <c r="R11" s="66"/>
      <c r="S11" s="67">
        <f>S10/12</f>
        <v>138937.3333</v>
      </c>
      <c r="T11" s="68"/>
      <c r="U11" s="67">
        <f>U10/12</f>
        <v>0</v>
      </c>
      <c r="V11" s="66"/>
      <c r="W11" s="67">
        <f>W10/12</f>
        <v>2106923.041</v>
      </c>
      <c r="X11" s="68"/>
      <c r="Y11" s="67">
        <f>Y10/12</f>
        <v>0</v>
      </c>
      <c r="Z11" s="66"/>
      <c r="AA11" s="67">
        <f>AA10/12</f>
        <v>1595471.663</v>
      </c>
      <c r="AB11" s="68"/>
      <c r="AC11" s="68"/>
      <c r="AD11" s="66"/>
      <c r="AE11" s="67">
        <f>AE10/12</f>
        <v>2852728.271</v>
      </c>
      <c r="AF11" s="68"/>
      <c r="AG11" s="68" t="str">
        <f>'Q1 FY26-27'!AG11</f>
        <v/>
      </c>
      <c r="AH11" s="66"/>
      <c r="AI11" s="67" t="str">
        <f>'Q1 FY26-27'!AI11</f>
        <v/>
      </c>
      <c r="AJ11" s="68"/>
      <c r="AK11" s="68" t="str">
        <f>'Q1 FY26-27'!AK11</f>
        <v/>
      </c>
      <c r="AL11" s="66"/>
      <c r="AM11" s="67">
        <f>AM10/12</f>
        <v>80916.15167</v>
      </c>
      <c r="AN11" s="68"/>
      <c r="AO11" s="68" t="str">
        <f>'Q1 FY26-27'!AO11</f>
        <v/>
      </c>
      <c r="AP11" s="68"/>
      <c r="AQ11" s="67">
        <f>AQ10/4.5</f>
        <v>5365809.889</v>
      </c>
      <c r="AR11" s="68"/>
      <c r="AS11" s="68" t="str">
        <f>'Q1 FY26-27'!AS11</f>
        <v/>
      </c>
      <c r="AT11" s="66"/>
      <c r="AU11" s="67">
        <v>0.0</v>
      </c>
      <c r="AV11" s="68"/>
      <c r="AW11" s="68">
        <v>0.0</v>
      </c>
      <c r="AX11" s="66"/>
      <c r="AY11" s="67">
        <v>0.0</v>
      </c>
      <c r="AZ11" s="68"/>
      <c r="BA11" s="68">
        <v>0.0</v>
      </c>
      <c r="BB11" s="66"/>
      <c r="BC11" s="67">
        <v>0.0</v>
      </c>
      <c r="BD11" s="68"/>
      <c r="BE11" s="68">
        <v>0.0</v>
      </c>
      <c r="BF11" s="66"/>
      <c r="BG11" s="67">
        <v>0.0</v>
      </c>
      <c r="BH11" s="68"/>
      <c r="BI11" s="68">
        <v>0.0</v>
      </c>
      <c r="BJ11" s="66"/>
    </row>
    <row r="12" ht="15.75" customHeight="1">
      <c r="B12" s="19" t="s">
        <v>28</v>
      </c>
      <c r="C12" s="72">
        <f t="shared" ref="C12:C13" si="25">G12+K12</f>
        <v>55832433.9</v>
      </c>
      <c r="D12" s="21">
        <f t="shared" ref="D12:D13" si="26">C12/$C$10</f>
        <v>0.3751700503</v>
      </c>
      <c r="E12" s="22">
        <f t="shared" ref="E12:E13" si="27">I12+M12</f>
        <v>0</v>
      </c>
      <c r="F12" s="23" t="str">
        <f t="shared" ref="F12:F14" si="28">E12/E$10</f>
        <v>#DIV/0!</v>
      </c>
      <c r="G12" s="29">
        <f>'Q1 FY26-27'!G12</f>
        <v>0</v>
      </c>
      <c r="H12" s="73">
        <f>G12/$C$10</f>
        <v>0</v>
      </c>
      <c r="I12" s="26">
        <f>'Q1 FY26-27'!I12</f>
        <v>0</v>
      </c>
      <c r="J12" s="73">
        <f>I12/$C$10</f>
        <v>0</v>
      </c>
      <c r="K12" s="27">
        <f t="shared" ref="K12:K13" si="29">O12+S12+W12+AA12+AE12+AI12+AM12+AQ12+AU12+AY12+BC12+BG12</f>
        <v>55832433.9</v>
      </c>
      <c r="L12" s="21">
        <f t="shared" ref="L12:L13" si="30">K12/$K$10</f>
        <v>0.3751700503</v>
      </c>
      <c r="M12" s="22">
        <f t="shared" ref="M12:M13" si="31">Q12+U12+Y12+AC12+AG12+AK12+AO12</f>
        <v>0</v>
      </c>
      <c r="N12" s="28" t="str">
        <f t="shared" ref="N12:N14" si="32">M12/M$10</f>
        <v>#DIV/0!</v>
      </c>
      <c r="O12" s="29">
        <f>'Q1 FY26-27'!O12</f>
        <v>14259872.55</v>
      </c>
      <c r="P12" s="30">
        <f t="shared" ref="P12:P14" si="33">O12/O$10</f>
        <v>0.3483600559</v>
      </c>
      <c r="Q12" s="31">
        <f>'Q1 FY26-27'!Q12</f>
        <v>0</v>
      </c>
      <c r="R12" s="30" t="str">
        <f t="shared" ref="R12:R14" si="34">Q12/Q$10</f>
        <v>#DIV/0!</v>
      </c>
      <c r="S12" s="29">
        <f>'Q1 FY26-27'!S12</f>
        <v>573413.4533</v>
      </c>
      <c r="T12" s="30">
        <f t="shared" ref="T12:T13" si="35">S12/S$10</f>
        <v>0.3439281099</v>
      </c>
      <c r="U12" s="31">
        <f>'Q1 FY26-27'!U12</f>
        <v>0</v>
      </c>
      <c r="V12" s="30" t="str">
        <f t="shared" ref="V12:V14" si="36">U12/U$10</f>
        <v>#DIV/0!</v>
      </c>
      <c r="W12" s="29">
        <f>'Q1 FY26-27'!W12</f>
        <v>9869489.689</v>
      </c>
      <c r="X12" s="30">
        <f t="shared" ref="X12:X13" si="37">W12/W$10</f>
        <v>0.3903595234</v>
      </c>
      <c r="Y12" s="31">
        <f>'Q1 FY26-27'!Y12</f>
        <v>0</v>
      </c>
      <c r="Z12" s="30" t="str">
        <f t="shared" ref="Z12:Z14" si="38">Y12/Y$10</f>
        <v>#DIV/0!</v>
      </c>
      <c r="AA12" s="29">
        <f>'Q1 FY26-27'!AA12</f>
        <v>6943290.091</v>
      </c>
      <c r="AB12" s="30">
        <f t="shared" ref="AB12:AB13" si="39">AA12/AA$10</f>
        <v>0.3626560854</v>
      </c>
      <c r="AC12" s="31">
        <f>'Q1 FY26-27'!AC12</f>
        <v>0</v>
      </c>
      <c r="AD12" s="30" t="str">
        <f t="shared" ref="AD12:AD14" si="40">AC12/AC$10</f>
        <v>#DIV/0!</v>
      </c>
      <c r="AE12" s="29">
        <f>'Q1 FY26-27'!AE12</f>
        <v>11423137.54</v>
      </c>
      <c r="AF12" s="30">
        <f t="shared" ref="AF12:AF13" si="41">AE12/AE$10</f>
        <v>0.3336904319</v>
      </c>
      <c r="AG12" s="31">
        <f>'Q1 FY26-27'!AG12</f>
        <v>0</v>
      </c>
      <c r="AH12" s="30" t="str">
        <f t="shared" ref="AH12:AH14" si="42">AG12/AG$10</f>
        <v>#DIV/0!</v>
      </c>
      <c r="AI12" s="29">
        <f>'Q1 FY26-27'!AI12</f>
        <v>0</v>
      </c>
      <c r="AJ12" s="30" t="str">
        <f t="shared" ref="AJ12:AJ14" si="43">AI12/AI$10</f>
        <v>#DIV/0!</v>
      </c>
      <c r="AK12" s="74">
        <f>'Q1 FY26-27'!AK12</f>
        <v>0</v>
      </c>
      <c r="AL12" s="32" t="str">
        <f t="shared" ref="AL12:AL14" si="44">AK12/AK$10</f>
        <v>#DIV/0!</v>
      </c>
      <c r="AM12" s="29">
        <f>'Q1 FY26-27'!AM12</f>
        <v>1697483.484</v>
      </c>
      <c r="AN12" s="30">
        <f t="shared" ref="AN12:AN13" si="45">AM12/AM$10</f>
        <v>1.748191852</v>
      </c>
      <c r="AO12" s="74">
        <f>'Q1 FY26-27'!AO12</f>
        <v>0</v>
      </c>
      <c r="AP12" s="30" t="str">
        <f t="shared" ref="AP12:AP13" si="46">AO12/AO$10</f>
        <v>#DIV/0!</v>
      </c>
      <c r="AQ12" s="29">
        <f>'Q1 FY26-27'!AQ12</f>
        <v>9435972.988</v>
      </c>
      <c r="AR12" s="30">
        <f t="shared" ref="AR12:AR13" si="47">AQ12/AQ$10</f>
        <v>0.3907859074</v>
      </c>
      <c r="AS12" s="31">
        <f>'Q1 FY26-27'!AS12</f>
        <v>0</v>
      </c>
      <c r="AT12" s="32"/>
      <c r="AU12" s="33">
        <f>'Q1 FY26-27'!AU12</f>
        <v>438745.1218</v>
      </c>
      <c r="AV12" s="30">
        <f t="shared" ref="AV12:AV13" si="48">AU12/AU$10</f>
        <v>0.6579594533</v>
      </c>
      <c r="AW12" s="31">
        <f>'Q1 FY26-27'!AW12</f>
        <v>0</v>
      </c>
      <c r="AX12" s="32"/>
      <c r="AY12" s="33">
        <f>'Q1 FY26-27'!AY12</f>
        <v>339203.0054</v>
      </c>
      <c r="AZ12" s="25"/>
      <c r="BA12" s="31">
        <f>'Q1 FY26-27'!BA12</f>
        <v>0</v>
      </c>
      <c r="BB12" s="32"/>
      <c r="BC12" s="33">
        <f>'Q1 FY26-27'!BC12</f>
        <v>495419.735</v>
      </c>
      <c r="BD12" s="25"/>
      <c r="BE12" s="31">
        <f>'Q1 FY26-27'!BE12</f>
        <v>0</v>
      </c>
      <c r="BF12" s="32"/>
      <c r="BG12" s="33">
        <f>'Q1 FY26-27'!BG12</f>
        <v>356406.2409</v>
      </c>
      <c r="BH12" s="25"/>
      <c r="BI12" s="31">
        <f>'Q1 FY26-27'!BI12</f>
        <v>0</v>
      </c>
      <c r="BJ12" s="32"/>
    </row>
    <row r="13" ht="15.75" customHeight="1">
      <c r="B13" s="44" t="s">
        <v>29</v>
      </c>
      <c r="C13" s="45">
        <f t="shared" si="25"/>
        <v>1899950.22</v>
      </c>
      <c r="D13" s="75">
        <f t="shared" si="26"/>
        <v>0.01276685198</v>
      </c>
      <c r="E13" s="46">
        <f t="shared" si="27"/>
        <v>0</v>
      </c>
      <c r="F13" s="47" t="str">
        <f t="shared" si="28"/>
        <v>#DIV/0!</v>
      </c>
      <c r="G13" s="29">
        <f>'Q1 FY26-27'!G13</f>
        <v>0</v>
      </c>
      <c r="H13" s="48"/>
      <c r="I13" s="76">
        <f>'Q1 FY26-27'!I13</f>
        <v>0</v>
      </c>
      <c r="J13" s="48"/>
      <c r="K13" s="27">
        <f t="shared" si="29"/>
        <v>1899950.22</v>
      </c>
      <c r="L13" s="21">
        <f t="shared" si="30"/>
        <v>0.01276685198</v>
      </c>
      <c r="M13" s="46">
        <f t="shared" si="31"/>
        <v>0</v>
      </c>
      <c r="N13" s="49" t="str">
        <f t="shared" si="32"/>
        <v>#DIV/0!</v>
      </c>
      <c r="O13" s="53">
        <f>'Q1 FY26-27'!O13</f>
        <v>106548</v>
      </c>
      <c r="P13" s="50">
        <f t="shared" si="33"/>
        <v>0.002602903154</v>
      </c>
      <c r="Q13" s="31">
        <f>'Q1 FY26-27'!Q13</f>
        <v>0</v>
      </c>
      <c r="R13" s="50" t="str">
        <f t="shared" si="34"/>
        <v>#DIV/0!</v>
      </c>
      <c r="S13" s="29">
        <f>'Q1 FY26-27'!S13</f>
        <v>73214</v>
      </c>
      <c r="T13" s="50">
        <f t="shared" si="35"/>
        <v>0.04391308312</v>
      </c>
      <c r="U13" s="31">
        <f>'Q1 FY26-27'!U13</f>
        <v>0</v>
      </c>
      <c r="V13" s="50" t="str">
        <f t="shared" si="36"/>
        <v>#DIV/0!</v>
      </c>
      <c r="W13" s="29">
        <f>'Q1 FY26-27'!W13</f>
        <v>366401.4</v>
      </c>
      <c r="X13" s="50">
        <f t="shared" si="37"/>
        <v>0.01449196264</v>
      </c>
      <c r="Y13" s="77">
        <f>'Q1 FY26-27'!Y13</f>
        <v>0</v>
      </c>
      <c r="Z13" s="50" t="str">
        <f t="shared" si="38"/>
        <v>#DIV/0!</v>
      </c>
      <c r="AA13" s="78">
        <f>'Q1 FY26-27'!AA13</f>
        <v>442124</v>
      </c>
      <c r="AB13" s="50">
        <f t="shared" si="39"/>
        <v>0.02309264873</v>
      </c>
      <c r="AC13" s="31">
        <f>'Q1 FY26-27'!AC13</f>
        <v>0</v>
      </c>
      <c r="AD13" s="50" t="str">
        <f t="shared" si="40"/>
        <v>#DIV/0!</v>
      </c>
      <c r="AE13" s="29">
        <f>'Q1 FY26-27'!AE13</f>
        <v>512245.02</v>
      </c>
      <c r="AF13" s="50">
        <f t="shared" si="41"/>
        <v>0.01496360009</v>
      </c>
      <c r="AG13" s="77">
        <f>'Q1 FY26-27'!AG13</f>
        <v>0</v>
      </c>
      <c r="AH13" s="50" t="str">
        <f t="shared" si="42"/>
        <v>#DIV/0!</v>
      </c>
      <c r="AI13" s="29">
        <f>'Q1 FY26-27'!AI13</f>
        <v>1030</v>
      </c>
      <c r="AJ13" s="50" t="str">
        <f t="shared" si="43"/>
        <v>#DIV/0!</v>
      </c>
      <c r="AK13" s="79">
        <f>'Q1 FY26-27'!AK13</f>
        <v>0</v>
      </c>
      <c r="AL13" s="32" t="str">
        <f t="shared" si="44"/>
        <v>#DIV/0!</v>
      </c>
      <c r="AM13" s="78">
        <f>'Q1 FY26-27'!AM13</f>
        <v>203076.5</v>
      </c>
      <c r="AN13" s="50">
        <f t="shared" si="45"/>
        <v>0.2091429377</v>
      </c>
      <c r="AO13" s="79">
        <f>'Q1 FY26-27'!AO13</f>
        <v>0</v>
      </c>
      <c r="AP13" s="50" t="str">
        <f t="shared" si="46"/>
        <v>#DIV/0!</v>
      </c>
      <c r="AQ13" s="29">
        <f>'Q1 FY26-27'!AQ13</f>
        <v>85375.3</v>
      </c>
      <c r="AR13" s="50">
        <f t="shared" si="47"/>
        <v>0.003535773589</v>
      </c>
      <c r="AS13" s="77">
        <f>'Q1 FY26-27'!AS13</f>
        <v>0</v>
      </c>
      <c r="AT13" s="51"/>
      <c r="AU13" s="33">
        <f>'Q1 FY26-27'!AU13</f>
        <v>8383</v>
      </c>
      <c r="AV13" s="50">
        <f t="shared" si="48"/>
        <v>0.01257147675</v>
      </c>
      <c r="AW13" s="77">
        <f>'Q1 FY26-27'!AW13</f>
        <v>0</v>
      </c>
      <c r="AX13" s="51"/>
      <c r="AY13" s="33">
        <f>'Q1 FY26-27'!AY13</f>
        <v>9422</v>
      </c>
      <c r="AZ13" s="48"/>
      <c r="BA13" s="31">
        <f>'Q1 FY26-27'!BA13</f>
        <v>0</v>
      </c>
      <c r="BB13" s="51"/>
      <c r="BC13" s="33">
        <f>'Q1 FY26-27'!BC13</f>
        <v>5647</v>
      </c>
      <c r="BD13" s="48"/>
      <c r="BE13" s="31">
        <f>'Q1 FY26-27'!BE13</f>
        <v>0</v>
      </c>
      <c r="BF13" s="51"/>
      <c r="BG13" s="33">
        <f>'Q1 FY26-27'!BG13</f>
        <v>86484</v>
      </c>
      <c r="BH13" s="48"/>
      <c r="BI13" s="31">
        <f>'Q1 FY26-27'!BI13</f>
        <v>0</v>
      </c>
      <c r="BJ13" s="51"/>
    </row>
    <row r="14" ht="15.75" customHeight="1">
      <c r="B14" s="13" t="s">
        <v>30</v>
      </c>
      <c r="C14" s="54">
        <f>SUM(C12:C13)</f>
        <v>57732384.12</v>
      </c>
      <c r="D14" s="55">
        <f>C14/C10</f>
        <v>0.3879369023</v>
      </c>
      <c r="E14" s="56">
        <f>E12+E13</f>
        <v>0</v>
      </c>
      <c r="F14" s="80" t="str">
        <f t="shared" si="28"/>
        <v>#DIV/0!</v>
      </c>
      <c r="G14" s="54">
        <f>'Q1 FY26-27'!G14</f>
        <v>0</v>
      </c>
      <c r="H14" s="59">
        <f>G14/C10</f>
        <v>0</v>
      </c>
      <c r="I14" s="81">
        <f>'Q1 FY26-27'!I14</f>
        <v>0</v>
      </c>
      <c r="J14" s="82" t="str">
        <f>I14/E10</f>
        <v>#DIV/0!</v>
      </c>
      <c r="K14" s="83">
        <f>'Q1 FY26-27'!K14</f>
        <v>57732384.12</v>
      </c>
      <c r="L14" s="55">
        <f>K14/K10</f>
        <v>0.3879369023</v>
      </c>
      <c r="M14" s="56">
        <f>M12+M13</f>
        <v>0</v>
      </c>
      <c r="N14" s="59" t="str">
        <f t="shared" si="32"/>
        <v>#DIV/0!</v>
      </c>
      <c r="O14" s="83">
        <f>'Q1 FY26-27'!O14</f>
        <v>14366420.55</v>
      </c>
      <c r="P14" s="84">
        <f t="shared" si="33"/>
        <v>0.350962959</v>
      </c>
      <c r="Q14" s="56">
        <f>SUM(Q12:Q13)</f>
        <v>0</v>
      </c>
      <c r="R14" s="80" t="str">
        <f t="shared" si="34"/>
        <v>#DIV/0!</v>
      </c>
      <c r="S14" s="54">
        <f>SUM(S12:S13)</f>
        <v>646627.4533</v>
      </c>
      <c r="T14" s="57"/>
      <c r="U14" s="56">
        <f>SUM(U12:U13)</f>
        <v>0</v>
      </c>
      <c r="V14" s="80" t="str">
        <f t="shared" si="36"/>
        <v>#DIV/0!</v>
      </c>
      <c r="W14" s="54">
        <f>SUM(W12:W13)</f>
        <v>10235891.09</v>
      </c>
      <c r="X14" s="57"/>
      <c r="Y14" s="56">
        <f>SUM(Y12:Y13)</f>
        <v>0</v>
      </c>
      <c r="Z14" s="80" t="str">
        <f t="shared" si="38"/>
        <v>#DIV/0!</v>
      </c>
      <c r="AA14" s="54">
        <f>SUM(AA12:AA13)</f>
        <v>7385414.091</v>
      </c>
      <c r="AB14" s="57"/>
      <c r="AC14" s="56">
        <f>SUM(AC12:AC13)</f>
        <v>0</v>
      </c>
      <c r="AD14" s="80" t="str">
        <f t="shared" si="40"/>
        <v>#DIV/0!</v>
      </c>
      <c r="AE14" s="54">
        <f>SUM(AE12:AE13)</f>
        <v>11935382.56</v>
      </c>
      <c r="AF14" s="57"/>
      <c r="AG14" s="56">
        <f>SUM(AG12:AG13)</f>
        <v>0</v>
      </c>
      <c r="AH14" s="80" t="str">
        <f t="shared" si="42"/>
        <v>#DIV/0!</v>
      </c>
      <c r="AI14" s="54">
        <f>'Q1 FY26-27'!AI14</f>
        <v>1030</v>
      </c>
      <c r="AJ14" s="80" t="str">
        <f t="shared" si="43"/>
        <v>#DIV/0!</v>
      </c>
      <c r="AK14" s="56">
        <f>'Q1 FY26-27'!AK14</f>
        <v>0</v>
      </c>
      <c r="AL14" s="80" t="str">
        <f t="shared" si="44"/>
        <v>#DIV/0!</v>
      </c>
      <c r="AM14" s="54">
        <f>SUM(AM12:AM13)</f>
        <v>1900559.984</v>
      </c>
      <c r="AN14" s="57"/>
      <c r="AO14" s="56">
        <f>SUM(AO12:AO13)</f>
        <v>0</v>
      </c>
      <c r="AP14" s="57"/>
      <c r="AQ14" s="54">
        <f>'Q1 FY26-27'!AQ14</f>
        <v>9521348.288</v>
      </c>
      <c r="AR14" s="57"/>
      <c r="AS14" s="56">
        <f>SUM(AS12:AS13)</f>
        <v>0</v>
      </c>
      <c r="AT14" s="61"/>
      <c r="AU14" s="62">
        <f>AU12+AU13</f>
        <v>447128.1218</v>
      </c>
      <c r="AV14" s="57"/>
      <c r="AW14" s="63">
        <f>AW12+AW13</f>
        <v>0</v>
      </c>
      <c r="AX14" s="61"/>
      <c r="AY14" s="62">
        <f>AY12+AY13</f>
        <v>348625.0054</v>
      </c>
      <c r="AZ14" s="57"/>
      <c r="BA14" s="63">
        <f>BA12+BA13</f>
        <v>0</v>
      </c>
      <c r="BB14" s="61"/>
      <c r="BC14" s="62">
        <f>BC12+BC13</f>
        <v>501066.735</v>
      </c>
      <c r="BD14" s="57"/>
      <c r="BE14" s="63">
        <f>BE12+BE13</f>
        <v>0</v>
      </c>
      <c r="BF14" s="61"/>
      <c r="BG14" s="62">
        <f>BG12+BG13</f>
        <v>442890.2409</v>
      </c>
      <c r="BH14" s="57"/>
      <c r="BI14" s="63">
        <f>BI12+BI13</f>
        <v>0</v>
      </c>
      <c r="BJ14" s="61"/>
    </row>
    <row r="15" ht="15.75" customHeight="1">
      <c r="B15" s="85" t="s">
        <v>31</v>
      </c>
      <c r="C15" s="86"/>
      <c r="D15" s="87"/>
      <c r="E15" s="88"/>
      <c r="F15" s="89"/>
      <c r="G15" s="90" t="str">
        <f>'Q1 FY26-27'!G15</f>
        <v/>
      </c>
      <c r="H15" s="91"/>
      <c r="I15" s="26" t="str">
        <f>'Q1 FY26-27'!I15</f>
        <v/>
      </c>
      <c r="J15" s="91"/>
      <c r="K15" s="92"/>
      <c r="L15" s="87"/>
      <c r="M15" s="87"/>
      <c r="N15" s="93"/>
      <c r="O15" s="53" t="str">
        <f>'Q1 FY26-27'!O15</f>
        <v/>
      </c>
      <c r="P15" s="94"/>
      <c r="Q15" s="95"/>
      <c r="R15" s="96"/>
      <c r="S15" s="53" t="str">
        <f>'Q1 FY26-27'!S15</f>
        <v/>
      </c>
      <c r="T15" s="94"/>
      <c r="U15" s="94" t="str">
        <f>'Q1 FY26-27'!U15</f>
        <v/>
      </c>
      <c r="V15" s="96"/>
      <c r="W15" s="53" t="str">
        <f>'Q1 FY26-27'!W15</f>
        <v/>
      </c>
      <c r="X15" s="94"/>
      <c r="Y15" s="94" t="str">
        <f>'Q1 FY26-27'!Y15</f>
        <v/>
      </c>
      <c r="Z15" s="96"/>
      <c r="AA15" s="97" t="str">
        <f>'Q1 FY26-27'!AA15</f>
        <v/>
      </c>
      <c r="AB15" s="94"/>
      <c r="AC15" s="94"/>
      <c r="AD15" s="96"/>
      <c r="AE15" s="97" t="str">
        <f>'Q1 FY26-27'!AE15</f>
        <v/>
      </c>
      <c r="AF15" s="94"/>
      <c r="AG15" s="94" t="str">
        <f>'Q1 FY26-27'!AG15</f>
        <v/>
      </c>
      <c r="AH15" s="96"/>
      <c r="AI15" s="97" t="str">
        <f>'Q1 FY26-27'!AI15</f>
        <v/>
      </c>
      <c r="AJ15" s="94"/>
      <c r="AK15" s="94" t="str">
        <f>'Q1 FY26-27'!AK15</f>
        <v/>
      </c>
      <c r="AL15" s="96"/>
      <c r="AM15" s="97" t="str">
        <f>'Q1 FY26-27'!AM15</f>
        <v/>
      </c>
      <c r="AN15" s="94"/>
      <c r="AO15" s="94" t="str">
        <f>'Q1 FY26-27'!AO15</f>
        <v/>
      </c>
      <c r="AP15" s="94"/>
      <c r="AQ15" s="90" t="str">
        <f>'Q1 FY26-27'!AQ15</f>
        <v/>
      </c>
      <c r="AR15" s="94"/>
      <c r="AS15" s="91" t="str">
        <f>'Q1 FY26-27'!AS15</f>
        <v/>
      </c>
      <c r="AT15" s="96"/>
      <c r="AU15" s="90">
        <v>0.0</v>
      </c>
      <c r="AV15" s="94"/>
      <c r="AW15" s="91">
        <v>0.0</v>
      </c>
      <c r="AX15" s="96"/>
      <c r="AY15" s="90">
        <v>0.0</v>
      </c>
      <c r="AZ15" s="94"/>
      <c r="BA15" s="91">
        <v>0.0</v>
      </c>
      <c r="BB15" s="96"/>
      <c r="BC15" s="90">
        <v>0.0</v>
      </c>
      <c r="BD15" s="94"/>
      <c r="BE15" s="91">
        <v>0.0</v>
      </c>
      <c r="BF15" s="96"/>
      <c r="BG15" s="90">
        <v>0.0</v>
      </c>
      <c r="BH15" s="94"/>
      <c r="BI15" s="91">
        <v>0.0</v>
      </c>
      <c r="BJ15" s="96"/>
    </row>
    <row r="16" ht="15.75" customHeight="1">
      <c r="A16" s="98"/>
      <c r="B16" s="99" t="s">
        <v>32</v>
      </c>
      <c r="C16" s="100">
        <f>C10-C14</f>
        <v>91086621.72</v>
      </c>
      <c r="D16" s="101">
        <f>C16/C10</f>
        <v>0.6120630977</v>
      </c>
      <c r="E16" s="102">
        <f>E10-E14</f>
        <v>0</v>
      </c>
      <c r="F16" s="103" t="str">
        <f>E16/E$10</f>
        <v>#DIV/0!</v>
      </c>
      <c r="G16" s="100">
        <f>'Q1 FY26-27'!G16</f>
        <v>0</v>
      </c>
      <c r="H16" s="101">
        <f>G16/C10</f>
        <v>0</v>
      </c>
      <c r="I16" s="68">
        <f>'Q1 FY26-27'!I16</f>
        <v>0</v>
      </c>
      <c r="J16" s="101" t="str">
        <f>I16/E10</f>
        <v>#DIV/0!</v>
      </c>
      <c r="K16" s="104">
        <f>'Q1 FY26-27'!K16</f>
        <v>91086621.72</v>
      </c>
      <c r="L16" s="101">
        <f>K16/K10</f>
        <v>0.6120630977</v>
      </c>
      <c r="M16" s="102">
        <f>Q16+U16+Y16+AC16+AG16+AK16+AO16</f>
        <v>0</v>
      </c>
      <c r="N16" s="105" t="str">
        <f>M16/M$10</f>
        <v>#DIV/0!</v>
      </c>
      <c r="O16" s="104">
        <f>'Q1 FY26-27'!O16</f>
        <v>26567872.32</v>
      </c>
      <c r="P16" s="106">
        <f>O16/O$10</f>
        <v>0.649037041</v>
      </c>
      <c r="Q16" s="102">
        <f>'Q1 FY26-27'!Q16</f>
        <v>0</v>
      </c>
      <c r="R16" s="103" t="str">
        <f>Q16/Q$10</f>
        <v>#DIV/0!</v>
      </c>
      <c r="S16" s="100">
        <f>'Q1 FY26-27'!S16</f>
        <v>1020620.547</v>
      </c>
      <c r="T16" s="105">
        <f>S16/S$10</f>
        <v>0.612158807</v>
      </c>
      <c r="U16" s="102">
        <f>'Q1 FY26-27'!U16</f>
        <v>0</v>
      </c>
      <c r="V16" s="103" t="str">
        <f>U16/U$10</f>
        <v>#DIV/0!</v>
      </c>
      <c r="W16" s="100">
        <f>'Q1 FY26-27'!W16</f>
        <v>15047185.4</v>
      </c>
      <c r="X16" s="105">
        <f>W16/W$10</f>
        <v>0.5951485139</v>
      </c>
      <c r="Y16" s="102">
        <f>'Q1 FY26-27'!Y16</f>
        <v>0</v>
      </c>
      <c r="Z16" s="103" t="str">
        <f>Y16/Y$10</f>
        <v>#DIV/0!</v>
      </c>
      <c r="AA16" s="100">
        <f>'Q1 FY26-27'!AA16</f>
        <v>11760245.86</v>
      </c>
      <c r="AB16" s="105">
        <f>AA16/AA$10</f>
        <v>0.6142512658</v>
      </c>
      <c r="AC16" s="102">
        <f>'Q1 FY26-27'!AC16</f>
        <v>0</v>
      </c>
      <c r="AD16" s="103" t="str">
        <f>AC16/AC$10</f>
        <v>#DIV/0!</v>
      </c>
      <c r="AE16" s="100">
        <f>'Q1 FY26-27'!AE16</f>
        <v>22297356.69</v>
      </c>
      <c r="AF16" s="105">
        <f>AE16/AE$10</f>
        <v>0.6513459681</v>
      </c>
      <c r="AG16" s="102">
        <f>'Q1 FY26-27'!AG16</f>
        <v>0</v>
      </c>
      <c r="AH16" s="103" t="str">
        <f>AG16/AG$10</f>
        <v>#DIV/0!</v>
      </c>
      <c r="AI16" s="100">
        <f>'Q1 FY26-27'!AI16</f>
        <v>-1030</v>
      </c>
      <c r="AJ16" s="105" t="str">
        <f>AI16/AI$10</f>
        <v>#DIV/0!</v>
      </c>
      <c r="AK16" s="102">
        <f>'Q1 FY26-27'!AK16</f>
        <v>0</v>
      </c>
      <c r="AL16" s="103" t="str">
        <f>AK16/AK$10</f>
        <v>#DIV/0!</v>
      </c>
      <c r="AM16" s="100">
        <f>'Q1 FY26-27'!AM16</f>
        <v>-929566.1641</v>
      </c>
      <c r="AN16" s="105">
        <f>AM16/AM$10</f>
        <v>-0.9573347893</v>
      </c>
      <c r="AO16" s="102">
        <f>'Q1 FY26-27'!AO16</f>
        <v>0</v>
      </c>
      <c r="AP16" s="105" t="str">
        <f>AO16/AO$10</f>
        <v>#DIV/0!</v>
      </c>
      <c r="AQ16" s="100">
        <f>'Q1 FY26-27'!AQ16</f>
        <v>14624796.21</v>
      </c>
      <c r="AR16" s="105">
        <f>AQ16/AQ$10</f>
        <v>0.605678319</v>
      </c>
      <c r="AS16" s="102">
        <f>'Q1 FY26-27'!AS16</f>
        <v>0</v>
      </c>
      <c r="AT16" s="107"/>
      <c r="AU16" s="100">
        <f>'Q1 FY26-27'!AU16</f>
        <v>219698.8682</v>
      </c>
      <c r="AV16" s="105">
        <f>AU16/AU$10</f>
        <v>0.32946907</v>
      </c>
      <c r="AW16" s="102">
        <f>'Q1 FY26-27'!AW16</f>
        <v>0</v>
      </c>
      <c r="AX16" s="107"/>
      <c r="AY16" s="102">
        <f>'Q1 FY26-27'!AY16</f>
        <v>-120547.1154</v>
      </c>
      <c r="AZ16" s="108"/>
      <c r="BA16" s="109">
        <f>BA10-BA14</f>
        <v>0</v>
      </c>
      <c r="BB16" s="107"/>
      <c r="BC16" s="102">
        <f>'Q1 FY26-27'!BC16</f>
        <v>-194105.655</v>
      </c>
      <c r="BD16" s="108"/>
      <c r="BE16" s="109">
        <f>BE10-BE14</f>
        <v>0</v>
      </c>
      <c r="BF16" s="107"/>
      <c r="BG16" s="102">
        <f>'Q1 FY26-27'!BG16</f>
        <v>794094.7591</v>
      </c>
      <c r="BH16" s="108"/>
      <c r="BI16" s="109">
        <f>BI10-BI14</f>
        <v>0</v>
      </c>
      <c r="BJ16" s="107"/>
    </row>
    <row r="17" ht="15.75" customHeight="1">
      <c r="B17" s="64" t="s">
        <v>27</v>
      </c>
      <c r="C17" s="67"/>
      <c r="D17" s="68"/>
      <c r="E17" s="65">
        <f>E16/12</f>
        <v>0</v>
      </c>
      <c r="F17" s="66"/>
      <c r="G17" s="67" t="str">
        <f>'Q1 FY26-27'!G17</f>
        <v/>
      </c>
      <c r="H17" s="68"/>
      <c r="I17" s="68" t="str">
        <f>'Q1 FY26-27'!I17</f>
        <v/>
      </c>
      <c r="J17" s="68"/>
      <c r="K17" s="69"/>
      <c r="L17" s="68"/>
      <c r="M17" s="68"/>
      <c r="N17" s="70"/>
      <c r="O17" s="68" t="str">
        <f>'Q1 FY26-27'!O17</f>
        <v/>
      </c>
      <c r="P17" s="69"/>
      <c r="Q17" s="68"/>
      <c r="R17" s="66"/>
      <c r="S17" s="67" t="str">
        <f>'Q1 FY26-27'!S17</f>
        <v/>
      </c>
      <c r="T17" s="68"/>
      <c r="U17" s="68" t="str">
        <f>'Q1 FY26-27'!U17</f>
        <v/>
      </c>
      <c r="V17" s="66"/>
      <c r="W17" s="100" t="str">
        <f>'Q1 FY26-27'!W17</f>
        <v/>
      </c>
      <c r="X17" s="68"/>
      <c r="Y17" s="68" t="str">
        <f>'Q1 FY26-27'!Y17</f>
        <v/>
      </c>
      <c r="Z17" s="66"/>
      <c r="AA17" s="67" t="str">
        <f>'Q1 FY26-27'!AA17</f>
        <v/>
      </c>
      <c r="AB17" s="68"/>
      <c r="AC17" s="68"/>
      <c r="AD17" s="66"/>
      <c r="AE17" s="100" t="str">
        <f>'Q1 FY26-27'!AE17</f>
        <v/>
      </c>
      <c r="AF17" s="68"/>
      <c r="AG17" s="68" t="str">
        <f>'Q1 FY26-27'!AG17</f>
        <v/>
      </c>
      <c r="AH17" s="66"/>
      <c r="AI17" s="67" t="str">
        <f>'Q1 FY26-27'!AI17</f>
        <v/>
      </c>
      <c r="AJ17" s="68"/>
      <c r="AK17" s="102" t="str">
        <f>'Q1 FY26-27'!AK17</f>
        <v/>
      </c>
      <c r="AL17" s="66"/>
      <c r="AM17" s="67" t="str">
        <f>'Q1 FY26-27'!AM17</f>
        <v/>
      </c>
      <c r="AN17" s="68"/>
      <c r="AO17" s="68" t="str">
        <f>'Q1 FY26-27'!AO17</f>
        <v/>
      </c>
      <c r="AP17" s="68"/>
      <c r="AQ17" s="67" t="str">
        <f>'Q1 FY26-27'!AQ17</f>
        <v/>
      </c>
      <c r="AR17" s="68"/>
      <c r="AS17" s="68" t="str">
        <f>'Q1 FY26-27'!AS17</f>
        <v/>
      </c>
      <c r="AT17" s="66"/>
      <c r="AU17" s="67">
        <v>0.0</v>
      </c>
      <c r="AV17" s="68"/>
      <c r="AW17" s="68">
        <v>0.0</v>
      </c>
      <c r="AX17" s="66"/>
      <c r="AY17" s="67">
        <v>0.0</v>
      </c>
      <c r="AZ17" s="68"/>
      <c r="BA17" s="68">
        <v>0.0</v>
      </c>
      <c r="BB17" s="66"/>
      <c r="BC17" s="67">
        <v>0.0</v>
      </c>
      <c r="BD17" s="68"/>
      <c r="BE17" s="68">
        <v>0.0</v>
      </c>
      <c r="BF17" s="66"/>
      <c r="BG17" s="67">
        <v>0.0</v>
      </c>
      <c r="BH17" s="68"/>
      <c r="BI17" s="68">
        <v>0.0</v>
      </c>
      <c r="BJ17" s="66"/>
    </row>
    <row r="18" ht="15.75" customHeight="1">
      <c r="B18" s="19" t="s">
        <v>33</v>
      </c>
      <c r="C18" s="72">
        <f t="shared" ref="C18:C27" si="49">G18+K18</f>
        <v>3971287.51</v>
      </c>
      <c r="D18" s="21">
        <f t="shared" ref="D18:D27" si="50">C18/$C$10</f>
        <v>0.0266853517</v>
      </c>
      <c r="E18" s="22">
        <f t="shared" ref="E18:E28" si="51">I18+M18</f>
        <v>0</v>
      </c>
      <c r="F18" s="23" t="str">
        <f t="shared" ref="F18:F28" si="52">E18/E$10</f>
        <v>#DIV/0!</v>
      </c>
      <c r="G18" s="29">
        <f>'Q1 FY26-27'!G18</f>
        <v>128002.5133</v>
      </c>
      <c r="H18" s="73">
        <f t="shared" ref="H18:H27" si="53">G18/$C$10</f>
        <v>0.0008601220833</v>
      </c>
      <c r="I18" s="26">
        <f>'Q1 FY26-27'!I18</f>
        <v>0</v>
      </c>
      <c r="J18" s="73">
        <f t="shared" ref="J18:J27" si="54">I18/$C$10</f>
        <v>0</v>
      </c>
      <c r="K18" s="27">
        <f t="shared" ref="K18:K27" si="55">O18+S18+W18+AA18+AE18+AI18+AM18+AQ18+AU18+AY18+BC18+BG18</f>
        <v>3843284.997</v>
      </c>
      <c r="L18" s="21">
        <f t="shared" ref="L18:L28" si="56">K18/$K$10</f>
        <v>0.02582522961</v>
      </c>
      <c r="M18" s="22">
        <f t="shared" ref="M18:M27" si="57">Q18+U18+Y18+AC18+AG18+AK18+AO18</f>
        <v>0</v>
      </c>
      <c r="N18" s="28" t="str">
        <f t="shared" ref="N18:N28" si="58">M18/M$10</f>
        <v>#DIV/0!</v>
      </c>
      <c r="O18" s="29">
        <f>'Q1 FY26-27'!O18</f>
        <v>949580.5633</v>
      </c>
      <c r="P18" s="30">
        <f t="shared" ref="P18:P28" si="59">O18/O$10</f>
        <v>0.02319767844</v>
      </c>
      <c r="Q18" s="43">
        <f>'Q1 FY26-27'!Q18</f>
        <v>0</v>
      </c>
      <c r="R18" s="30" t="str">
        <f t="shared" ref="R18:R28" si="60">Q18/Q$10</f>
        <v>#DIV/0!</v>
      </c>
      <c r="S18" s="29">
        <f>'Q1 FY26-27'!S18</f>
        <v>91280.29</v>
      </c>
      <c r="T18" s="30">
        <f t="shared" ref="T18:T28" si="61">S18/S$10</f>
        <v>0.05474907752</v>
      </c>
      <c r="U18" s="31">
        <f>'Q1 FY26-27'!U18</f>
        <v>0</v>
      </c>
      <c r="V18" s="30" t="str">
        <f t="shared" ref="V18:V28" si="62">U18/U$10</f>
        <v>#DIV/0!</v>
      </c>
      <c r="W18" s="29">
        <f>'Q1 FY26-27'!W18</f>
        <v>750009.8733</v>
      </c>
      <c r="X18" s="30">
        <f t="shared" ref="X18:X28" si="63">W18/W$10</f>
        <v>0.02966450201</v>
      </c>
      <c r="Y18" s="31">
        <f>'Q1 FY26-27'!Y18</f>
        <v>0</v>
      </c>
      <c r="Z18" s="30" t="str">
        <f t="shared" ref="Z18:Z28" si="64">Y18/Y$10</f>
        <v>#DIV/0!</v>
      </c>
      <c r="AA18" s="29">
        <f>'Q1 FY26-27'!AA18</f>
        <v>483204.8233</v>
      </c>
      <c r="AB18" s="30">
        <f t="shared" ref="AB18:AB28" si="65">AA18/AA$10</f>
        <v>0.02523834773</v>
      </c>
      <c r="AC18" s="31">
        <f>'Q1 FY26-27'!AC18</f>
        <v>0</v>
      </c>
      <c r="AD18" s="30" t="str">
        <f t="shared" ref="AD18:AD28" si="66">AC18/AC$10</f>
        <v>#DIV/0!</v>
      </c>
      <c r="AE18" s="29">
        <f>'Q1 FY26-27'!AE18</f>
        <v>989178.4533</v>
      </c>
      <c r="AF18" s="30">
        <f t="shared" ref="AF18:AF28" si="67">AE18/AE$10</f>
        <v>0.0288956851</v>
      </c>
      <c r="AG18" s="31">
        <f>'Q1 FY26-27'!AG18</f>
        <v>0</v>
      </c>
      <c r="AH18" s="30" t="str">
        <f t="shared" ref="AH18:AH28" si="68">AG18/AG$10</f>
        <v>#DIV/0!</v>
      </c>
      <c r="AI18" s="29">
        <f>'Q1 FY26-27'!AI18</f>
        <v>35514</v>
      </c>
      <c r="AJ18" s="30" t="str">
        <f t="shared" ref="AJ18:AJ28" si="69">AI18/AI$10</f>
        <v>#DIV/0!</v>
      </c>
      <c r="AK18" s="31">
        <f>'Q1 FY26-27'!AK18</f>
        <v>0</v>
      </c>
      <c r="AL18" s="30" t="str">
        <f t="shared" ref="AL18:AL28" si="70">AK18/AK$10</f>
        <v>#DIV/0!</v>
      </c>
      <c r="AM18" s="29">
        <f>'Q1 FY26-27'!AM18</f>
        <v>71198.86</v>
      </c>
      <c r="AN18" s="30">
        <f t="shared" ref="AN18:AN28" si="71">AM18/AM$10</f>
        <v>0.0733257602</v>
      </c>
      <c r="AO18" s="31">
        <f>'Q1 FY26-27'!AO18</f>
        <v>0</v>
      </c>
      <c r="AP18" s="30" t="str">
        <f t="shared" ref="AP18:AP28" si="72">AO18/AO$10</f>
        <v>#DIV/0!</v>
      </c>
      <c r="AQ18" s="29">
        <f>'Q1 FY26-27'!AQ18</f>
        <v>467605.1333</v>
      </c>
      <c r="AR18" s="30">
        <f t="shared" ref="AR18:AR28" si="73">AQ18/AQ$10</f>
        <v>0.01936562308</v>
      </c>
      <c r="AS18" s="31">
        <f>'Q1 FY26-27'!AS18</f>
        <v>0</v>
      </c>
      <c r="AT18" s="32"/>
      <c r="AU18" s="29">
        <f>'Q1 FY26-27'!AU18</f>
        <v>0</v>
      </c>
      <c r="AV18" s="30">
        <f t="shared" ref="AV18:AV28" si="74">AU18/AU$10</f>
        <v>0</v>
      </c>
      <c r="AW18" s="31">
        <f>'Q1 FY26-27'!AW18</f>
        <v>0</v>
      </c>
      <c r="AX18" s="32"/>
      <c r="AY18" s="29">
        <f>'Q1 FY26-27'!AY18</f>
        <v>0</v>
      </c>
      <c r="AZ18" s="25"/>
      <c r="BA18" s="31">
        <f>'Q1 FY26-27'!BA18</f>
        <v>0</v>
      </c>
      <c r="BB18" s="32"/>
      <c r="BC18" s="29">
        <f>'Q1 FY26-27'!BC18</f>
        <v>0</v>
      </c>
      <c r="BD18" s="25"/>
      <c r="BE18" s="31">
        <f>'Q1 FY26-27'!BE18</f>
        <v>0</v>
      </c>
      <c r="BF18" s="32"/>
      <c r="BG18" s="29">
        <f>'Q1 FY26-27'!BG18</f>
        <v>5713</v>
      </c>
      <c r="BH18" s="25"/>
      <c r="BI18" s="31">
        <f>'Q1 FY26-27'!BI18</f>
        <v>0</v>
      </c>
      <c r="BJ18" s="32"/>
    </row>
    <row r="19" ht="15.75" customHeight="1">
      <c r="B19" s="35" t="s">
        <v>34</v>
      </c>
      <c r="C19" s="20">
        <f t="shared" si="49"/>
        <v>1618158.4</v>
      </c>
      <c r="D19" s="21">
        <f t="shared" si="50"/>
        <v>0.01087333161</v>
      </c>
      <c r="E19" s="36">
        <f t="shared" si="51"/>
        <v>53100</v>
      </c>
      <c r="F19" s="37" t="str">
        <f t="shared" si="52"/>
        <v>#DIV/0!</v>
      </c>
      <c r="G19" s="29">
        <f>'Q1 FY26-27'!G19</f>
        <v>106200</v>
      </c>
      <c r="H19" s="73">
        <f t="shared" si="53"/>
        <v>0.0007136185288</v>
      </c>
      <c r="I19" s="26">
        <f>'Q1 FY26-27'!I19</f>
        <v>53100</v>
      </c>
      <c r="J19" s="73">
        <f t="shared" si="54"/>
        <v>0.0003568092644</v>
      </c>
      <c r="K19" s="27">
        <f t="shared" si="55"/>
        <v>1511958.4</v>
      </c>
      <c r="L19" s="21">
        <f t="shared" si="56"/>
        <v>0.01015971308</v>
      </c>
      <c r="M19" s="36">
        <f t="shared" si="57"/>
        <v>0</v>
      </c>
      <c r="N19" s="39" t="str">
        <f t="shared" si="58"/>
        <v>#DIV/0!</v>
      </c>
      <c r="O19" s="29">
        <f>'Q1 FY26-27'!O19</f>
        <v>72049</v>
      </c>
      <c r="P19" s="40">
        <f t="shared" si="59"/>
        <v>0.001760113464</v>
      </c>
      <c r="Q19" s="43">
        <f>'Q1 FY26-27'!Q19</f>
        <v>0</v>
      </c>
      <c r="R19" s="40" t="str">
        <f t="shared" si="60"/>
        <v>#DIV/0!</v>
      </c>
      <c r="S19" s="29">
        <f>'Q1 FY26-27'!S19</f>
        <v>179253.69</v>
      </c>
      <c r="T19" s="40">
        <f t="shared" si="61"/>
        <v>0.1075147129</v>
      </c>
      <c r="U19" s="31">
        <f>'Q1 FY26-27'!U19</f>
        <v>0</v>
      </c>
      <c r="V19" s="40" t="str">
        <f t="shared" si="62"/>
        <v>#DIV/0!</v>
      </c>
      <c r="W19" s="29">
        <f>'Q1 FY26-27'!W19</f>
        <v>406787.44</v>
      </c>
      <c r="X19" s="40">
        <f t="shared" si="63"/>
        <v>0.0160893173</v>
      </c>
      <c r="Y19" s="31">
        <f>'Q1 FY26-27'!Y19</f>
        <v>0</v>
      </c>
      <c r="Z19" s="40" t="str">
        <f t="shared" si="64"/>
        <v>#DIV/0!</v>
      </c>
      <c r="AA19" s="29">
        <f>'Q1 FY26-27'!AA19</f>
        <v>215071.5</v>
      </c>
      <c r="AB19" s="40">
        <f t="shared" si="65"/>
        <v>0.01123343361</v>
      </c>
      <c r="AC19" s="31">
        <f>'Q1 FY26-27'!AC19</f>
        <v>0</v>
      </c>
      <c r="AD19" s="40" t="str">
        <f t="shared" si="66"/>
        <v>#DIV/0!</v>
      </c>
      <c r="AE19" s="29">
        <f>'Q1 FY26-27'!AE19</f>
        <v>187484</v>
      </c>
      <c r="AF19" s="40">
        <f t="shared" si="67"/>
        <v>0.005476745481</v>
      </c>
      <c r="AG19" s="31">
        <f>'Q1 FY26-27'!AG19</f>
        <v>0</v>
      </c>
      <c r="AH19" s="40" t="str">
        <f t="shared" si="68"/>
        <v>#DIV/0!</v>
      </c>
      <c r="AI19" s="29">
        <f>'Q1 FY26-27'!AI19</f>
        <v>80000</v>
      </c>
      <c r="AJ19" s="40" t="str">
        <f t="shared" si="69"/>
        <v>#DIV/0!</v>
      </c>
      <c r="AK19" s="31">
        <f>'Q1 FY26-27'!AK19</f>
        <v>0</v>
      </c>
      <c r="AL19" s="30" t="str">
        <f t="shared" si="70"/>
        <v>#DIV/0!</v>
      </c>
      <c r="AM19" s="29">
        <f>'Q1 FY26-27'!AM19</f>
        <v>103790.78</v>
      </c>
      <c r="AN19" s="40">
        <f t="shared" si="71"/>
        <v>0.1068912879</v>
      </c>
      <c r="AO19" s="31">
        <f>'Q1 FY26-27'!AO19</f>
        <v>0</v>
      </c>
      <c r="AP19" s="40" t="str">
        <f t="shared" si="72"/>
        <v>#DIV/0!</v>
      </c>
      <c r="AQ19" s="29">
        <f>'Q1 FY26-27'!AQ19</f>
        <v>52063.98</v>
      </c>
      <c r="AR19" s="40">
        <f t="shared" si="73"/>
        <v>0.002156202619</v>
      </c>
      <c r="AS19" s="31">
        <f>'Q1 FY26-27'!AS19</f>
        <v>35000</v>
      </c>
      <c r="AT19" s="42"/>
      <c r="AU19" s="29">
        <f>'Q1 FY26-27'!AU19</f>
        <v>113959.52</v>
      </c>
      <c r="AV19" s="40">
        <f t="shared" si="74"/>
        <v>0.1708981816</v>
      </c>
      <c r="AW19" s="31">
        <f>'Q1 FY26-27'!AW19</f>
        <v>0</v>
      </c>
      <c r="AX19" s="42"/>
      <c r="AY19" s="29">
        <f>'Q1 FY26-27'!AY19</f>
        <v>43183.46</v>
      </c>
      <c r="AZ19" s="38"/>
      <c r="BA19" s="31">
        <f>'Q1 FY26-27'!BA19</f>
        <v>0</v>
      </c>
      <c r="BB19" s="42"/>
      <c r="BC19" s="29">
        <f>'Q1 FY26-27'!BC19</f>
        <v>43467.03</v>
      </c>
      <c r="BD19" s="38"/>
      <c r="BE19" s="31">
        <f>'Q1 FY26-27'!BE19</f>
        <v>0</v>
      </c>
      <c r="BF19" s="42"/>
      <c r="BG19" s="29">
        <f>'Q1 FY26-27'!BG19</f>
        <v>14848</v>
      </c>
      <c r="BH19" s="38"/>
      <c r="BI19" s="31">
        <f>'Q1 FY26-27'!BI19</f>
        <v>0</v>
      </c>
      <c r="BJ19" s="42"/>
    </row>
    <row r="20" ht="15.75" customHeight="1">
      <c r="B20" s="35" t="s">
        <v>35</v>
      </c>
      <c r="C20" s="20">
        <f t="shared" si="49"/>
        <v>4609465.08</v>
      </c>
      <c r="D20" s="21">
        <f t="shared" si="50"/>
        <v>0.03097363172</v>
      </c>
      <c r="E20" s="36" t="str">
        <f t="shared" si="51"/>
        <v>#REF!</v>
      </c>
      <c r="F20" s="37" t="str">
        <f t="shared" si="52"/>
        <v>#REF!</v>
      </c>
      <c r="G20" s="29">
        <f>'Q1 FY26-27'!G20</f>
        <v>0</v>
      </c>
      <c r="H20" s="73">
        <f t="shared" si="53"/>
        <v>0</v>
      </c>
      <c r="I20" s="26">
        <f>'Q1 FY26-27'!I20</f>
        <v>0</v>
      </c>
      <c r="J20" s="73">
        <f t="shared" si="54"/>
        <v>0</v>
      </c>
      <c r="K20" s="27">
        <f t="shared" si="55"/>
        <v>4609465.08</v>
      </c>
      <c r="L20" s="21">
        <f t="shared" si="56"/>
        <v>0.03097363172</v>
      </c>
      <c r="M20" s="36" t="str">
        <f t="shared" si="57"/>
        <v>#REF!</v>
      </c>
      <c r="N20" s="39" t="str">
        <f t="shared" si="58"/>
        <v>#REF!</v>
      </c>
      <c r="O20" s="29">
        <f>'Q1 FY26-27'!O20</f>
        <v>173480.51</v>
      </c>
      <c r="P20" s="40">
        <f t="shared" si="59"/>
        <v>0.004238023863</v>
      </c>
      <c r="Q20" s="43">
        <f>'Q1 FY26-27'!Q20</f>
        <v>0</v>
      </c>
      <c r="R20" s="40" t="str">
        <f t="shared" si="60"/>
        <v>#DIV/0!</v>
      </c>
      <c r="S20" s="29">
        <f>'Q1 FY26-27'!S20</f>
        <v>228974.03</v>
      </c>
      <c r="T20" s="40">
        <f t="shared" si="61"/>
        <v>0.137336515</v>
      </c>
      <c r="U20" s="31">
        <f>'Q1 FY26-27'!U20</f>
        <v>0</v>
      </c>
      <c r="V20" s="40" t="str">
        <f t="shared" si="62"/>
        <v>#DIV/0!</v>
      </c>
      <c r="W20" s="29">
        <f>'Q1 FY26-27'!W20</f>
        <v>960909.79</v>
      </c>
      <c r="X20" s="40">
        <f t="shared" si="63"/>
        <v>0.03800604687</v>
      </c>
      <c r="Y20" s="31" t="str">
        <f>'Q1 FY26-27'!Y20</f>
        <v>#REF!</v>
      </c>
      <c r="Z20" s="40" t="str">
        <f t="shared" si="64"/>
        <v>#REF!</v>
      </c>
      <c r="AA20" s="29">
        <f>'Q1 FY26-27'!AA20</f>
        <v>1396555.24</v>
      </c>
      <c r="AB20" s="40">
        <f t="shared" si="65"/>
        <v>0.07294369814</v>
      </c>
      <c r="AC20" s="31">
        <f>'Q1 FY26-27'!AC20</f>
        <v>0</v>
      </c>
      <c r="AD20" s="40" t="str">
        <f t="shared" si="66"/>
        <v>#DIV/0!</v>
      </c>
      <c r="AE20" s="29">
        <f>'Q1 FY26-27'!AE20</f>
        <v>1307943</v>
      </c>
      <c r="AF20" s="40">
        <f t="shared" si="67"/>
        <v>0.03820737191</v>
      </c>
      <c r="AG20" s="31">
        <f>'Q1 FY26-27'!AG20</f>
        <v>0</v>
      </c>
      <c r="AH20" s="40" t="str">
        <f t="shared" si="68"/>
        <v>#DIV/0!</v>
      </c>
      <c r="AI20" s="29">
        <f>'Q1 FY26-27'!AI20</f>
        <v>0</v>
      </c>
      <c r="AJ20" s="40" t="str">
        <f t="shared" si="69"/>
        <v>#DIV/0!</v>
      </c>
      <c r="AK20" s="31">
        <f>'Q1 FY26-27'!AK20</f>
        <v>0</v>
      </c>
      <c r="AL20" s="30" t="str">
        <f t="shared" si="70"/>
        <v>#DIV/0!</v>
      </c>
      <c r="AM20" s="29">
        <f>'Q1 FY26-27'!AM20</f>
        <v>78387.37</v>
      </c>
      <c r="AN20" s="40">
        <f t="shared" si="71"/>
        <v>0.0807290102</v>
      </c>
      <c r="AO20" s="31">
        <f>'Q1 FY26-27'!AO20</f>
        <v>0</v>
      </c>
      <c r="AP20" s="40" t="str">
        <f t="shared" si="72"/>
        <v>#DIV/0!</v>
      </c>
      <c r="AQ20" s="29">
        <f>'Q1 FY26-27'!AQ20</f>
        <v>0</v>
      </c>
      <c r="AR20" s="40">
        <f t="shared" si="73"/>
        <v>0</v>
      </c>
      <c r="AS20" s="31">
        <f>'Q1 FY26-27'!AS20</f>
        <v>0</v>
      </c>
      <c r="AT20" s="42"/>
      <c r="AU20" s="29">
        <f>'Q1 FY26-27'!AU20</f>
        <v>162351.79</v>
      </c>
      <c r="AV20" s="40">
        <f t="shared" si="74"/>
        <v>0.2434691343</v>
      </c>
      <c r="AW20" s="31">
        <f>'Q1 FY26-27'!AW20</f>
        <v>0</v>
      </c>
      <c r="AX20" s="42"/>
      <c r="AY20" s="29">
        <f>'Q1 FY26-27'!AY20</f>
        <v>69035.85</v>
      </c>
      <c r="AZ20" s="38"/>
      <c r="BA20" s="31">
        <f>'Q1 FY26-27'!BA20</f>
        <v>0</v>
      </c>
      <c r="BB20" s="42"/>
      <c r="BC20" s="29">
        <f>'Q1 FY26-27'!BC20</f>
        <v>85672.94</v>
      </c>
      <c r="BD20" s="38"/>
      <c r="BE20" s="31">
        <f>'Q1 FY26-27'!BE20</f>
        <v>0</v>
      </c>
      <c r="BF20" s="42"/>
      <c r="BG20" s="29">
        <f>'Q1 FY26-27'!BG20</f>
        <v>146154.56</v>
      </c>
      <c r="BH20" s="38"/>
      <c r="BI20" s="31">
        <f>'Q1 FY26-27'!BI20</f>
        <v>0</v>
      </c>
      <c r="BJ20" s="42"/>
    </row>
    <row r="21" ht="15.75" customHeight="1">
      <c r="B21" s="35" t="s">
        <v>36</v>
      </c>
      <c r="C21" s="20">
        <f t="shared" si="49"/>
        <v>16374760.94</v>
      </c>
      <c r="D21" s="21">
        <f t="shared" si="50"/>
        <v>0.1100313824</v>
      </c>
      <c r="E21" s="36">
        <f t="shared" si="51"/>
        <v>3057546</v>
      </c>
      <c r="F21" s="37" t="str">
        <f t="shared" si="52"/>
        <v>#DIV/0!</v>
      </c>
      <c r="G21" s="29">
        <f>'Q1 FY26-27'!G21</f>
        <v>1627794.733</v>
      </c>
      <c r="H21" s="73">
        <f t="shared" si="53"/>
        <v>0.01093808364</v>
      </c>
      <c r="I21" s="26">
        <f>'Q1 FY26-27'!I21</f>
        <v>0</v>
      </c>
      <c r="J21" s="73">
        <f t="shared" si="54"/>
        <v>0</v>
      </c>
      <c r="K21" s="27">
        <f t="shared" si="55"/>
        <v>14746966.21</v>
      </c>
      <c r="L21" s="21">
        <f t="shared" si="56"/>
        <v>0.09909329876</v>
      </c>
      <c r="M21" s="36">
        <f t="shared" si="57"/>
        <v>3057546</v>
      </c>
      <c r="N21" s="39" t="str">
        <f t="shared" si="58"/>
        <v>#DIV/0!</v>
      </c>
      <c r="O21" s="29">
        <f>'Q1 FY26-27'!O21</f>
        <v>3665933.833</v>
      </c>
      <c r="P21" s="40">
        <f t="shared" si="59"/>
        <v>0.0895565448</v>
      </c>
      <c r="Q21" s="43">
        <f>'Q1 FY26-27'!Q21</f>
        <v>1419717</v>
      </c>
      <c r="R21" s="40" t="str">
        <f t="shared" si="60"/>
        <v>#DIV/0!</v>
      </c>
      <c r="S21" s="29">
        <f>'Q1 FY26-27'!S21</f>
        <v>213175</v>
      </c>
      <c r="T21" s="40">
        <f t="shared" si="61"/>
        <v>0.1278604023</v>
      </c>
      <c r="U21" s="31">
        <f>'Q1 FY26-27'!U21</f>
        <v>76212</v>
      </c>
      <c r="V21" s="40" t="str">
        <f t="shared" si="62"/>
        <v>#DIV/0!</v>
      </c>
      <c r="W21" s="29">
        <f>'Q1 FY26-27'!W21</f>
        <v>3480038.333</v>
      </c>
      <c r="X21" s="40">
        <f t="shared" si="63"/>
        <v>0.1376429935</v>
      </c>
      <c r="Y21" s="31">
        <f>'Q1 FY26-27'!Y21</f>
        <v>1314963</v>
      </c>
      <c r="Z21" s="40" t="str">
        <f t="shared" si="64"/>
        <v>#DIV/0!</v>
      </c>
      <c r="AA21" s="29">
        <f>'Q1 FY26-27'!AA21</f>
        <v>2210248.04</v>
      </c>
      <c r="AB21" s="40">
        <f t="shared" si="65"/>
        <v>0.1154438158</v>
      </c>
      <c r="AC21" s="31">
        <f>'Q1 FY26-27'!AC21</f>
        <v>0</v>
      </c>
      <c r="AD21" s="40" t="str">
        <f t="shared" si="66"/>
        <v>#DIV/0!</v>
      </c>
      <c r="AE21" s="29">
        <f>'Q1 FY26-27'!AE21</f>
        <v>2351243</v>
      </c>
      <c r="AF21" s="40">
        <f t="shared" si="67"/>
        <v>0.06868404491</v>
      </c>
      <c r="AG21" s="31">
        <f>'Q1 FY26-27'!AG21</f>
        <v>0</v>
      </c>
      <c r="AH21" s="40" t="str">
        <f t="shared" si="68"/>
        <v>#DIV/0!</v>
      </c>
      <c r="AI21" s="29">
        <f>'Q1 FY26-27'!AI21</f>
        <v>370741</v>
      </c>
      <c r="AJ21" s="40" t="str">
        <f t="shared" si="69"/>
        <v>#DIV/0!</v>
      </c>
      <c r="AK21" s="31">
        <f>'Q1 FY26-27'!AK21</f>
        <v>90931</v>
      </c>
      <c r="AL21" s="30" t="str">
        <f t="shared" si="70"/>
        <v>#DIV/0!</v>
      </c>
      <c r="AM21" s="29">
        <f>'Q1 FY26-27'!AM21</f>
        <v>489829</v>
      </c>
      <c r="AN21" s="40">
        <f t="shared" si="71"/>
        <v>0.5044615011</v>
      </c>
      <c r="AO21" s="31">
        <f>'Q1 FY26-27'!AO21</f>
        <v>155723</v>
      </c>
      <c r="AP21" s="40" t="str">
        <f t="shared" si="72"/>
        <v>#DIV/0!</v>
      </c>
      <c r="AQ21" s="29">
        <f>'Q1 FY26-27'!AQ21</f>
        <v>1965758</v>
      </c>
      <c r="AR21" s="40">
        <f t="shared" si="73"/>
        <v>0.08141084387</v>
      </c>
      <c r="AS21" s="31">
        <f>'Q1 FY26-27'!AS21</f>
        <v>2419</v>
      </c>
      <c r="AT21" s="42"/>
      <c r="AU21" s="29">
        <f>'Q1 FY26-27'!AU21</f>
        <v>0</v>
      </c>
      <c r="AV21" s="40">
        <f t="shared" si="74"/>
        <v>0</v>
      </c>
      <c r="AW21" s="31">
        <f>'Q1 FY26-27'!AW21</f>
        <v>0</v>
      </c>
      <c r="AX21" s="42"/>
      <c r="AY21" s="29">
        <f>'Q1 FY26-27'!AY21</f>
        <v>0</v>
      </c>
      <c r="AZ21" s="38"/>
      <c r="BA21" s="31">
        <f>'Q1 FY26-27'!BA21</f>
        <v>0</v>
      </c>
      <c r="BB21" s="42"/>
      <c r="BC21" s="29">
        <f>'Q1 FY26-27'!BC21</f>
        <v>0</v>
      </c>
      <c r="BD21" s="38"/>
      <c r="BE21" s="31">
        <f>'Q1 FY26-27'!BE21</f>
        <v>0</v>
      </c>
      <c r="BF21" s="42"/>
      <c r="BG21" s="29">
        <f>'Q1 FY26-27'!BG21</f>
        <v>0</v>
      </c>
      <c r="BH21" s="38"/>
      <c r="BI21" s="31">
        <f>'Q1 FY26-27'!BI21</f>
        <v>0</v>
      </c>
      <c r="BJ21" s="42"/>
    </row>
    <row r="22" ht="15.75" customHeight="1">
      <c r="B22" s="35" t="s">
        <v>37</v>
      </c>
      <c r="C22" s="20">
        <f t="shared" si="49"/>
        <v>48806327.08</v>
      </c>
      <c r="D22" s="21">
        <f t="shared" si="50"/>
        <v>0.3279576208</v>
      </c>
      <c r="E22" s="36">
        <f t="shared" si="51"/>
        <v>758150</v>
      </c>
      <c r="F22" s="37" t="str">
        <f t="shared" si="52"/>
        <v>#DIV/0!</v>
      </c>
      <c r="G22" s="29">
        <f>'Q1 FY26-27'!G22</f>
        <v>7747821.54</v>
      </c>
      <c r="H22" s="73">
        <f t="shared" si="53"/>
        <v>0.05206204339</v>
      </c>
      <c r="I22" s="26">
        <f>'Q1 FY26-27'!I22</f>
        <v>0</v>
      </c>
      <c r="J22" s="73">
        <f t="shared" si="54"/>
        <v>0</v>
      </c>
      <c r="K22" s="27">
        <f t="shared" si="55"/>
        <v>41058505.54</v>
      </c>
      <c r="L22" s="21">
        <f t="shared" si="56"/>
        <v>0.2758955774</v>
      </c>
      <c r="M22" s="36">
        <f t="shared" si="57"/>
        <v>758150</v>
      </c>
      <c r="N22" s="39" t="str">
        <f t="shared" si="58"/>
        <v>#DIV/0!</v>
      </c>
      <c r="O22" s="29">
        <f>'Q1 FY26-27'!O22</f>
        <v>10602073.41</v>
      </c>
      <c r="P22" s="40">
        <f t="shared" si="59"/>
        <v>0.2590022367</v>
      </c>
      <c r="Q22" s="43">
        <f>'Q1 FY26-27'!Q22</f>
        <v>663750</v>
      </c>
      <c r="R22" s="40" t="str">
        <f t="shared" si="60"/>
        <v>#DIV/0!</v>
      </c>
      <c r="S22" s="29">
        <f>'Q1 FY26-27'!S22</f>
        <v>679710.73</v>
      </c>
      <c r="T22" s="40">
        <f t="shared" si="61"/>
        <v>0.4076842377</v>
      </c>
      <c r="U22" s="31">
        <f>'Q1 FY26-27'!U22</f>
        <v>0</v>
      </c>
      <c r="V22" s="40" t="str">
        <f t="shared" si="62"/>
        <v>#DIV/0!</v>
      </c>
      <c r="W22" s="29">
        <f>'Q1 FY26-27'!W22</f>
        <v>6422135.033</v>
      </c>
      <c r="X22" s="40">
        <f t="shared" si="63"/>
        <v>0.2540092396</v>
      </c>
      <c r="Y22" s="31">
        <f>'Q1 FY26-27'!Y22</f>
        <v>0</v>
      </c>
      <c r="Z22" s="40" t="str">
        <f t="shared" si="64"/>
        <v>#DIV/0!</v>
      </c>
      <c r="AA22" s="29">
        <f>'Q1 FY26-27'!AA22</f>
        <v>3537149.733</v>
      </c>
      <c r="AB22" s="40">
        <f t="shared" si="65"/>
        <v>0.1847494285</v>
      </c>
      <c r="AC22" s="31">
        <f>'Q1 FY26-27'!AC22</f>
        <v>0</v>
      </c>
      <c r="AD22" s="40" t="str">
        <f t="shared" si="66"/>
        <v>#DIV/0!</v>
      </c>
      <c r="AE22" s="29">
        <f>'Q1 FY26-27'!AE22</f>
        <v>7545416.003</v>
      </c>
      <c r="AF22" s="40">
        <f t="shared" si="67"/>
        <v>0.2204151981</v>
      </c>
      <c r="AG22" s="31">
        <f>'Q1 FY26-27'!AG22</f>
        <v>0</v>
      </c>
      <c r="AH22" s="40" t="str">
        <f t="shared" si="68"/>
        <v>#DIV/0!</v>
      </c>
      <c r="AI22" s="29">
        <f>'Q1 FY26-27'!AI22</f>
        <v>460392</v>
      </c>
      <c r="AJ22" s="40" t="str">
        <f t="shared" si="69"/>
        <v>#DIV/0!</v>
      </c>
      <c r="AK22" s="31">
        <f>'Q1 FY26-27'!AK22</f>
        <v>0</v>
      </c>
      <c r="AL22" s="30" t="str">
        <f t="shared" si="70"/>
        <v>#DIV/0!</v>
      </c>
      <c r="AM22" s="29">
        <f>'Q1 FY26-27'!AM22</f>
        <v>3028630.58</v>
      </c>
      <c r="AN22" s="40">
        <f t="shared" si="71"/>
        <v>3.119103868</v>
      </c>
      <c r="AO22" s="31">
        <f>'Q1 FY26-27'!AO22</f>
        <v>94400</v>
      </c>
      <c r="AP22" s="40" t="str">
        <f t="shared" si="72"/>
        <v>#DIV/0!</v>
      </c>
      <c r="AQ22" s="29">
        <f>'Q1 FY26-27'!AQ22</f>
        <v>7579231.55</v>
      </c>
      <c r="AR22" s="40">
        <f t="shared" si="73"/>
        <v>0.3138899276</v>
      </c>
      <c r="AS22" s="31">
        <f>'Q1 FY26-27'!AS22</f>
        <v>0</v>
      </c>
      <c r="AT22" s="42"/>
      <c r="AU22" s="29">
        <f>'Q1 FY26-27'!AU22</f>
        <v>0</v>
      </c>
      <c r="AV22" s="40">
        <f t="shared" si="74"/>
        <v>0</v>
      </c>
      <c r="AW22" s="31">
        <f>'Q1 FY26-27'!AW22</f>
        <v>0</v>
      </c>
      <c r="AX22" s="42"/>
      <c r="AY22" s="29">
        <f>'Q1 FY26-27'!AY22</f>
        <v>0</v>
      </c>
      <c r="AZ22" s="38"/>
      <c r="BA22" s="31">
        <f>'Q1 FY26-27'!BA22</f>
        <v>0</v>
      </c>
      <c r="BB22" s="42"/>
      <c r="BC22" s="29">
        <f>'Q1 FY26-27'!BC22</f>
        <v>0</v>
      </c>
      <c r="BD22" s="38"/>
      <c r="BE22" s="31">
        <f>'Q1 FY26-27'!BE22</f>
        <v>0</v>
      </c>
      <c r="BF22" s="42"/>
      <c r="BG22" s="29">
        <f>'Q1 FY26-27'!BG22</f>
        <v>1203766.5</v>
      </c>
      <c r="BH22" s="38"/>
      <c r="BI22" s="31">
        <f>'Q1 FY26-27'!BI22</f>
        <v>0</v>
      </c>
      <c r="BJ22" s="42"/>
    </row>
    <row r="23" ht="15.75" customHeight="1">
      <c r="B23" s="35" t="s">
        <v>38</v>
      </c>
      <c r="C23" s="20">
        <f t="shared" si="49"/>
        <v>1958840.97</v>
      </c>
      <c r="D23" s="21">
        <f t="shared" si="50"/>
        <v>0.01316257261</v>
      </c>
      <c r="E23" s="36">
        <f t="shared" si="51"/>
        <v>0</v>
      </c>
      <c r="F23" s="37" t="str">
        <f t="shared" si="52"/>
        <v>#DIV/0!</v>
      </c>
      <c r="G23" s="29">
        <f>'Q1 FY26-27'!G23</f>
        <v>813941</v>
      </c>
      <c r="H23" s="73">
        <f t="shared" si="53"/>
        <v>0.005469335018</v>
      </c>
      <c r="I23" s="26">
        <f>'Q1 FY26-27'!I23</f>
        <v>0</v>
      </c>
      <c r="J23" s="73">
        <f t="shared" si="54"/>
        <v>0</v>
      </c>
      <c r="K23" s="27">
        <f t="shared" si="55"/>
        <v>1144899.97</v>
      </c>
      <c r="L23" s="21">
        <f t="shared" si="56"/>
        <v>0.007693237591</v>
      </c>
      <c r="M23" s="36">
        <f t="shared" si="57"/>
        <v>0</v>
      </c>
      <c r="N23" s="39" t="str">
        <f t="shared" si="58"/>
        <v>#DIV/0!</v>
      </c>
      <c r="O23" s="29">
        <f>'Q1 FY26-27'!O23</f>
        <v>947509.88</v>
      </c>
      <c r="P23" s="40">
        <f t="shared" si="59"/>
        <v>0.0231470929</v>
      </c>
      <c r="Q23" s="43">
        <f>'Q1 FY26-27'!Q23</f>
        <v>0</v>
      </c>
      <c r="R23" s="40" t="str">
        <f t="shared" si="60"/>
        <v>#DIV/0!</v>
      </c>
      <c r="S23" s="29">
        <f>'Q1 FY26-27'!S23</f>
        <v>0</v>
      </c>
      <c r="T23" s="40">
        <f t="shared" si="61"/>
        <v>0</v>
      </c>
      <c r="U23" s="31">
        <f>'Q1 FY26-27'!U23</f>
        <v>0</v>
      </c>
      <c r="V23" s="40" t="str">
        <f t="shared" si="62"/>
        <v>#DIV/0!</v>
      </c>
      <c r="W23" s="29">
        <f>'Q1 FY26-27'!W23</f>
        <v>46560.5</v>
      </c>
      <c r="X23" s="40">
        <f t="shared" si="63"/>
        <v>0.001841567818</v>
      </c>
      <c r="Y23" s="31">
        <f>'Q1 FY26-27'!Y23</f>
        <v>0</v>
      </c>
      <c r="Z23" s="40" t="str">
        <f t="shared" si="64"/>
        <v>#DIV/0!</v>
      </c>
      <c r="AA23" s="29">
        <f>'Q1 FY26-27'!AA23</f>
        <v>55147.82</v>
      </c>
      <c r="AB23" s="40">
        <f t="shared" si="65"/>
        <v>0.002880434529</v>
      </c>
      <c r="AC23" s="31">
        <f>'Q1 FY26-27'!AC23</f>
        <v>0</v>
      </c>
      <c r="AD23" s="40" t="str">
        <f t="shared" si="66"/>
        <v>#DIV/0!</v>
      </c>
      <c r="AE23" s="29">
        <f>'Q1 FY26-27'!AE23</f>
        <v>47677.73</v>
      </c>
      <c r="AF23" s="40">
        <f t="shared" si="67"/>
        <v>0.001392752407</v>
      </c>
      <c r="AG23" s="31">
        <f>'Q1 FY26-27'!AG23</f>
        <v>0</v>
      </c>
      <c r="AH23" s="40" t="str">
        <f t="shared" si="68"/>
        <v>#DIV/0!</v>
      </c>
      <c r="AI23" s="29">
        <f>'Q1 FY26-27'!AI23</f>
        <v>0</v>
      </c>
      <c r="AJ23" s="40" t="str">
        <f t="shared" si="69"/>
        <v>#DIV/0!</v>
      </c>
      <c r="AK23" s="31">
        <f>'Q1 FY26-27'!AK23</f>
        <v>0</v>
      </c>
      <c r="AL23" s="30" t="str">
        <f t="shared" si="70"/>
        <v>#DIV/0!</v>
      </c>
      <c r="AM23" s="29">
        <f>'Q1 FY26-27'!AM23</f>
        <v>11118.42</v>
      </c>
      <c r="AN23" s="40">
        <f t="shared" si="71"/>
        <v>0.01145055691</v>
      </c>
      <c r="AO23" s="31">
        <f>'Q1 FY26-27'!AO23</f>
        <v>0</v>
      </c>
      <c r="AP23" s="40" t="str">
        <f t="shared" si="72"/>
        <v>#DIV/0!</v>
      </c>
      <c r="AQ23" s="29">
        <f>'Q1 FY26-27'!AQ23</f>
        <v>36885.62</v>
      </c>
      <c r="AR23" s="40">
        <f t="shared" si="73"/>
        <v>0.001527598744</v>
      </c>
      <c r="AS23" s="31">
        <f>'Q1 FY26-27'!AS23</f>
        <v>0</v>
      </c>
      <c r="AT23" s="42"/>
      <c r="AU23" s="29">
        <f>'Q1 FY26-27'!AU23</f>
        <v>0</v>
      </c>
      <c r="AV23" s="40">
        <f t="shared" si="74"/>
        <v>0</v>
      </c>
      <c r="AW23" s="31">
        <f>'Q1 FY26-27'!AW23</f>
        <v>0</v>
      </c>
      <c r="AX23" s="42"/>
      <c r="AY23" s="29">
        <f>'Q1 FY26-27'!AY23</f>
        <v>0</v>
      </c>
      <c r="AZ23" s="38"/>
      <c r="BA23" s="31">
        <f>'Q1 FY26-27'!BA23</f>
        <v>0</v>
      </c>
      <c r="BB23" s="42"/>
      <c r="BC23" s="29">
        <f>'Q1 FY26-27'!BC23</f>
        <v>0</v>
      </c>
      <c r="BD23" s="38"/>
      <c r="BE23" s="31">
        <f>'Q1 FY26-27'!BE23</f>
        <v>0</v>
      </c>
      <c r="BF23" s="42"/>
      <c r="BG23" s="29">
        <f>'Q1 FY26-27'!BG23</f>
        <v>0</v>
      </c>
      <c r="BH23" s="38"/>
      <c r="BI23" s="31">
        <f>'Q1 FY26-27'!BI23</f>
        <v>0</v>
      </c>
      <c r="BJ23" s="42"/>
    </row>
    <row r="24" ht="15.75" customHeight="1">
      <c r="B24" s="35" t="s">
        <v>39</v>
      </c>
      <c r="C24" s="20">
        <f t="shared" si="49"/>
        <v>964259.07</v>
      </c>
      <c r="D24" s="21">
        <f t="shared" si="50"/>
        <v>0.006479408087</v>
      </c>
      <c r="E24" s="36">
        <f t="shared" si="51"/>
        <v>134471.9167</v>
      </c>
      <c r="F24" s="37" t="str">
        <f t="shared" si="52"/>
        <v>#DIV/0!</v>
      </c>
      <c r="G24" s="29">
        <f>'Q1 FY26-27'!G24</f>
        <v>241237.57</v>
      </c>
      <c r="H24" s="73">
        <f t="shared" si="53"/>
        <v>0.001621013181</v>
      </c>
      <c r="I24" s="26">
        <f>'Q1 FY26-27'!I24</f>
        <v>0</v>
      </c>
      <c r="J24" s="73">
        <f t="shared" si="54"/>
        <v>0</v>
      </c>
      <c r="K24" s="27">
        <f t="shared" si="55"/>
        <v>723021.5</v>
      </c>
      <c r="L24" s="21">
        <f t="shared" si="56"/>
        <v>0.004858394907</v>
      </c>
      <c r="M24" s="36">
        <f t="shared" si="57"/>
        <v>134471.9167</v>
      </c>
      <c r="N24" s="39" t="str">
        <f t="shared" si="58"/>
        <v>#DIV/0!</v>
      </c>
      <c r="O24" s="29">
        <f>'Q1 FY26-27'!O24</f>
        <v>48494.33333</v>
      </c>
      <c r="P24" s="40">
        <f t="shared" si="59"/>
        <v>0.001184687213</v>
      </c>
      <c r="Q24" s="43">
        <f>'Q1 FY26-27'!Q24</f>
        <v>0</v>
      </c>
      <c r="R24" s="40" t="str">
        <f t="shared" si="60"/>
        <v>#DIV/0!</v>
      </c>
      <c r="S24" s="29">
        <f>'Q1 FY26-27'!S24</f>
        <v>46181</v>
      </c>
      <c r="T24" s="40">
        <f t="shared" si="61"/>
        <v>0.02769893861</v>
      </c>
      <c r="U24" s="31">
        <f>'Q1 FY26-27'!U24</f>
        <v>0</v>
      </c>
      <c r="V24" s="40" t="str">
        <f t="shared" si="62"/>
        <v>#DIV/0!</v>
      </c>
      <c r="W24" s="29">
        <f>'Q1 FY26-27'!W24</f>
        <v>127370.6667</v>
      </c>
      <c r="X24" s="40">
        <f t="shared" si="63"/>
        <v>0.005037783543</v>
      </c>
      <c r="Y24" s="31">
        <f>'Q1 FY26-27'!Y24</f>
        <v>0</v>
      </c>
      <c r="Z24" s="40" t="str">
        <f t="shared" si="64"/>
        <v>#DIV/0!</v>
      </c>
      <c r="AA24" s="29">
        <f>'Q1 FY26-27'!AA24</f>
        <v>99640.66667</v>
      </c>
      <c r="AB24" s="40">
        <f t="shared" si="65"/>
        <v>0.005204347457</v>
      </c>
      <c r="AC24" s="31">
        <f>'Q1 FY26-27'!AC24</f>
        <v>49820.33333</v>
      </c>
      <c r="AD24" s="40" t="str">
        <f t="shared" si="66"/>
        <v>#DIV/0!</v>
      </c>
      <c r="AE24" s="29">
        <f>'Q1 FY26-27'!AE24</f>
        <v>155690.6667</v>
      </c>
      <c r="AF24" s="40">
        <f t="shared" si="67"/>
        <v>0.004548004924</v>
      </c>
      <c r="AG24" s="31">
        <f>'Q1 FY26-27'!AG24</f>
        <v>77845.33333</v>
      </c>
      <c r="AH24" s="40" t="str">
        <f t="shared" si="68"/>
        <v>#DIV/0!</v>
      </c>
      <c r="AI24" s="29">
        <f>'Q1 FY26-27'!AI24</f>
        <v>13612.5</v>
      </c>
      <c r="AJ24" s="40" t="str">
        <f t="shared" si="69"/>
        <v>#DIV/0!</v>
      </c>
      <c r="AK24" s="31">
        <f>'Q1 FY26-27'!AK24</f>
        <v>6806.25</v>
      </c>
      <c r="AL24" s="30" t="str">
        <f t="shared" si="70"/>
        <v>#DIV/0!</v>
      </c>
      <c r="AM24" s="29">
        <f>'Q1 FY26-27'!AM24</f>
        <v>72561.33333</v>
      </c>
      <c r="AN24" s="40">
        <f t="shared" si="71"/>
        <v>0.07472893425</v>
      </c>
      <c r="AO24" s="31">
        <f>'Q1 FY26-27'!AO24</f>
        <v>0</v>
      </c>
      <c r="AP24" s="40" t="str">
        <f t="shared" si="72"/>
        <v>#DIV/0!</v>
      </c>
      <c r="AQ24" s="29">
        <f>'Q1 FY26-27'!AQ24</f>
        <v>6293.333333</v>
      </c>
      <c r="AR24" s="40">
        <f t="shared" si="73"/>
        <v>0.0002606351227</v>
      </c>
      <c r="AS24" s="31">
        <f>'Q1 FY26-27'!AS24</f>
        <v>3146.666667</v>
      </c>
      <c r="AT24" s="42"/>
      <c r="AU24" s="29">
        <f>'Q1 FY26-27'!AU24</f>
        <v>58819</v>
      </c>
      <c r="AV24" s="40">
        <f t="shared" si="74"/>
        <v>0.08820728747</v>
      </c>
      <c r="AW24" s="31">
        <f>'Q1 FY26-27'!AW24</f>
        <v>0</v>
      </c>
      <c r="AX24" s="42"/>
      <c r="AY24" s="29">
        <f>'Q1 FY26-27'!AY24</f>
        <v>46182</v>
      </c>
      <c r="AZ24" s="38"/>
      <c r="BA24" s="31">
        <f>'Q1 FY26-27'!BA24</f>
        <v>0</v>
      </c>
      <c r="BB24" s="42"/>
      <c r="BC24" s="29">
        <f>'Q1 FY26-27'!BC24</f>
        <v>46182</v>
      </c>
      <c r="BD24" s="38"/>
      <c r="BE24" s="31">
        <f>'Q1 FY26-27'!BE24</f>
        <v>0</v>
      </c>
      <c r="BF24" s="42"/>
      <c r="BG24" s="29">
        <f>'Q1 FY26-27'!BG24</f>
        <v>1994</v>
      </c>
      <c r="BH24" s="38"/>
      <c r="BI24" s="31">
        <f>'Q1 FY26-27'!BI24</f>
        <v>0</v>
      </c>
      <c r="BJ24" s="42"/>
    </row>
    <row r="25" ht="15.75" customHeight="1">
      <c r="B25" s="35" t="s">
        <v>40</v>
      </c>
      <c r="C25" s="20">
        <f t="shared" si="49"/>
        <v>9882304.08</v>
      </c>
      <c r="D25" s="21">
        <f t="shared" si="50"/>
        <v>0.06640485215</v>
      </c>
      <c r="E25" s="36">
        <f t="shared" si="51"/>
        <v>356555.5833</v>
      </c>
      <c r="F25" s="37" t="str">
        <f t="shared" si="52"/>
        <v>#DIV/0!</v>
      </c>
      <c r="G25" s="29">
        <f>'Q1 FY26-27'!G25</f>
        <v>2184064</v>
      </c>
      <c r="H25" s="73">
        <f t="shared" si="53"/>
        <v>0.01467597494</v>
      </c>
      <c r="I25" s="26">
        <f>'Q1 FY26-27'!I25</f>
        <v>737.5</v>
      </c>
      <c r="J25" s="73">
        <f t="shared" si="54"/>
        <v>0.000004955684228</v>
      </c>
      <c r="K25" s="27">
        <f t="shared" si="55"/>
        <v>7698240.08</v>
      </c>
      <c r="L25" s="21">
        <f t="shared" si="56"/>
        <v>0.05172887721</v>
      </c>
      <c r="M25" s="36">
        <f t="shared" si="57"/>
        <v>355818.0833</v>
      </c>
      <c r="N25" s="39" t="str">
        <f t="shared" si="58"/>
        <v>#DIV/0!</v>
      </c>
      <c r="O25" s="29">
        <f>'Q1 FY26-27'!O25</f>
        <v>2374341.263</v>
      </c>
      <c r="P25" s="40">
        <f t="shared" si="59"/>
        <v>0.05800372003</v>
      </c>
      <c r="Q25" s="43">
        <f>'Q1 FY26-27'!Q25</f>
        <v>184154.5833</v>
      </c>
      <c r="R25" s="40" t="str">
        <f t="shared" si="60"/>
        <v>#DIV/0!</v>
      </c>
      <c r="S25" s="29">
        <f>'Q1 FY26-27'!S25</f>
        <v>155919</v>
      </c>
      <c r="T25" s="40">
        <f t="shared" si="61"/>
        <v>0.09351878065</v>
      </c>
      <c r="U25" s="31">
        <f>'Q1 FY26-27'!U25</f>
        <v>0</v>
      </c>
      <c r="V25" s="40" t="str">
        <f t="shared" si="62"/>
        <v>#DIV/0!</v>
      </c>
      <c r="W25" s="29">
        <f>'Q1 FY26-27'!W25</f>
        <v>1114412.667</v>
      </c>
      <c r="X25" s="40">
        <f t="shared" si="63"/>
        <v>0.04407741546</v>
      </c>
      <c r="Y25" s="31">
        <f>'Q1 FY26-27'!Y25</f>
        <v>0</v>
      </c>
      <c r="Z25" s="40" t="str">
        <f t="shared" si="64"/>
        <v>#DIV/0!</v>
      </c>
      <c r="AA25" s="29">
        <f>'Q1 FY26-27'!AA25</f>
        <v>468887.5</v>
      </c>
      <c r="AB25" s="40">
        <f t="shared" si="65"/>
        <v>0.02449053734</v>
      </c>
      <c r="AC25" s="31">
        <f>'Q1 FY26-27'!AC25</f>
        <v>15522.25</v>
      </c>
      <c r="AD25" s="40" t="str">
        <f t="shared" si="66"/>
        <v>#DIV/0!</v>
      </c>
      <c r="AE25" s="29">
        <f>'Q1 FY26-27'!AE25</f>
        <v>922235.0933</v>
      </c>
      <c r="AF25" s="40">
        <f t="shared" si="67"/>
        <v>0.02694014892</v>
      </c>
      <c r="AG25" s="31">
        <f>'Q1 FY26-27'!AG25</f>
        <v>133043</v>
      </c>
      <c r="AH25" s="40" t="str">
        <f t="shared" si="68"/>
        <v>#DIV/0!</v>
      </c>
      <c r="AI25" s="29">
        <f>'Q1 FY26-27'!AI25</f>
        <v>1414742.513</v>
      </c>
      <c r="AJ25" s="40" t="str">
        <f t="shared" si="69"/>
        <v>#DIV/0!</v>
      </c>
      <c r="AK25" s="31">
        <f>'Q1 FY26-27'!AK25</f>
        <v>5934.916667</v>
      </c>
      <c r="AL25" s="30" t="str">
        <f t="shared" si="70"/>
        <v>#DIV/0!</v>
      </c>
      <c r="AM25" s="29">
        <f>'Q1 FY26-27'!AM25</f>
        <v>161457.5967</v>
      </c>
      <c r="AN25" s="40">
        <f t="shared" si="71"/>
        <v>0.1662807665</v>
      </c>
      <c r="AO25" s="31">
        <f>'Q1 FY26-27'!AO25</f>
        <v>17163.33333</v>
      </c>
      <c r="AP25" s="40" t="str">
        <f t="shared" si="72"/>
        <v>#DIV/0!</v>
      </c>
      <c r="AQ25" s="29">
        <f>'Q1 FY26-27'!AQ25</f>
        <v>994208.4467</v>
      </c>
      <c r="AR25" s="40">
        <f t="shared" si="73"/>
        <v>0.04117462507</v>
      </c>
      <c r="AS25" s="31">
        <f>'Q1 FY26-27'!AS25</f>
        <v>212632.0833</v>
      </c>
      <c r="AT25" s="42"/>
      <c r="AU25" s="29">
        <f>'Q1 FY26-27'!AU25</f>
        <v>8100</v>
      </c>
      <c r="AV25" s="40">
        <f t="shared" si="74"/>
        <v>0.01214707881</v>
      </c>
      <c r="AW25" s="31">
        <f>'Q1 FY26-27'!AW25</f>
        <v>0</v>
      </c>
      <c r="AX25" s="42"/>
      <c r="AY25" s="29">
        <f>'Q1 FY26-27'!AY25</f>
        <v>8100</v>
      </c>
      <c r="AZ25" s="38"/>
      <c r="BA25" s="31">
        <f>'Q1 FY26-27'!BA25</f>
        <v>0</v>
      </c>
      <c r="BB25" s="42"/>
      <c r="BC25" s="29">
        <f>'Q1 FY26-27'!BC25</f>
        <v>0</v>
      </c>
      <c r="BD25" s="38"/>
      <c r="BE25" s="31">
        <f>'Q1 FY26-27'!BE25</f>
        <v>0</v>
      </c>
      <c r="BF25" s="42"/>
      <c r="BG25" s="29">
        <f>'Q1 FY26-27'!BG25</f>
        <v>75836</v>
      </c>
      <c r="BH25" s="38"/>
      <c r="BI25" s="31">
        <f>'Q1 FY26-27'!BI25</f>
        <v>0</v>
      </c>
      <c r="BJ25" s="42"/>
    </row>
    <row r="26" ht="15.75" customHeight="1">
      <c r="B26" s="35" t="s">
        <v>41</v>
      </c>
      <c r="C26" s="20">
        <f t="shared" si="49"/>
        <v>925817</v>
      </c>
      <c r="D26" s="21">
        <f t="shared" si="50"/>
        <v>0.006221093837</v>
      </c>
      <c r="E26" s="36">
        <f t="shared" si="51"/>
        <v>10010</v>
      </c>
      <c r="F26" s="37" t="str">
        <f t="shared" si="52"/>
        <v>#DIV/0!</v>
      </c>
      <c r="G26" s="29">
        <f>'Q1 FY26-27'!G26</f>
        <v>828298</v>
      </c>
      <c r="H26" s="73">
        <f t="shared" si="53"/>
        <v>0.005565807911</v>
      </c>
      <c r="I26" s="26">
        <f>'Q1 FY26-27'!I26</f>
        <v>0</v>
      </c>
      <c r="J26" s="73">
        <f t="shared" si="54"/>
        <v>0</v>
      </c>
      <c r="K26" s="27">
        <f t="shared" si="55"/>
        <v>97519</v>
      </c>
      <c r="L26" s="21">
        <f t="shared" si="56"/>
        <v>0.0006552859257</v>
      </c>
      <c r="M26" s="36">
        <f t="shared" si="57"/>
        <v>10010</v>
      </c>
      <c r="N26" s="39" t="str">
        <f t="shared" si="58"/>
        <v>#DIV/0!</v>
      </c>
      <c r="O26" s="29">
        <f>'Q1 FY26-27'!O26</f>
        <v>40644</v>
      </c>
      <c r="P26" s="40">
        <f t="shared" si="59"/>
        <v>0.0009929083209</v>
      </c>
      <c r="Q26" s="43">
        <f>'Q1 FY26-27'!Q26</f>
        <v>0</v>
      </c>
      <c r="R26" s="40" t="str">
        <f t="shared" si="60"/>
        <v>#DIV/0!</v>
      </c>
      <c r="S26" s="29">
        <f>'Q1 FY26-27'!S26</f>
        <v>0</v>
      </c>
      <c r="T26" s="40">
        <f t="shared" si="61"/>
        <v>0</v>
      </c>
      <c r="U26" s="31">
        <f>'Q1 FY26-27'!U26</f>
        <v>0</v>
      </c>
      <c r="V26" s="40" t="str">
        <f t="shared" si="62"/>
        <v>#DIV/0!</v>
      </c>
      <c r="W26" s="29">
        <f>'Q1 FY26-27'!W26</f>
        <v>20335</v>
      </c>
      <c r="X26" s="40">
        <f t="shared" si="63"/>
        <v>0.0008042929431</v>
      </c>
      <c r="Y26" s="31">
        <f>'Q1 FY26-27'!Y26</f>
        <v>0</v>
      </c>
      <c r="Z26" s="40" t="str">
        <f t="shared" si="64"/>
        <v>#DIV/0!</v>
      </c>
      <c r="AA26" s="29">
        <f>'Q1 FY26-27'!AA26</f>
        <v>0</v>
      </c>
      <c r="AB26" s="40">
        <f t="shared" si="65"/>
        <v>0</v>
      </c>
      <c r="AC26" s="31">
        <f>'Q1 FY26-27'!AC26</f>
        <v>0</v>
      </c>
      <c r="AD26" s="40" t="str">
        <f t="shared" si="66"/>
        <v>#DIV/0!</v>
      </c>
      <c r="AE26" s="29">
        <f>'Q1 FY26-27'!AE26</f>
        <v>20020</v>
      </c>
      <c r="AF26" s="40">
        <f t="shared" si="67"/>
        <v>0.0005848202755</v>
      </c>
      <c r="AG26" s="31">
        <f>'Q1 FY26-27'!AG26</f>
        <v>10010</v>
      </c>
      <c r="AH26" s="40" t="str">
        <f t="shared" si="68"/>
        <v>#DIV/0!</v>
      </c>
      <c r="AI26" s="29">
        <f>'Q1 FY26-27'!AI26</f>
        <v>0</v>
      </c>
      <c r="AJ26" s="40" t="str">
        <f t="shared" si="69"/>
        <v>#DIV/0!</v>
      </c>
      <c r="AK26" s="31">
        <f>'Q1 FY26-27'!AK26</f>
        <v>0</v>
      </c>
      <c r="AL26" s="30" t="str">
        <f t="shared" si="70"/>
        <v>#DIV/0!</v>
      </c>
      <c r="AM26" s="29">
        <f>'Q1 FY26-27'!AM26</f>
        <v>0</v>
      </c>
      <c r="AN26" s="40">
        <f t="shared" si="71"/>
        <v>0</v>
      </c>
      <c r="AO26" s="31">
        <f>'Q1 FY26-27'!AO26</f>
        <v>0</v>
      </c>
      <c r="AP26" s="40" t="str">
        <f t="shared" si="72"/>
        <v>#DIV/0!</v>
      </c>
      <c r="AQ26" s="29">
        <f>'Q1 FY26-27'!AQ26</f>
        <v>16520</v>
      </c>
      <c r="AR26" s="40">
        <f t="shared" si="73"/>
        <v>0.000684167197</v>
      </c>
      <c r="AS26" s="31">
        <f>'Q1 FY26-27'!AS26</f>
        <v>8260</v>
      </c>
      <c r="AT26" s="42"/>
      <c r="AU26" s="29">
        <f>'Q1 FY26-27'!AU26</f>
        <v>0</v>
      </c>
      <c r="AV26" s="40">
        <f t="shared" si="74"/>
        <v>0</v>
      </c>
      <c r="AW26" s="31">
        <f>'Q1 FY26-27'!AW26</f>
        <v>0</v>
      </c>
      <c r="AX26" s="42"/>
      <c r="AY26" s="29">
        <f>'Q1 FY26-27'!AY26</f>
        <v>0</v>
      </c>
      <c r="AZ26" s="38"/>
      <c r="BA26" s="31">
        <f>'Q1 FY26-27'!BA26</f>
        <v>0</v>
      </c>
      <c r="BB26" s="42"/>
      <c r="BC26" s="29">
        <f>'Q1 FY26-27'!BC26</f>
        <v>0</v>
      </c>
      <c r="BD26" s="38"/>
      <c r="BE26" s="31">
        <f>'Q1 FY26-27'!BE26</f>
        <v>0</v>
      </c>
      <c r="BF26" s="42"/>
      <c r="BG26" s="29">
        <f>'Q1 FY26-27'!BG26</f>
        <v>0</v>
      </c>
      <c r="BH26" s="38"/>
      <c r="BI26" s="31">
        <f>'Q1 FY26-27'!BI26</f>
        <v>0</v>
      </c>
      <c r="BJ26" s="42"/>
    </row>
    <row r="27" ht="15.75" customHeight="1">
      <c r="B27" s="44" t="s">
        <v>42</v>
      </c>
      <c r="C27" s="45">
        <f t="shared" si="49"/>
        <v>-3582848.59</v>
      </c>
      <c r="D27" s="21">
        <f t="shared" si="50"/>
        <v>-0.02407520847</v>
      </c>
      <c r="E27" s="46">
        <f t="shared" si="51"/>
        <v>0</v>
      </c>
      <c r="F27" s="47" t="str">
        <f t="shared" si="52"/>
        <v>#DIV/0!</v>
      </c>
      <c r="G27" s="53">
        <f>'Q1 FY26-27'!G27</f>
        <v>423825.41</v>
      </c>
      <c r="H27" s="73">
        <f t="shared" si="53"/>
        <v>0.002847925288</v>
      </c>
      <c r="I27" s="26">
        <f>'Q1 FY26-27'!I27</f>
        <v>0</v>
      </c>
      <c r="J27" s="73">
        <f t="shared" si="54"/>
        <v>0</v>
      </c>
      <c r="K27" s="27">
        <f t="shared" si="55"/>
        <v>-4006674</v>
      </c>
      <c r="L27" s="21">
        <f t="shared" si="56"/>
        <v>-0.02692313376</v>
      </c>
      <c r="M27" s="46">
        <f t="shared" si="57"/>
        <v>0</v>
      </c>
      <c r="N27" s="49" t="str">
        <f t="shared" si="58"/>
        <v>#DIV/0!</v>
      </c>
      <c r="O27" s="29">
        <f>'Q1 FY26-27'!O27</f>
        <v>0</v>
      </c>
      <c r="P27" s="50">
        <f t="shared" si="59"/>
        <v>0</v>
      </c>
      <c r="Q27" s="43">
        <f>'Q1 FY26-27'!Q27</f>
        <v>0</v>
      </c>
      <c r="R27" s="50" t="str">
        <f t="shared" si="60"/>
        <v>#DIV/0!</v>
      </c>
      <c r="S27" s="29">
        <f>'Q1 FY26-27'!S27</f>
        <v>0</v>
      </c>
      <c r="T27" s="50">
        <f t="shared" si="61"/>
        <v>0</v>
      </c>
      <c r="U27" s="31">
        <f>'Q1 FY26-27'!U27</f>
        <v>0</v>
      </c>
      <c r="V27" s="50" t="str">
        <f t="shared" si="62"/>
        <v>#DIV/0!</v>
      </c>
      <c r="W27" s="29">
        <f>'Q1 FY26-27'!W27</f>
        <v>0</v>
      </c>
      <c r="X27" s="50">
        <f t="shared" si="63"/>
        <v>0</v>
      </c>
      <c r="Y27" s="31">
        <f>'Q1 FY26-27'!Y27</f>
        <v>0</v>
      </c>
      <c r="Z27" s="50" t="str">
        <f t="shared" si="64"/>
        <v>#DIV/0!</v>
      </c>
      <c r="AA27" s="29">
        <f>'Q1 FY26-27'!AA27</f>
        <v>0</v>
      </c>
      <c r="AB27" s="50">
        <f t="shared" si="65"/>
        <v>0</v>
      </c>
      <c r="AC27" s="31">
        <f>'Q1 FY26-27'!AC27</f>
        <v>0</v>
      </c>
      <c r="AD27" s="50" t="str">
        <f t="shared" si="66"/>
        <v>#DIV/0!</v>
      </c>
      <c r="AE27" s="29">
        <f>'Q1 FY26-27'!AE27</f>
        <v>0</v>
      </c>
      <c r="AF27" s="50">
        <f t="shared" si="67"/>
        <v>0</v>
      </c>
      <c r="AG27" s="31">
        <f>'Q1 FY26-27'!AG27</f>
        <v>0</v>
      </c>
      <c r="AH27" s="50" t="str">
        <f t="shared" si="68"/>
        <v>#DIV/0!</v>
      </c>
      <c r="AI27" s="29">
        <f>'Q1 FY26-27'!AI27</f>
        <v>0</v>
      </c>
      <c r="AJ27" s="50" t="str">
        <f t="shared" si="69"/>
        <v>#DIV/0!</v>
      </c>
      <c r="AK27" s="31">
        <f>'Q1 FY26-27'!AK27</f>
        <v>0</v>
      </c>
      <c r="AL27" s="30" t="str">
        <f t="shared" si="70"/>
        <v>#DIV/0!</v>
      </c>
      <c r="AM27" s="29">
        <f>'Q1 FY26-27'!AM27</f>
        <v>-4016974</v>
      </c>
      <c r="AN27" s="50">
        <f t="shared" si="71"/>
        <v>-4.136971747</v>
      </c>
      <c r="AO27" s="31">
        <f>'Q1 FY26-27'!AO27</f>
        <v>0</v>
      </c>
      <c r="AP27" s="50" t="str">
        <f t="shared" si="72"/>
        <v>#DIV/0!</v>
      </c>
      <c r="AQ27" s="29">
        <f>'Q1 FY26-27'!AQ27</f>
        <v>0</v>
      </c>
      <c r="AR27" s="50">
        <f t="shared" si="73"/>
        <v>0</v>
      </c>
      <c r="AS27" s="31">
        <f>'Q1 FY26-27'!AS27</f>
        <v>0</v>
      </c>
      <c r="AT27" s="51"/>
      <c r="AU27" s="29">
        <f>'Q1 FY26-27'!AU27</f>
        <v>0</v>
      </c>
      <c r="AV27" s="50">
        <f t="shared" si="74"/>
        <v>0</v>
      </c>
      <c r="AW27" s="31">
        <f>'Q1 FY26-27'!AW27</f>
        <v>0</v>
      </c>
      <c r="AX27" s="51"/>
      <c r="AY27" s="29">
        <f>'Q1 FY26-27'!AY27</f>
        <v>0</v>
      </c>
      <c r="AZ27" s="48"/>
      <c r="BA27" s="31">
        <f>'Q1 FY26-27'!BA27</f>
        <v>0</v>
      </c>
      <c r="BB27" s="51"/>
      <c r="BC27" s="29">
        <f>'Q1 FY26-27'!BC27</f>
        <v>0</v>
      </c>
      <c r="BD27" s="48"/>
      <c r="BE27" s="31">
        <f>'Q1 FY26-27'!BE27</f>
        <v>0</v>
      </c>
      <c r="BF27" s="51"/>
      <c r="BG27" s="29">
        <f>'Q1 FY26-27'!BG27</f>
        <v>10300</v>
      </c>
      <c r="BH27" s="48"/>
      <c r="BI27" s="31">
        <f>'Q1 FY26-27'!BI27</f>
        <v>0</v>
      </c>
      <c r="BJ27" s="51"/>
    </row>
    <row r="28" ht="15.75" customHeight="1">
      <c r="A28" s="98"/>
      <c r="B28" s="13" t="s">
        <v>43</v>
      </c>
      <c r="C28" s="54">
        <f>SUM(C18:C27)</f>
        <v>85528371.54</v>
      </c>
      <c r="D28" s="55">
        <f>C28/C10</f>
        <v>0.5747140364</v>
      </c>
      <c r="E28" s="56" t="str">
        <f t="shared" si="51"/>
        <v>#REF!</v>
      </c>
      <c r="F28" s="80" t="str">
        <f t="shared" si="52"/>
        <v>#REF!</v>
      </c>
      <c r="G28" s="110">
        <f>'Q1 FY26-27'!G28</f>
        <v>14101184.77</v>
      </c>
      <c r="H28" s="111">
        <f>G28/C10</f>
        <v>0.09475392398</v>
      </c>
      <c r="I28" s="112">
        <f>'Q1 FY26-27'!I28</f>
        <v>53837.5</v>
      </c>
      <c r="J28" s="111" t="str">
        <f>I28/E10</f>
        <v>#DIV/0!</v>
      </c>
      <c r="K28" s="58">
        <f>SUM(K18:K27)</f>
        <v>71427186.77</v>
      </c>
      <c r="L28" s="55">
        <f t="shared" si="56"/>
        <v>0.4799601124</v>
      </c>
      <c r="M28" s="56" t="str">
        <f>SUM(M18:M27)</f>
        <v>#REF!</v>
      </c>
      <c r="N28" s="59" t="str">
        <f t="shared" si="58"/>
        <v>#REF!</v>
      </c>
      <c r="O28" s="58">
        <f>SUM(O18:O27)</f>
        <v>18874106.79</v>
      </c>
      <c r="P28" s="113">
        <f t="shared" si="59"/>
        <v>0.4610830057</v>
      </c>
      <c r="Q28" s="56">
        <f>SUM(Q18:Q27)</f>
        <v>2267621.583</v>
      </c>
      <c r="R28" s="113" t="str">
        <f t="shared" si="60"/>
        <v>#DIV/0!</v>
      </c>
      <c r="S28" s="58">
        <f>SUM(S18:S27)</f>
        <v>1594493.74</v>
      </c>
      <c r="T28" s="113">
        <f t="shared" si="61"/>
        <v>0.9563626647</v>
      </c>
      <c r="U28" s="112">
        <f>'Q1 FY26-27'!U28</f>
        <v>76212</v>
      </c>
      <c r="V28" s="113" t="str">
        <f t="shared" si="62"/>
        <v>#DIV/0!</v>
      </c>
      <c r="W28" s="58">
        <f>SUM(W18:W27)</f>
        <v>13328559.3</v>
      </c>
      <c r="X28" s="113">
        <f t="shared" si="63"/>
        <v>0.527173159</v>
      </c>
      <c r="Y28" s="112" t="str">
        <f>'Q1 FY26-27'!Y28</f>
        <v>#REF!</v>
      </c>
      <c r="Z28" s="113" t="str">
        <f t="shared" si="64"/>
        <v>#REF!</v>
      </c>
      <c r="AA28" s="58">
        <f>SUM(AA18:AA27)</f>
        <v>8465905.323</v>
      </c>
      <c r="AB28" s="113">
        <f t="shared" si="65"/>
        <v>0.442184043</v>
      </c>
      <c r="AC28" s="112">
        <f>'Q1 FY26-27'!AC28</f>
        <v>65342.58333</v>
      </c>
      <c r="AD28" s="113" t="str">
        <f t="shared" si="66"/>
        <v>#DIV/0!</v>
      </c>
      <c r="AE28" s="58">
        <f>SUM(AE18:AE27)</f>
        <v>13526887.95</v>
      </c>
      <c r="AF28" s="113">
        <f t="shared" si="67"/>
        <v>0.395144772</v>
      </c>
      <c r="AG28" s="112">
        <f>'Q1 FY26-27'!AG28</f>
        <v>220898.3333</v>
      </c>
      <c r="AH28" s="113" t="str">
        <f t="shared" si="68"/>
        <v>#DIV/0!</v>
      </c>
      <c r="AI28" s="58">
        <f>SUM(AI18:AI27)</f>
        <v>2375002.013</v>
      </c>
      <c r="AJ28" s="113" t="str">
        <f t="shared" si="69"/>
        <v>#DIV/0!</v>
      </c>
      <c r="AK28" s="112">
        <f>'Q1 FY26-27'!AK28</f>
        <v>103672.1667</v>
      </c>
      <c r="AL28" s="113" t="str">
        <f t="shared" si="70"/>
        <v>#DIV/0!</v>
      </c>
      <c r="AM28" s="58">
        <f>SUM(AM18:AM27)</f>
        <v>-0.06000000006</v>
      </c>
      <c r="AN28" s="113">
        <f t="shared" si="71"/>
        <v>-0.00000006179236038</v>
      </c>
      <c r="AO28" s="112">
        <f>'Q1 FY26-27'!AO28</f>
        <v>267286.3333</v>
      </c>
      <c r="AP28" s="113" t="str">
        <f t="shared" si="72"/>
        <v>#DIV/0!</v>
      </c>
      <c r="AQ28" s="58">
        <f>SUM(AQ18:AQ27)</f>
        <v>11118566.06</v>
      </c>
      <c r="AR28" s="113">
        <f t="shared" si="73"/>
        <v>0.4604696234</v>
      </c>
      <c r="AS28" s="112">
        <f>'Q1 FY26-27'!AS28</f>
        <v>261457.75</v>
      </c>
      <c r="AT28" s="114"/>
      <c r="AU28" s="58">
        <f>SUM(AU18:AU27)</f>
        <v>343230.31</v>
      </c>
      <c r="AV28" s="113">
        <f t="shared" si="74"/>
        <v>0.5147216822</v>
      </c>
      <c r="AW28" s="115">
        <f>SUM(AW18:AW27)</f>
        <v>0</v>
      </c>
      <c r="AX28" s="114"/>
      <c r="AY28" s="58">
        <f>SUM(AY18:AY27)</f>
        <v>166501.31</v>
      </c>
      <c r="AZ28" s="116"/>
      <c r="BA28" s="115">
        <f>SUM(BA18:BA27)</f>
        <v>0</v>
      </c>
      <c r="BB28" s="114"/>
      <c r="BC28" s="58">
        <f>SUM(BC18:BC27)</f>
        <v>175321.97</v>
      </c>
      <c r="BD28" s="116"/>
      <c r="BE28" s="115">
        <f>SUM(BE18:BE27)</f>
        <v>0</v>
      </c>
      <c r="BF28" s="114"/>
      <c r="BG28" s="58">
        <f>SUM(BG18:BG27)</f>
        <v>1458612.06</v>
      </c>
      <c r="BH28" s="116"/>
      <c r="BI28" s="115">
        <f>SUM(BI18:BI27)</f>
        <v>0</v>
      </c>
      <c r="BJ28" s="114"/>
    </row>
    <row r="29" ht="15.75" customHeight="1">
      <c r="B29" s="85"/>
      <c r="C29" s="86"/>
      <c r="D29" s="87"/>
      <c r="E29" s="88"/>
      <c r="F29" s="89"/>
      <c r="G29" s="97"/>
      <c r="H29" s="94"/>
      <c r="I29" s="95"/>
      <c r="J29" s="94"/>
      <c r="K29" s="92"/>
      <c r="L29" s="87"/>
      <c r="M29" s="87"/>
      <c r="N29" s="93"/>
      <c r="O29" s="97"/>
      <c r="P29" s="94"/>
      <c r="Q29" s="95"/>
      <c r="R29" s="96"/>
      <c r="S29" s="97"/>
      <c r="T29" s="94"/>
      <c r="U29" s="94"/>
      <c r="V29" s="96"/>
      <c r="W29" s="97"/>
      <c r="X29" s="94"/>
      <c r="Y29" s="94"/>
      <c r="Z29" s="96"/>
      <c r="AA29" s="97"/>
      <c r="AB29" s="94"/>
      <c r="AC29" s="94"/>
      <c r="AD29" s="96"/>
      <c r="AE29" s="97"/>
      <c r="AF29" s="94"/>
      <c r="AG29" s="94"/>
      <c r="AH29" s="96"/>
      <c r="AI29" s="97"/>
      <c r="AJ29" s="94"/>
      <c r="AK29" s="94"/>
      <c r="AL29" s="96"/>
      <c r="AM29" s="97"/>
      <c r="AN29" s="94"/>
      <c r="AO29" s="94"/>
      <c r="AP29" s="96"/>
      <c r="AQ29" s="97"/>
      <c r="AR29" s="94"/>
      <c r="AS29" s="94"/>
      <c r="AT29" s="96"/>
      <c r="AU29" s="90"/>
      <c r="AV29" s="94"/>
      <c r="AW29" s="91"/>
      <c r="AX29" s="96"/>
      <c r="AY29" s="90"/>
      <c r="AZ29" s="94"/>
      <c r="BA29" s="91"/>
      <c r="BB29" s="96"/>
      <c r="BC29" s="90"/>
      <c r="BD29" s="94"/>
      <c r="BE29" s="91"/>
      <c r="BF29" s="96"/>
      <c r="BG29" s="90"/>
      <c r="BH29" s="94"/>
      <c r="BI29" s="91"/>
      <c r="BJ29" s="96"/>
    </row>
    <row r="30" ht="15.75" customHeight="1">
      <c r="A30" s="98"/>
      <c r="B30" s="13" t="s">
        <v>44</v>
      </c>
      <c r="C30" s="54">
        <f>C16-C28</f>
        <v>5558250.177</v>
      </c>
      <c r="D30" s="55">
        <f>C30/C$10</f>
        <v>0.03734906133</v>
      </c>
      <c r="E30" s="56" t="str">
        <f>E16-E28</f>
        <v>#REF!</v>
      </c>
      <c r="F30" s="80" t="str">
        <f>E30/E$10</f>
        <v>#REF!</v>
      </c>
      <c r="G30" s="117">
        <f>G16-G28</f>
        <v>-14101184.77</v>
      </c>
      <c r="H30" s="111">
        <f>G30/C10</f>
        <v>-0.09475392398</v>
      </c>
      <c r="I30" s="112">
        <f>I16-I28</f>
        <v>-53837.5</v>
      </c>
      <c r="J30" s="111" t="str">
        <f>I30/E10</f>
        <v>#DIV/0!</v>
      </c>
      <c r="K30" s="58">
        <f>K16-K28</f>
        <v>19659434.94</v>
      </c>
      <c r="L30" s="55">
        <f>K30/$K$10</f>
        <v>0.1321029853</v>
      </c>
      <c r="M30" s="56" t="str">
        <f>M16-M28</f>
        <v>#REF!</v>
      </c>
      <c r="N30" s="59" t="str">
        <f>M30/M$10</f>
        <v>#REF!</v>
      </c>
      <c r="O30" s="117">
        <f>O16-O28</f>
        <v>7693765.525</v>
      </c>
      <c r="P30" s="113">
        <f>O30/O$10</f>
        <v>0.1879540353</v>
      </c>
      <c r="Q30" s="112">
        <f>Q16-Q28</f>
        <v>-2267621.583</v>
      </c>
      <c r="R30" s="113" t="str">
        <f>Q30/Q$10</f>
        <v>#DIV/0!</v>
      </c>
      <c r="S30" s="117">
        <f>S16-S28</f>
        <v>-573873.1933</v>
      </c>
      <c r="T30" s="113">
        <f>S30/S$10</f>
        <v>-0.3442038577</v>
      </c>
      <c r="U30" s="112">
        <f>U16-U28</f>
        <v>-76212</v>
      </c>
      <c r="V30" s="113" t="str">
        <f>U30/U$10</f>
        <v>#DIV/0!</v>
      </c>
      <c r="W30" s="117">
        <f>W16-W28</f>
        <v>1718626.098</v>
      </c>
      <c r="X30" s="113">
        <f>W30/W$10</f>
        <v>0.06797535491</v>
      </c>
      <c r="Y30" s="112" t="str">
        <f>Y16-Y28</f>
        <v>#REF!</v>
      </c>
      <c r="Z30" s="113" t="str">
        <f>Y30/Y$10</f>
        <v>#REF!</v>
      </c>
      <c r="AA30" s="117">
        <f>AA16-AA28</f>
        <v>3294340.536</v>
      </c>
      <c r="AB30" s="113">
        <f>AA30/AA$10</f>
        <v>0.1720672228</v>
      </c>
      <c r="AC30" s="112">
        <f>AC16-AC28</f>
        <v>-65342.58333</v>
      </c>
      <c r="AD30" s="113" t="str">
        <f>AC30/AC$10</f>
        <v>#DIV/0!</v>
      </c>
      <c r="AE30" s="117">
        <f>AE16-AE28</f>
        <v>8770468.74</v>
      </c>
      <c r="AF30" s="113">
        <f>AE30/AE$10</f>
        <v>0.256201196</v>
      </c>
      <c r="AG30" s="112">
        <f>AG16-AG28</f>
        <v>-220898.3333</v>
      </c>
      <c r="AH30" s="113" t="str">
        <f>AG30/AG$10</f>
        <v>#DIV/0!</v>
      </c>
      <c r="AI30" s="117">
        <f>AI16-AI28</f>
        <v>-2376032.013</v>
      </c>
      <c r="AJ30" s="113" t="str">
        <f>AI30/AI$10</f>
        <v>#DIV/0!</v>
      </c>
      <c r="AK30" s="112">
        <f>AK16-AK28</f>
        <v>-103672.1667</v>
      </c>
      <c r="AL30" s="113" t="str">
        <f>AK30/AK$10</f>
        <v>#DIV/0!</v>
      </c>
      <c r="AM30" s="117">
        <f>AM16-AM28</f>
        <v>-929566.1041</v>
      </c>
      <c r="AN30" s="113">
        <f>AM30/AM$10</f>
        <v>-0.9573347275</v>
      </c>
      <c r="AO30" s="112">
        <f>AO16-AO28</f>
        <v>-267286.3333</v>
      </c>
      <c r="AP30" s="113" t="str">
        <f>AO30/AO$10</f>
        <v>#DIV/0!</v>
      </c>
      <c r="AQ30" s="117">
        <f>AQ16-AQ28</f>
        <v>3506230.149</v>
      </c>
      <c r="AR30" s="113">
        <f>AQ30/AQ$10</f>
        <v>0.1452086957</v>
      </c>
      <c r="AS30" s="112">
        <f>AS16-AS28</f>
        <v>-261457.75</v>
      </c>
      <c r="AT30" s="113" t="str">
        <f>AS30/AS$10</f>
        <v>#DIV/0!</v>
      </c>
      <c r="AU30" s="118">
        <f>AU16-AU28</f>
        <v>-123531.4418</v>
      </c>
      <c r="AV30" s="113">
        <f>AU30/AU$10</f>
        <v>-0.1852526122</v>
      </c>
      <c r="AW30" s="115">
        <f>AW16-AW28</f>
        <v>0</v>
      </c>
      <c r="AX30" s="114"/>
      <c r="AY30" s="118">
        <f>AY16-AY28</f>
        <v>-287048.4254</v>
      </c>
      <c r="AZ30" s="116"/>
      <c r="BA30" s="115">
        <f>BA16-BA28</f>
        <v>0</v>
      </c>
      <c r="BB30" s="114"/>
      <c r="BC30" s="118">
        <f>BC16-BC28</f>
        <v>-369427.625</v>
      </c>
      <c r="BD30" s="116"/>
      <c r="BE30" s="115">
        <f>BE16-BE28</f>
        <v>0</v>
      </c>
      <c r="BF30" s="114"/>
      <c r="BG30" s="118">
        <f>BG16-BG28</f>
        <v>-664517.3009</v>
      </c>
      <c r="BH30" s="116"/>
      <c r="BI30" s="115">
        <f>BI16-BI28</f>
        <v>0</v>
      </c>
      <c r="BJ30" s="114"/>
    </row>
    <row r="31" ht="15.75" customHeight="1"/>
    <row r="32" ht="15.75" customHeight="1">
      <c r="C32" s="119"/>
      <c r="D32" s="120"/>
      <c r="K32" s="119"/>
      <c r="L32" s="120"/>
      <c r="Q32" s="121"/>
    </row>
    <row r="33" ht="15.75" customHeight="1">
      <c r="C33" s="119">
        <f>'Q1 FY26-27'!C10</f>
        <v>148819005.8</v>
      </c>
      <c r="E33" s="122"/>
      <c r="G33" s="119">
        <f>'Q1 FY26-27'!G10</f>
        <v>0</v>
      </c>
      <c r="K33" s="119">
        <f>'Q1 FY26-27'!K10</f>
        <v>148819005.8</v>
      </c>
      <c r="L33" s="123"/>
      <c r="M33" s="123"/>
      <c r="O33" s="119">
        <f>'Q1 FY26-27'!O10</f>
        <v>40934292.87</v>
      </c>
      <c r="Q33" s="121"/>
      <c r="S33" s="119">
        <f>'Q1 FY26-27'!S10</f>
        <v>1667248</v>
      </c>
      <c r="W33" s="119">
        <f>'Q1 FY26-27'!W10</f>
        <v>25283076.49</v>
      </c>
      <c r="AA33" s="119">
        <f>'Q1 FY26-27'!AA10</f>
        <v>19145659.95</v>
      </c>
      <c r="AE33" s="119">
        <f>'Q1 FY26-27'!AE10</f>
        <v>34232739.25</v>
      </c>
      <c r="AI33" s="119">
        <f>'Q1 FY26-27'!AI10</f>
        <v>0</v>
      </c>
      <c r="AM33" s="119">
        <f>'Q1 FY26-27'!AM10</f>
        <v>970993.82</v>
      </c>
      <c r="AQ33" s="119">
        <f>'Q1 FY26-27'!AQ10</f>
        <v>24146144.5</v>
      </c>
      <c r="AU33" s="119">
        <f>'Q1 FY26-27'!AU10</f>
        <v>666826.99</v>
      </c>
      <c r="AY33" s="119">
        <f>'Q1 FY26-27'!AY10</f>
        <v>228077.89</v>
      </c>
      <c r="BC33" s="119">
        <f>'Q1 FY26-27'!BC10</f>
        <v>306961.08</v>
      </c>
      <c r="BG33" s="119">
        <f>'Q1 FY26-27'!BG10</f>
        <v>1236985</v>
      </c>
    </row>
    <row r="34" ht="15.75" customHeight="1">
      <c r="B34" s="124"/>
      <c r="C34" s="123"/>
      <c r="J34" s="119"/>
      <c r="K34" s="123"/>
      <c r="L34" s="123"/>
      <c r="M34" s="123"/>
      <c r="O34" s="123"/>
      <c r="S34" s="123"/>
      <c r="W34" s="123"/>
      <c r="AA34" s="123"/>
      <c r="AE34" s="123"/>
      <c r="AI34" s="123"/>
      <c r="AM34" s="123"/>
      <c r="AQ34" s="123"/>
      <c r="AU34" s="123"/>
      <c r="AY34" s="123"/>
      <c r="BC34" s="123"/>
      <c r="BG34" s="123"/>
    </row>
    <row r="35" ht="15.75" customHeight="1">
      <c r="C35" s="123">
        <f>C10-C33</f>
        <v>0</v>
      </c>
      <c r="G35" s="119">
        <f>G10-G33</f>
        <v>0</v>
      </c>
      <c r="J35" s="119"/>
      <c r="K35" s="123">
        <f>K10-K33</f>
        <v>0</v>
      </c>
      <c r="L35" s="123"/>
      <c r="M35" s="123"/>
      <c r="O35" s="123">
        <f>O10-O33</f>
        <v>0</v>
      </c>
      <c r="Q35" s="119"/>
      <c r="S35" s="123">
        <f>S10-S33</f>
        <v>0</v>
      </c>
      <c r="W35" s="123">
        <f>W10-W33</f>
        <v>0</v>
      </c>
      <c r="AA35" s="123">
        <f>AA10-AA33</f>
        <v>0</v>
      </c>
      <c r="AE35" s="123">
        <f>AE10-AE33</f>
        <v>0</v>
      </c>
      <c r="AI35" s="123">
        <f>AI10-AI33</f>
        <v>0</v>
      </c>
      <c r="AM35" s="123">
        <f>AM10-AM33</f>
        <v>0</v>
      </c>
      <c r="AQ35" s="123">
        <f>AQ10-AQ33</f>
        <v>0</v>
      </c>
      <c r="AU35" s="123">
        <f>AU10-AU33</f>
        <v>0</v>
      </c>
      <c r="AY35" s="123">
        <f>AY10-AY33</f>
        <v>0</v>
      </c>
      <c r="BC35" s="123">
        <f>BC10-BC33</f>
        <v>0</v>
      </c>
      <c r="BG35" s="123">
        <f>BG10-BG33</f>
        <v>0</v>
      </c>
    </row>
    <row r="36" ht="15.75" customHeight="1">
      <c r="C36" s="125"/>
      <c r="K36" s="125"/>
      <c r="L36" s="123"/>
      <c r="M36" s="125"/>
      <c r="O36" s="123"/>
      <c r="S36" s="123"/>
      <c r="W36" s="123"/>
      <c r="AA36" s="123"/>
      <c r="AE36" s="123"/>
      <c r="AI36" s="123"/>
      <c r="AM36" s="123"/>
      <c r="AQ36" s="123"/>
      <c r="AU36" s="123"/>
      <c r="AY36" s="123"/>
      <c r="BC36" s="123"/>
      <c r="BG36" s="123"/>
    </row>
    <row r="37" ht="15.75" customHeight="1"/>
    <row r="38" ht="15.75" customHeight="1">
      <c r="C38" s="123"/>
      <c r="K38" s="123"/>
      <c r="L38" s="123"/>
      <c r="M38" s="123"/>
      <c r="O38" s="123"/>
      <c r="S38" s="123"/>
      <c r="W38" s="123"/>
      <c r="AA38" s="123"/>
      <c r="AE38" s="123"/>
      <c r="AI38" s="123"/>
      <c r="AM38" s="123"/>
      <c r="AQ38" s="123"/>
      <c r="AU38" s="123"/>
      <c r="AY38" s="123"/>
      <c r="BC38" s="123"/>
      <c r="BG38" s="123"/>
    </row>
    <row r="39" ht="15.75" customHeight="1">
      <c r="C39" s="123"/>
      <c r="K39" s="123"/>
      <c r="O39" s="123"/>
      <c r="S39" s="123"/>
      <c r="W39" s="123"/>
      <c r="AA39" s="123"/>
      <c r="AE39" s="123"/>
      <c r="AI39" s="123"/>
      <c r="AM39" s="123"/>
      <c r="AQ39" s="123"/>
      <c r="AU39" s="125"/>
      <c r="AY39" s="125"/>
      <c r="BC39" s="125"/>
      <c r="BG39" s="12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3" width="11.88"/>
    <col customWidth="1" min="4" max="4" width="11.38"/>
    <col customWidth="1" min="5" max="5" width="11.88"/>
    <col customWidth="1" min="6" max="6" width="12.63"/>
    <col customWidth="1" min="7" max="7" width="15.0"/>
    <col customWidth="1" min="8" max="8" width="11.25"/>
    <col customWidth="1" min="9" max="10" width="12.63"/>
    <col customWidth="1" min="11" max="11" width="14.25"/>
    <col customWidth="1" min="12" max="12" width="12.63"/>
    <col customWidth="1" min="13" max="13" width="14.25"/>
    <col customWidth="1" min="14" max="14" width="12.63"/>
    <col customWidth="1" min="15" max="15" width="14.25"/>
    <col customWidth="1" min="16" max="16" width="12.63"/>
    <col customWidth="1" min="17" max="17" width="14.25"/>
    <col customWidth="1" min="18" max="18" width="12.63"/>
    <col customWidth="1" min="19" max="19" width="12.75"/>
    <col customWidth="1" min="20" max="20" width="12.63"/>
    <col customWidth="1" min="21" max="21" width="12.75"/>
    <col customWidth="1" min="22" max="22" width="12.63"/>
    <col customWidth="1" min="23" max="23" width="14.25"/>
    <col customWidth="1" min="24" max="24" width="12.63"/>
    <col customWidth="1" min="25" max="25" width="14.25"/>
    <col customWidth="1" min="26" max="26" width="12.63"/>
    <col customWidth="1" min="27" max="27" width="12.75"/>
    <col customWidth="1" min="28" max="28" width="12.63"/>
    <col customWidth="1" min="29" max="29" width="12.75"/>
    <col customWidth="1" min="30" max="30" width="12.63"/>
    <col customWidth="1" min="31" max="31" width="14.25"/>
    <col customWidth="1" min="32" max="32" width="12.63"/>
    <col customWidth="1" min="33" max="33" width="14.25"/>
    <col customWidth="1" min="34" max="34" width="12.63"/>
    <col customWidth="1" min="35" max="35" width="12.75"/>
    <col customWidth="1" min="36" max="36" width="12.63"/>
    <col customWidth="1" min="37" max="37" width="12.75"/>
    <col customWidth="1" min="38" max="38" width="12.63"/>
    <col customWidth="1" min="39" max="39" width="12.75"/>
    <col customWidth="1" min="40" max="40" width="12.63"/>
    <col customWidth="1" min="41" max="41" width="12.75"/>
    <col customWidth="1" min="42" max="42" width="12.63"/>
    <col customWidth="1" min="43" max="43" width="12.75"/>
    <col customWidth="1" min="44" max="44" width="12.63"/>
    <col customWidth="1" min="45" max="45" width="12.75"/>
    <col customWidth="1" min="46" max="46" width="12.63"/>
    <col customWidth="1" min="47" max="47" width="12.75"/>
    <col customWidth="1" min="48" max="48" width="12.63"/>
    <col customWidth="1" min="49" max="49" width="12.75"/>
    <col customWidth="1" min="50" max="50" width="12.63"/>
    <col customWidth="1" min="51" max="51" width="12.75"/>
    <col customWidth="1" min="52" max="52" width="12.63"/>
    <col customWidth="1" min="53" max="53" width="12.75"/>
    <col customWidth="1" min="54" max="62" width="12.63"/>
  </cols>
  <sheetData>
    <row r="1" ht="15.75" customHeight="1">
      <c r="A1" s="2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15.75" customHeight="1">
      <c r="A2" s="2"/>
      <c r="B2" s="3" t="s">
        <v>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ht="15.75" customHeight="1">
      <c r="A3" s="126"/>
      <c r="B3" s="4"/>
      <c r="C3" s="127" t="s">
        <v>46</v>
      </c>
      <c r="D3" s="6"/>
      <c r="E3" s="6"/>
      <c r="F3" s="7"/>
      <c r="G3" s="128" t="s">
        <v>3</v>
      </c>
      <c r="H3" s="6"/>
      <c r="I3" s="6"/>
      <c r="J3" s="129"/>
      <c r="K3" s="127" t="s">
        <v>4</v>
      </c>
      <c r="L3" s="6"/>
      <c r="M3" s="6"/>
      <c r="N3" s="7"/>
      <c r="O3" s="130" t="s">
        <v>5</v>
      </c>
      <c r="P3" s="6"/>
      <c r="Q3" s="6"/>
      <c r="R3" s="7"/>
      <c r="S3" s="127" t="s">
        <v>6</v>
      </c>
      <c r="T3" s="6"/>
      <c r="U3" s="6"/>
      <c r="V3" s="7"/>
      <c r="W3" s="127" t="s">
        <v>7</v>
      </c>
      <c r="X3" s="6"/>
      <c r="Y3" s="6"/>
      <c r="Z3" s="7"/>
      <c r="AA3" s="127" t="s">
        <v>8</v>
      </c>
      <c r="AB3" s="6"/>
      <c r="AC3" s="6"/>
      <c r="AD3" s="7"/>
      <c r="AE3" s="127" t="s">
        <v>9</v>
      </c>
      <c r="AF3" s="6"/>
      <c r="AG3" s="6"/>
      <c r="AH3" s="7"/>
      <c r="AI3" s="127" t="s">
        <v>10</v>
      </c>
      <c r="AJ3" s="6"/>
      <c r="AK3" s="6"/>
      <c r="AL3" s="7"/>
      <c r="AM3" s="127" t="s">
        <v>11</v>
      </c>
      <c r="AN3" s="6"/>
      <c r="AO3" s="6"/>
      <c r="AP3" s="7"/>
      <c r="AQ3" s="127" t="s">
        <v>12</v>
      </c>
      <c r="AR3" s="6"/>
      <c r="AS3" s="6"/>
      <c r="AT3" s="7"/>
      <c r="AU3" s="127" t="s">
        <v>13</v>
      </c>
      <c r="AV3" s="6"/>
      <c r="AW3" s="6"/>
      <c r="AX3" s="7"/>
      <c r="AY3" s="127" t="s">
        <v>14</v>
      </c>
      <c r="AZ3" s="6"/>
      <c r="BA3" s="6"/>
      <c r="BB3" s="7"/>
      <c r="BC3" s="131" t="s">
        <v>15</v>
      </c>
      <c r="BD3" s="10"/>
      <c r="BE3" s="10"/>
      <c r="BF3" s="12"/>
      <c r="BG3" s="131" t="s">
        <v>47</v>
      </c>
      <c r="BH3" s="10"/>
      <c r="BI3" s="10"/>
      <c r="BJ3" s="12"/>
    </row>
    <row r="4" ht="15.75" customHeight="1">
      <c r="A4" s="126"/>
      <c r="B4" s="13"/>
      <c r="C4" s="132" t="s">
        <v>17</v>
      </c>
      <c r="D4" s="133" t="s">
        <v>18</v>
      </c>
      <c r="E4" s="133" t="s">
        <v>19</v>
      </c>
      <c r="F4" s="134" t="s">
        <v>18</v>
      </c>
      <c r="G4" s="135" t="s">
        <v>17</v>
      </c>
      <c r="H4" s="133" t="s">
        <v>18</v>
      </c>
      <c r="I4" s="133" t="s">
        <v>19</v>
      </c>
      <c r="J4" s="136" t="s">
        <v>18</v>
      </c>
      <c r="K4" s="132" t="s">
        <v>17</v>
      </c>
      <c r="L4" s="133" t="s">
        <v>18</v>
      </c>
      <c r="M4" s="133" t="s">
        <v>19</v>
      </c>
      <c r="N4" s="134" t="s">
        <v>18</v>
      </c>
      <c r="O4" s="137" t="s">
        <v>17</v>
      </c>
      <c r="P4" s="133" t="s">
        <v>18</v>
      </c>
      <c r="Q4" s="133" t="s">
        <v>19</v>
      </c>
      <c r="R4" s="138" t="s">
        <v>18</v>
      </c>
      <c r="S4" s="131" t="s">
        <v>17</v>
      </c>
      <c r="T4" s="133" t="s">
        <v>18</v>
      </c>
      <c r="U4" s="133" t="s">
        <v>19</v>
      </c>
      <c r="V4" s="138" t="s">
        <v>18</v>
      </c>
      <c r="W4" s="131" t="s">
        <v>17</v>
      </c>
      <c r="X4" s="133" t="s">
        <v>18</v>
      </c>
      <c r="Y4" s="133" t="s">
        <v>19</v>
      </c>
      <c r="Z4" s="138" t="s">
        <v>18</v>
      </c>
      <c r="AA4" s="131" t="s">
        <v>17</v>
      </c>
      <c r="AB4" s="133" t="s">
        <v>18</v>
      </c>
      <c r="AC4" s="133" t="s">
        <v>19</v>
      </c>
      <c r="AD4" s="138" t="s">
        <v>18</v>
      </c>
      <c r="AE4" s="131" t="s">
        <v>17</v>
      </c>
      <c r="AF4" s="133" t="s">
        <v>18</v>
      </c>
      <c r="AG4" s="133" t="s">
        <v>19</v>
      </c>
      <c r="AH4" s="138" t="s">
        <v>18</v>
      </c>
      <c r="AI4" s="131" t="s">
        <v>17</v>
      </c>
      <c r="AJ4" s="133" t="s">
        <v>18</v>
      </c>
      <c r="AK4" s="133" t="s">
        <v>19</v>
      </c>
      <c r="AL4" s="138" t="s">
        <v>18</v>
      </c>
      <c r="AM4" s="131" t="s">
        <v>17</v>
      </c>
      <c r="AN4" s="133" t="s">
        <v>18</v>
      </c>
      <c r="AO4" s="133" t="s">
        <v>19</v>
      </c>
      <c r="AP4" s="138" t="s">
        <v>18</v>
      </c>
      <c r="AQ4" s="131" t="s">
        <v>17</v>
      </c>
      <c r="AR4" s="133" t="s">
        <v>18</v>
      </c>
      <c r="AS4" s="133" t="s">
        <v>19</v>
      </c>
      <c r="AT4" s="138" t="s">
        <v>18</v>
      </c>
      <c r="AU4" s="131" t="s">
        <v>17</v>
      </c>
      <c r="AV4" s="133" t="s">
        <v>18</v>
      </c>
      <c r="AW4" s="133" t="s">
        <v>19</v>
      </c>
      <c r="AX4" s="138" t="s">
        <v>18</v>
      </c>
      <c r="AY4" s="131" t="s">
        <v>17</v>
      </c>
      <c r="AZ4" s="133" t="s">
        <v>18</v>
      </c>
      <c r="BA4" s="133" t="s">
        <v>19</v>
      </c>
      <c r="BB4" s="138" t="s">
        <v>18</v>
      </c>
      <c r="BC4" s="131" t="s">
        <v>17</v>
      </c>
      <c r="BD4" s="133" t="s">
        <v>18</v>
      </c>
      <c r="BE4" s="133" t="s">
        <v>19</v>
      </c>
      <c r="BF4" s="138" t="s">
        <v>18</v>
      </c>
      <c r="BG4" s="131" t="s">
        <v>17</v>
      </c>
      <c r="BH4" s="133" t="s">
        <v>18</v>
      </c>
      <c r="BI4" s="133" t="s">
        <v>19</v>
      </c>
      <c r="BJ4" s="138" t="s">
        <v>18</v>
      </c>
    </row>
    <row r="5" ht="15.75" customHeight="1">
      <c r="A5" s="2"/>
      <c r="B5" s="139" t="s">
        <v>21</v>
      </c>
      <c r="C5" s="72">
        <f t="shared" ref="C5:C9" si="1">G5+K5</f>
        <v>11608399.75</v>
      </c>
      <c r="D5" s="21">
        <f t="shared" ref="D5:D9" si="2">C5/$C$10</f>
        <v>0.078003476</v>
      </c>
      <c r="E5" s="22">
        <f t="shared" ref="E5:E9" si="3">I5+M5</f>
        <v>0</v>
      </c>
      <c r="F5" s="23" t="str">
        <f t="shared" ref="F5:F9" si="4">E5/$E$10</f>
        <v>#DIV/0!</v>
      </c>
      <c r="G5" s="140">
        <f>'Summary Sheet - April 2026'!G5 + 'Summary Sheet - May 2026'!G5 + 'Summary Sheet - June 2026'!G5</f>
        <v>0</v>
      </c>
      <c r="H5" s="74"/>
      <c r="I5" s="140">
        <f>'Summary Sheet - April 2026'!I5 + 'Summary Sheet - May 2026'!I5 + 'Summary Sheet - June 2026'!I5</f>
        <v>0</v>
      </c>
      <c r="J5" s="141"/>
      <c r="K5" s="72">
        <f t="shared" ref="K5:K9" si="5">O5+S5+W5+AA5+AE5+AI5+AM5+AQ5+AU5+AY5+BC5+BG5</f>
        <v>11608399.75</v>
      </c>
      <c r="L5" s="142"/>
      <c r="M5" s="22">
        <f t="shared" ref="M5:M9" si="6">Q5+U5+Y5+AC5+AG5+AK5+AO5</f>
        <v>0</v>
      </c>
      <c r="N5" s="143"/>
      <c r="O5" s="144">
        <f>'Summary Sheet - April 2026'!O5 + 'Summary Sheet - May 2026'!O5 + 'Summary Sheet - June 2026'!O5</f>
        <v>2407580</v>
      </c>
      <c r="P5" s="25"/>
      <c r="Q5" s="31">
        <f>'Summary Sheet - April 2026'!Q5 + 'Summary Sheet - May 2026'!Q5 + 'Summary Sheet - June 2026'!Q5</f>
        <v>0</v>
      </c>
      <c r="R5" s="145"/>
      <c r="S5" s="146">
        <f>'Summary Sheet - April 2026'!S5 + 'Summary Sheet - May 2026'!S5 + 'Summary Sheet - June 2026'!S5</f>
        <v>0</v>
      </c>
      <c r="T5" s="25"/>
      <c r="U5" s="31">
        <f>'Summary Sheet - April 2026'!U5 + 'Summary Sheet - May 2026'!U5 + 'Summary Sheet - June 2026'!U5</f>
        <v>0</v>
      </c>
      <c r="V5" s="145"/>
      <c r="W5" s="146">
        <f>'Summary Sheet - April 2026'!W5+'Summary Sheet - May 2026'!W5 + 'Summary Sheet - June 2026'!W5</f>
        <v>2398144</v>
      </c>
      <c r="X5" s="25"/>
      <c r="Y5" s="31">
        <f>'Summary Sheet - April 2026'!Y5+'Summary Sheet - May 2026'!Y5 + 'Summary Sheet - June 2026'!Y5</f>
        <v>0</v>
      </c>
      <c r="Z5" s="145"/>
      <c r="AA5" s="146">
        <f>'Summary Sheet - April 2026'!AA5 + 'Summary Sheet - May 2026'!AA5 + 'Summary Sheet - June 2026'!AA5</f>
        <v>2390099.75</v>
      </c>
      <c r="AB5" s="25"/>
      <c r="AC5" s="31">
        <f>'Summary Sheet - April 2026'!AC5 + 'Summary Sheet - May 2026'!AC5 + 'Summary Sheet - June 2026'!AC5</f>
        <v>0</v>
      </c>
      <c r="AD5" s="145"/>
      <c r="AE5" s="146">
        <f>'Summary Sheet - April 2026'!AE5 + 'Summary Sheet - May 2026'!AE5 + 'Summary Sheet - June 2026'!AE5</f>
        <v>3237788.5</v>
      </c>
      <c r="AF5" s="25"/>
      <c r="AG5" s="31">
        <f>'Summary Sheet - April 2026'!AG5 + 'Summary Sheet - May 2026'!AG5 + 'Summary Sheet - June 2026'!AG5</f>
        <v>0</v>
      </c>
      <c r="AH5" s="145"/>
      <c r="AI5" s="146">
        <f>'Summary Sheet - April 2026'!AI5 + 'Summary Sheet - May 2026'!AI5 + 'Summary Sheet - June 2026'!AI5</f>
        <v>0</v>
      </c>
      <c r="AJ5" s="25"/>
      <c r="AK5" s="31">
        <f>'Summary Sheet - April 2026'!AK5 + 'Summary Sheet - May 2026'!AK5 + 'Summary Sheet - June 2026'!AK5</f>
        <v>0</v>
      </c>
      <c r="AL5" s="145"/>
      <c r="AM5" s="146">
        <f>'Summary Sheet - April 2026'!AM5 + 'Summary Sheet - May 2026'!AM5 + 'Summary Sheet - June 2026'!AM5</f>
        <v>0</v>
      </c>
      <c r="AN5" s="25"/>
      <c r="AO5" s="31">
        <f>'Summary Sheet - April 2026'!AO5 + 'Summary Sheet - May 2026'!AO5 + 'Summary Sheet - June 2026'!AO5</f>
        <v>0</v>
      </c>
      <c r="AP5" s="145"/>
      <c r="AQ5" s="146">
        <f>'Summary Sheet - April 2026'!AQ5 + 'Summary Sheet - May 2026'!AQ5 + 'Summary Sheet - June 2026'!AQ5</f>
        <v>1174787.5</v>
      </c>
      <c r="AR5" s="25"/>
      <c r="AS5" s="31">
        <f>'Summary Sheet - April 2026'!AS5 + 'Summary Sheet - May 2026'!AS5 + 'Summary Sheet - June 2026'!AS5</f>
        <v>0</v>
      </c>
      <c r="AT5" s="145"/>
      <c r="AU5" s="146">
        <f>'Summary Sheet - April 2026'!AU5 + 'Summary Sheet - May 2026'!AU5 + 'Summary Sheet - June 2026'!AU5</f>
        <v>0</v>
      </c>
      <c r="AV5" s="31"/>
      <c r="AW5" s="31">
        <f>'Summary Sheet - April 2026'!AW5 + 'Summary Sheet - May 2026'!AW5 + 'Summary Sheet - June 2026'!AW5</f>
        <v>0</v>
      </c>
      <c r="AX5" s="145"/>
      <c r="AY5" s="147">
        <f>'Summary Sheet - April 2026'!AY5 + 'Summary Sheet - May 2026'!AY5 + 'Summary Sheet - June 2026'!AY5</f>
        <v>0</v>
      </c>
      <c r="AZ5" s="25"/>
      <c r="BA5" s="43">
        <f>'Summary Sheet - April 2026'!BA5 + 'Summary Sheet - May 2026'!BA5 + 'Summary Sheet - June 2026'!BA5</f>
        <v>0</v>
      </c>
      <c r="BB5" s="145"/>
      <c r="BC5" s="147">
        <f>'Summary Sheet - April 2026'!BC5 + 'Summary Sheet - May 2026'!BC5 + 'Summary Sheet - June 2026'!BC5</f>
        <v>0</v>
      </c>
      <c r="BD5" s="25"/>
      <c r="BE5" s="43">
        <f>'Summary Sheet - April 2026'!BE5 + 'Summary Sheet - May 2026'!BE5 + 'Summary Sheet - June 2026'!BE5</f>
        <v>0</v>
      </c>
      <c r="BF5" s="145"/>
      <c r="BG5" s="147">
        <f>'Summary Sheet - April 2026'!BG5 + 'Summary Sheet - May 2026'!BG5 + 'Summary Sheet - June 2026'!BG5</f>
        <v>0</v>
      </c>
      <c r="BH5" s="25"/>
      <c r="BI5" s="43">
        <f>'Summary Sheet - April 2026'!BI5 + 'Summary Sheet - May 2026'!BI5 + 'Summary Sheet - June 2026'!BI5</f>
        <v>0</v>
      </c>
      <c r="BJ5" s="145"/>
    </row>
    <row r="6" ht="15.75" customHeight="1">
      <c r="A6" s="2"/>
      <c r="B6" s="148" t="s">
        <v>22</v>
      </c>
      <c r="C6" s="20">
        <f t="shared" si="1"/>
        <v>24020516</v>
      </c>
      <c r="D6" s="21">
        <f t="shared" si="2"/>
        <v>0.1614075828</v>
      </c>
      <c r="E6" s="36">
        <f t="shared" si="3"/>
        <v>0</v>
      </c>
      <c r="F6" s="23" t="str">
        <f t="shared" si="4"/>
        <v>#DIV/0!</v>
      </c>
      <c r="G6" s="140">
        <f>'Summary Sheet - April 2026'!G6 + 'Summary Sheet - May 2026'!G6 + 'Summary Sheet - June 2026'!G6</f>
        <v>0</v>
      </c>
      <c r="H6" s="149"/>
      <c r="I6" s="140">
        <f>'Summary Sheet - April 2026'!I6 + 'Summary Sheet - May 2026'!I6 + 'Summary Sheet - June 2026'!I6</f>
        <v>0</v>
      </c>
      <c r="J6" s="150"/>
      <c r="K6" s="72">
        <f t="shared" si="5"/>
        <v>24020516</v>
      </c>
      <c r="L6" s="151"/>
      <c r="M6" s="36">
        <f t="shared" si="6"/>
        <v>0</v>
      </c>
      <c r="N6" s="152"/>
      <c r="O6" s="144">
        <f>'Summary Sheet - April 2026'!O6 + 'Summary Sheet - May 2026'!O6 + 'Summary Sheet - June 2026'!O6</f>
        <v>9818016</v>
      </c>
      <c r="P6" s="38"/>
      <c r="Q6" s="31">
        <f>'Summary Sheet - April 2026'!Q6 + 'Summary Sheet - May 2026'!Q6 + 'Summary Sheet - June 2026'!Q6</f>
        <v>0</v>
      </c>
      <c r="R6" s="153"/>
      <c r="S6" s="146">
        <f>'Summary Sheet - April 2026'!S6 + 'Summary Sheet - May 2026'!S6 + 'Summary Sheet - June 2026'!S6</f>
        <v>0</v>
      </c>
      <c r="T6" s="38"/>
      <c r="U6" s="31">
        <f>'Summary Sheet - April 2026'!U6 + 'Summary Sheet - May 2026'!U6 + 'Summary Sheet - June 2026'!U6</f>
        <v>0</v>
      </c>
      <c r="V6" s="153"/>
      <c r="W6" s="146">
        <f>'Summary Sheet - April 2026'!W6+'Summary Sheet - May 2026'!W6 + 'Summary Sheet - June 2026'!W6</f>
        <v>1505040</v>
      </c>
      <c r="X6" s="38"/>
      <c r="Y6" s="31">
        <f>'Summary Sheet - April 2026'!Y6+'Summary Sheet - May 2026'!Y6 + 'Summary Sheet - June 2026'!Y6</f>
        <v>0</v>
      </c>
      <c r="Z6" s="153"/>
      <c r="AA6" s="146">
        <f>'Summary Sheet - April 2026'!AA6 + 'Summary Sheet - May 2026'!AA6 + 'Summary Sheet - June 2026'!AA6</f>
        <v>0</v>
      </c>
      <c r="AB6" s="38"/>
      <c r="AC6" s="31">
        <f>'Summary Sheet - April 2026'!AC6 + 'Summary Sheet - May 2026'!AC6 + 'Summary Sheet - June 2026'!AC6</f>
        <v>0</v>
      </c>
      <c r="AD6" s="153"/>
      <c r="AE6" s="146">
        <f>'Summary Sheet - April 2026'!AE6 + 'Summary Sheet - May 2026'!AE6 + 'Summary Sheet - June 2026'!AE6</f>
        <v>4194442.5</v>
      </c>
      <c r="AF6" s="38"/>
      <c r="AG6" s="31">
        <f>'Summary Sheet - April 2026'!AG6 + 'Summary Sheet - May 2026'!AG6 + 'Summary Sheet - June 2026'!AG6</f>
        <v>0</v>
      </c>
      <c r="AH6" s="153"/>
      <c r="AI6" s="146">
        <f>'Summary Sheet - April 2026'!AI6 + 'Summary Sheet - May 2026'!AI6 + 'Summary Sheet - June 2026'!AI6</f>
        <v>0</v>
      </c>
      <c r="AJ6" s="38"/>
      <c r="AK6" s="31">
        <f>'Summary Sheet - April 2026'!AK6 + 'Summary Sheet - May 2026'!AK6 + 'Summary Sheet - June 2026'!AK6</f>
        <v>0</v>
      </c>
      <c r="AL6" s="153"/>
      <c r="AM6" s="146">
        <f>'Summary Sheet - April 2026'!AM6 + 'Summary Sheet - May 2026'!AM6 + 'Summary Sheet - June 2026'!AM6</f>
        <v>0</v>
      </c>
      <c r="AN6" s="38"/>
      <c r="AO6" s="31">
        <f>'Summary Sheet - April 2026'!AO6 + 'Summary Sheet - May 2026'!AO6 + 'Summary Sheet - June 2026'!AO6</f>
        <v>0</v>
      </c>
      <c r="AP6" s="153"/>
      <c r="AQ6" s="146">
        <f>'Summary Sheet - April 2026'!AQ6 + 'Summary Sheet - May 2026'!AQ6 + 'Summary Sheet - June 2026'!AQ6</f>
        <v>8503017.5</v>
      </c>
      <c r="AR6" s="38"/>
      <c r="AS6" s="31">
        <f>'Summary Sheet - April 2026'!AS6 + 'Summary Sheet - May 2026'!AS6 + 'Summary Sheet - June 2026'!AS6</f>
        <v>0</v>
      </c>
      <c r="AT6" s="153"/>
      <c r="AU6" s="146">
        <f>'Summary Sheet - April 2026'!AU6 + 'Summary Sheet - May 2026'!AU6 + 'Summary Sheet - June 2026'!AU6</f>
        <v>0</v>
      </c>
      <c r="AV6" s="38"/>
      <c r="AW6" s="31">
        <f>'Summary Sheet - April 2026'!AW6 + 'Summary Sheet - May 2026'!AW6 + 'Summary Sheet - June 2026'!AW6</f>
        <v>0</v>
      </c>
      <c r="AX6" s="153"/>
      <c r="AY6" s="147">
        <f>'Summary Sheet - April 2026'!AY6 + 'Summary Sheet - May 2026'!AY6 + 'Summary Sheet - June 2026'!AY6</f>
        <v>0</v>
      </c>
      <c r="AZ6" s="38"/>
      <c r="BA6" s="43">
        <f>'Summary Sheet - April 2026'!BA6 + 'Summary Sheet - May 2026'!BA6 + 'Summary Sheet - June 2026'!BA6</f>
        <v>0</v>
      </c>
      <c r="BB6" s="153"/>
      <c r="BC6" s="147">
        <f>'Summary Sheet - April 2026'!BC6 + 'Summary Sheet - May 2026'!BC6 + 'Summary Sheet - June 2026'!BC6</f>
        <v>0</v>
      </c>
      <c r="BD6" s="38"/>
      <c r="BE6" s="43">
        <f>'Summary Sheet - April 2026'!BE6 + 'Summary Sheet - May 2026'!BE6 + 'Summary Sheet - June 2026'!BE6</f>
        <v>0</v>
      </c>
      <c r="BF6" s="153"/>
      <c r="BG6" s="147">
        <f>'Summary Sheet - April 2026'!BG6 + 'Summary Sheet - May 2026'!BG6 + 'Summary Sheet - June 2026'!BG6</f>
        <v>0</v>
      </c>
      <c r="BH6" s="38"/>
      <c r="BI6" s="43">
        <f>'Summary Sheet - April 2026'!BI6 + 'Summary Sheet - May 2026'!BI6 + 'Summary Sheet - June 2026'!BI6</f>
        <v>0</v>
      </c>
      <c r="BJ6" s="153"/>
    </row>
    <row r="7" ht="15.75" customHeight="1">
      <c r="A7" s="2"/>
      <c r="B7" s="148" t="s">
        <v>23</v>
      </c>
      <c r="C7" s="20">
        <f t="shared" si="1"/>
        <v>108260254</v>
      </c>
      <c r="D7" s="21">
        <f t="shared" si="2"/>
        <v>0.7274625538</v>
      </c>
      <c r="E7" s="36">
        <f t="shared" si="3"/>
        <v>0</v>
      </c>
      <c r="F7" s="23" t="str">
        <f t="shared" si="4"/>
        <v>#DIV/0!</v>
      </c>
      <c r="G7" s="140">
        <f>'Summary Sheet - April 2026'!G7 + 'Summary Sheet - May 2026'!G7 + 'Summary Sheet - June 2026'!G7</f>
        <v>0</v>
      </c>
      <c r="H7" s="149"/>
      <c r="I7" s="140">
        <f>'Summary Sheet - April 2026'!I7 + 'Summary Sheet - May 2026'!I7 + 'Summary Sheet - June 2026'!I7</f>
        <v>0</v>
      </c>
      <c r="J7" s="154"/>
      <c r="K7" s="72">
        <f t="shared" si="5"/>
        <v>108260254</v>
      </c>
      <c r="L7" s="151"/>
      <c r="M7" s="36">
        <f t="shared" si="6"/>
        <v>0</v>
      </c>
      <c r="N7" s="152"/>
      <c r="O7" s="144">
        <f>'Summary Sheet - April 2026'!O7 + 'Summary Sheet - May 2026'!O7 + 'Summary Sheet - June 2026'!O7</f>
        <v>26989558.87</v>
      </c>
      <c r="P7" s="38"/>
      <c r="Q7" s="31">
        <f>'Summary Sheet - April 2026'!Q7 + 'Summary Sheet - May 2026'!Q7 + 'Summary Sheet - June 2026'!Q7</f>
        <v>0</v>
      </c>
      <c r="R7" s="153"/>
      <c r="S7" s="146">
        <f>'Summary Sheet - April 2026'!S7 + 'Summary Sheet - May 2026'!S7 + 'Summary Sheet - June 2026'!S7</f>
        <v>1667248</v>
      </c>
      <c r="T7" s="38"/>
      <c r="U7" s="31">
        <f>'Summary Sheet - April 2026'!U7 + 'Summary Sheet - May 2026'!U7 + 'Summary Sheet - June 2026'!U7</f>
        <v>0</v>
      </c>
      <c r="V7" s="153"/>
      <c r="W7" s="146">
        <f>'Summary Sheet - April 2026'!W7+'Summary Sheet - May 2026'!W7 + 'Summary Sheet - June 2026'!W7</f>
        <v>20658266.49</v>
      </c>
      <c r="X7" s="38"/>
      <c r="Y7" s="31">
        <f>'Summary Sheet - April 2026'!Y7+'Summary Sheet - May 2026'!Y7 + 'Summary Sheet - June 2026'!Y7</f>
        <v>0</v>
      </c>
      <c r="Z7" s="153"/>
      <c r="AA7" s="146">
        <f>'Summary Sheet - April 2026'!AA7 + 'Summary Sheet - May 2026'!AA7 + 'Summary Sheet - June 2026'!AA7</f>
        <v>16390588.15</v>
      </c>
      <c r="AB7" s="38"/>
      <c r="AC7" s="31">
        <f>'Summary Sheet - April 2026'!AC7 + 'Summary Sheet - May 2026'!AC7 + 'Summary Sheet - June 2026'!AC7</f>
        <v>0</v>
      </c>
      <c r="AD7" s="153"/>
      <c r="AE7" s="146">
        <f>'Summary Sheet - April 2026'!AE7 + 'Summary Sheet - May 2026'!AE7 + 'Summary Sheet - June 2026'!AE7</f>
        <v>25758068.25</v>
      </c>
      <c r="AF7" s="38"/>
      <c r="AG7" s="31">
        <f>'Summary Sheet - April 2026'!AG7 + 'Summary Sheet - May 2026'!AG7 + 'Summary Sheet - June 2026'!AG7</f>
        <v>0</v>
      </c>
      <c r="AH7" s="153"/>
      <c r="AI7" s="146">
        <f>'Summary Sheet - April 2026'!AI7 + 'Summary Sheet - May 2026'!AI7 + 'Summary Sheet - June 2026'!AI7</f>
        <v>0</v>
      </c>
      <c r="AJ7" s="38"/>
      <c r="AK7" s="31">
        <f>'Summary Sheet - April 2026'!AK7 + 'Summary Sheet - May 2026'!AK7 + 'Summary Sheet - June 2026'!AK7</f>
        <v>0</v>
      </c>
      <c r="AL7" s="153"/>
      <c r="AM7" s="146">
        <f>'Summary Sheet - April 2026'!AM7 + 'Summary Sheet - May 2026'!AM7 + 'Summary Sheet - June 2026'!AM7</f>
        <v>970993.82</v>
      </c>
      <c r="AN7" s="38"/>
      <c r="AO7" s="31">
        <f>'Summary Sheet - April 2026'!AO7 + 'Summary Sheet - May 2026'!AO7 + 'Summary Sheet - June 2026'!AO7</f>
        <v>0</v>
      </c>
      <c r="AP7" s="153"/>
      <c r="AQ7" s="146">
        <f>'Summary Sheet - April 2026'!AQ7 + 'Summary Sheet - May 2026'!AQ7 + 'Summary Sheet - June 2026'!AQ7</f>
        <v>13386679.5</v>
      </c>
      <c r="AR7" s="38"/>
      <c r="AS7" s="31">
        <f>'Summary Sheet - April 2026'!AS7 + 'Summary Sheet - May 2026'!AS7 + 'Summary Sheet - June 2026'!AS7</f>
        <v>0</v>
      </c>
      <c r="AT7" s="153"/>
      <c r="AU7" s="146">
        <f>'Summary Sheet - April 2026'!AU7 + 'Summary Sheet - May 2026'!AU7 + 'Summary Sheet - June 2026'!AU7</f>
        <v>666826.99</v>
      </c>
      <c r="AV7" s="38"/>
      <c r="AW7" s="31">
        <f>'Summary Sheet - April 2026'!AW7 + 'Summary Sheet - May 2026'!AW7 + 'Summary Sheet - June 2026'!AW7</f>
        <v>0</v>
      </c>
      <c r="AX7" s="153"/>
      <c r="AY7" s="147">
        <f>'Summary Sheet - April 2026'!AY7 + 'Summary Sheet - May 2026'!AY7 + 'Summary Sheet - June 2026'!AY7</f>
        <v>228077.89</v>
      </c>
      <c r="AZ7" s="38"/>
      <c r="BA7" s="43">
        <f>'Summary Sheet - April 2026'!BA7 + 'Summary Sheet - May 2026'!BA7 + 'Summary Sheet - June 2026'!BA7</f>
        <v>0</v>
      </c>
      <c r="BB7" s="153"/>
      <c r="BC7" s="147">
        <f>'Summary Sheet - April 2026'!BC7 + 'Summary Sheet - May 2026'!BC7 + 'Summary Sheet - June 2026'!BC7</f>
        <v>306961.08</v>
      </c>
      <c r="BD7" s="38"/>
      <c r="BE7" s="43">
        <f>'Summary Sheet - April 2026'!BE7 + 'Summary Sheet - May 2026'!BE7 + 'Summary Sheet - June 2026'!BE7</f>
        <v>0</v>
      </c>
      <c r="BF7" s="153"/>
      <c r="BG7" s="147">
        <f>'Summary Sheet - April 2026'!BG7 + 'Summary Sheet - May 2026'!BG7 + 'Summary Sheet - June 2026'!BG7</f>
        <v>1236985</v>
      </c>
      <c r="BH7" s="38"/>
      <c r="BI7" s="43">
        <f>'Summary Sheet - April 2026'!BI7 + 'Summary Sheet - May 2026'!BI7 + 'Summary Sheet - June 2026'!BI7</f>
        <v>0</v>
      </c>
      <c r="BJ7" s="153"/>
    </row>
    <row r="8" ht="15.75" customHeight="1">
      <c r="A8" s="2"/>
      <c r="B8" s="155" t="s">
        <v>24</v>
      </c>
      <c r="C8" s="45">
        <f t="shared" si="1"/>
        <v>4894605.05</v>
      </c>
      <c r="D8" s="21">
        <f t="shared" si="2"/>
        <v>0.03288965023</v>
      </c>
      <c r="E8" s="46">
        <f t="shared" si="3"/>
        <v>0</v>
      </c>
      <c r="F8" s="23" t="str">
        <f t="shared" si="4"/>
        <v>#DIV/0!</v>
      </c>
      <c r="G8" s="140">
        <f>'Summary Sheet - April 2026'!G8 + 'Summary Sheet - May 2026'!G8 + 'Summary Sheet - June 2026'!G8</f>
        <v>0</v>
      </c>
      <c r="H8" s="79"/>
      <c r="I8" s="140">
        <f>'Summary Sheet - April 2026'!I8 + 'Summary Sheet - May 2026'!I8 + 'Summary Sheet - June 2026'!I8</f>
        <v>0</v>
      </c>
      <c r="J8" s="150"/>
      <c r="K8" s="72">
        <f t="shared" si="5"/>
        <v>4894605.05</v>
      </c>
      <c r="L8" s="156"/>
      <c r="M8" s="46">
        <f t="shared" si="6"/>
        <v>0</v>
      </c>
      <c r="N8" s="157"/>
      <c r="O8" s="144">
        <f>'Summary Sheet - April 2026'!O8 + 'Summary Sheet - May 2026'!O8 + 'Summary Sheet - June 2026'!O8</f>
        <v>1719138</v>
      </c>
      <c r="P8" s="48"/>
      <c r="Q8" s="31">
        <f>'Summary Sheet - April 2026'!Q8 + 'Summary Sheet - May 2026'!Q8 + 'Summary Sheet - June 2026'!Q8</f>
        <v>0</v>
      </c>
      <c r="R8" s="158"/>
      <c r="S8" s="146">
        <f>'Summary Sheet - April 2026'!S8 + 'Summary Sheet - May 2026'!S8 + 'Summary Sheet - June 2026'!S8</f>
        <v>0</v>
      </c>
      <c r="T8" s="48"/>
      <c r="U8" s="31">
        <f>'Summary Sheet - April 2026'!U8 + 'Summary Sheet - May 2026'!U8 + 'Summary Sheet - June 2026'!U8</f>
        <v>0</v>
      </c>
      <c r="V8" s="158"/>
      <c r="W8" s="146">
        <f>'Summary Sheet - April 2026'!W8+'Summary Sheet - May 2026'!W8 + 'Summary Sheet - June 2026'!W8</f>
        <v>721626</v>
      </c>
      <c r="X8" s="48"/>
      <c r="Y8" s="31">
        <f>'Summary Sheet - April 2026'!Y8+'Summary Sheet - May 2026'!Y8 + 'Summary Sheet - June 2026'!Y8</f>
        <v>0</v>
      </c>
      <c r="Z8" s="158"/>
      <c r="AA8" s="146">
        <f>'Summary Sheet - April 2026'!AA8 + 'Summary Sheet - May 2026'!AA8 + 'Summary Sheet - June 2026'!AA8</f>
        <v>356972.05</v>
      </c>
      <c r="AB8" s="48"/>
      <c r="AC8" s="31">
        <f>'Summary Sheet - April 2026'!AC8 + 'Summary Sheet - May 2026'!AC8 + 'Summary Sheet - June 2026'!AC8</f>
        <v>0</v>
      </c>
      <c r="AD8" s="158"/>
      <c r="AE8" s="146">
        <f>'Summary Sheet - April 2026'!AE8 + 'Summary Sheet - May 2026'!AE8 + 'Summary Sheet - June 2026'!AE8</f>
        <v>1028709</v>
      </c>
      <c r="AF8" s="48"/>
      <c r="AG8" s="31">
        <f>'Summary Sheet - April 2026'!AG8 + 'Summary Sheet - May 2026'!AG8 + 'Summary Sheet - June 2026'!AG8</f>
        <v>0</v>
      </c>
      <c r="AH8" s="158"/>
      <c r="AI8" s="146">
        <f>'Summary Sheet - April 2026'!AI8 + 'Summary Sheet - May 2026'!AI8 + 'Summary Sheet - June 2026'!AI8</f>
        <v>0</v>
      </c>
      <c r="AJ8" s="48"/>
      <c r="AK8" s="31">
        <f>'Summary Sheet - April 2026'!AK8 + 'Summary Sheet - May 2026'!AK8 + 'Summary Sheet - June 2026'!AK8</f>
        <v>0</v>
      </c>
      <c r="AL8" s="158"/>
      <c r="AM8" s="146">
        <f>'Summary Sheet - April 2026'!AM8 + 'Summary Sheet - May 2026'!AM8 + 'Summary Sheet - June 2026'!AM8</f>
        <v>0</v>
      </c>
      <c r="AN8" s="48"/>
      <c r="AO8" s="31">
        <f>'Summary Sheet - April 2026'!AO8 + 'Summary Sheet - May 2026'!AO8 + 'Summary Sheet - June 2026'!AO8</f>
        <v>0</v>
      </c>
      <c r="AP8" s="158"/>
      <c r="AQ8" s="146">
        <f>'Summary Sheet - April 2026'!AQ8 + 'Summary Sheet - May 2026'!AQ8 + 'Summary Sheet - June 2026'!AQ8</f>
        <v>1068160</v>
      </c>
      <c r="AR8" s="48"/>
      <c r="AS8" s="31">
        <f>'Summary Sheet - April 2026'!AS8 + 'Summary Sheet - May 2026'!AS8 + 'Summary Sheet - June 2026'!AS8</f>
        <v>0</v>
      </c>
      <c r="AT8" s="158"/>
      <c r="AU8" s="146">
        <f>'Summary Sheet - April 2026'!AU8 + 'Summary Sheet - May 2026'!AU8 + 'Summary Sheet - June 2026'!AU8</f>
        <v>0</v>
      </c>
      <c r="AV8" s="48"/>
      <c r="AW8" s="31">
        <f>'Summary Sheet - April 2026'!AW8 + 'Summary Sheet - May 2026'!AW8 + 'Summary Sheet - June 2026'!AW8</f>
        <v>0</v>
      </c>
      <c r="AX8" s="158"/>
      <c r="AY8" s="147">
        <f>'Summary Sheet - April 2026'!AY8 + 'Summary Sheet - May 2026'!AY8 + 'Summary Sheet - June 2026'!AY8</f>
        <v>0</v>
      </c>
      <c r="AZ8" s="48"/>
      <c r="BA8" s="43">
        <f>'Summary Sheet - April 2026'!BA8 + 'Summary Sheet - May 2026'!BA8 + 'Summary Sheet - June 2026'!BA8</f>
        <v>0</v>
      </c>
      <c r="BB8" s="158"/>
      <c r="BC8" s="147">
        <f>'Summary Sheet - April 2026'!BC8 + 'Summary Sheet - May 2026'!BC8 + 'Summary Sheet - June 2026'!BC8</f>
        <v>0</v>
      </c>
      <c r="BD8" s="48"/>
      <c r="BE8" s="43">
        <f>'Summary Sheet - April 2026'!BE8 + 'Summary Sheet - May 2026'!BE8 + 'Summary Sheet - June 2026'!BE8</f>
        <v>0</v>
      </c>
      <c r="BF8" s="158"/>
      <c r="BG8" s="147">
        <f>'Summary Sheet - April 2026'!BG8 + 'Summary Sheet - May 2026'!BG8 + 'Summary Sheet - June 2026'!BG8</f>
        <v>0</v>
      </c>
      <c r="BH8" s="48"/>
      <c r="BI8" s="43">
        <f>'Summary Sheet - April 2026'!BI8 + 'Summary Sheet - May 2026'!BI8 + 'Summary Sheet - June 2026'!BI8</f>
        <v>0</v>
      </c>
      <c r="BJ8" s="158"/>
    </row>
    <row r="9" ht="15.75" customHeight="1">
      <c r="A9" s="2"/>
      <c r="B9" s="155" t="s">
        <v>25</v>
      </c>
      <c r="C9" s="45">
        <f t="shared" si="1"/>
        <v>35231</v>
      </c>
      <c r="D9" s="21">
        <f t="shared" si="2"/>
        <v>0.0002367372353</v>
      </c>
      <c r="E9" s="46">
        <f t="shared" si="3"/>
        <v>0</v>
      </c>
      <c r="F9" s="23" t="str">
        <f t="shared" si="4"/>
        <v>#DIV/0!</v>
      </c>
      <c r="G9" s="140">
        <f>'Summary Sheet - April 2026'!G9 + 'Summary Sheet - May 2026'!G9 + 'Summary Sheet - June 2026'!G9</f>
        <v>0</v>
      </c>
      <c r="H9" s="159"/>
      <c r="I9" s="140">
        <f>'Summary Sheet - April 2026'!I9 + 'Summary Sheet - May 2026'!I9 + 'Summary Sheet - June 2026'!I9</f>
        <v>0</v>
      </c>
      <c r="J9" s="154"/>
      <c r="K9" s="72">
        <f t="shared" si="5"/>
        <v>35231</v>
      </c>
      <c r="L9" s="156"/>
      <c r="M9" s="46">
        <f t="shared" si="6"/>
        <v>0</v>
      </c>
      <c r="N9" s="157"/>
      <c r="O9" s="144">
        <f>'Summary Sheet - April 2026'!O9 + 'Summary Sheet - May 2026'!O9 + 'Summary Sheet - June 2026'!O9</f>
        <v>0</v>
      </c>
      <c r="P9" s="48"/>
      <c r="Q9" s="31">
        <f>'Summary Sheet - April 2026'!Q9 + 'Summary Sheet - May 2026'!Q9 + 'Summary Sheet - June 2026'!Q9</f>
        <v>0</v>
      </c>
      <c r="R9" s="158"/>
      <c r="S9" s="146">
        <f>'Summary Sheet - April 2026'!S9 + 'Summary Sheet - May 2026'!S9 + 'Summary Sheet - June 2026'!S9</f>
        <v>0</v>
      </c>
      <c r="T9" s="48"/>
      <c r="U9" s="31">
        <f>'Summary Sheet - April 2026'!U9 + 'Summary Sheet - May 2026'!U9 + 'Summary Sheet - June 2026'!U9</f>
        <v>0</v>
      </c>
      <c r="V9" s="158"/>
      <c r="W9" s="146">
        <f>'Summary Sheet - April 2026'!W9+'Summary Sheet - May 2026'!W9 + 'Summary Sheet - June 2026'!W9</f>
        <v>0</v>
      </c>
      <c r="X9" s="48"/>
      <c r="Y9" s="31">
        <f>'Summary Sheet - April 2026'!Y9+'Summary Sheet - May 2026'!Y9 + 'Summary Sheet - June 2026'!Y9</f>
        <v>0</v>
      </c>
      <c r="Z9" s="158"/>
      <c r="AA9" s="146">
        <f>'Summary Sheet - April 2026'!AA9 + 'Summary Sheet - May 2026'!AA9 + 'Summary Sheet - June 2026'!AA9</f>
        <v>8000</v>
      </c>
      <c r="AB9" s="48"/>
      <c r="AC9" s="31">
        <f>'Summary Sheet - April 2026'!AC9 + 'Summary Sheet - May 2026'!AC9 + 'Summary Sheet - June 2026'!AC9</f>
        <v>0</v>
      </c>
      <c r="AD9" s="158"/>
      <c r="AE9" s="146">
        <f>'Summary Sheet - April 2026'!AE9 + 'Summary Sheet - May 2026'!AE9 + 'Summary Sheet - June 2026'!AE9</f>
        <v>13731</v>
      </c>
      <c r="AF9" s="48"/>
      <c r="AG9" s="31">
        <f>'Summary Sheet - April 2026'!AG9 + 'Summary Sheet - May 2026'!AG9 + 'Summary Sheet - June 2026'!AG9</f>
        <v>0</v>
      </c>
      <c r="AH9" s="158"/>
      <c r="AI9" s="146">
        <f>'Summary Sheet - April 2026'!AI9 + 'Summary Sheet - May 2026'!AI9 + 'Summary Sheet - June 2026'!AI9</f>
        <v>0</v>
      </c>
      <c r="AJ9" s="48"/>
      <c r="AK9" s="31">
        <f>'Summary Sheet - April 2026'!AK9 + 'Summary Sheet - May 2026'!AK9 + 'Summary Sheet - June 2026'!AK9</f>
        <v>0</v>
      </c>
      <c r="AL9" s="158"/>
      <c r="AM9" s="146">
        <f>'Summary Sheet - April 2026'!AM9 + 'Summary Sheet - May 2026'!AM9 + 'Summary Sheet - June 2026'!AM9</f>
        <v>0</v>
      </c>
      <c r="AN9" s="48"/>
      <c r="AO9" s="31">
        <f>'Summary Sheet - April 2026'!AO9 + 'Summary Sheet - May 2026'!AO9 + 'Summary Sheet - June 2026'!AO9</f>
        <v>0</v>
      </c>
      <c r="AP9" s="158"/>
      <c r="AQ9" s="146">
        <f>'Summary Sheet - April 2026'!AQ9 + 'Summary Sheet - May 2026'!AQ9 + 'Summary Sheet - June 2026'!AQ9</f>
        <v>13500</v>
      </c>
      <c r="AR9" s="48"/>
      <c r="AS9" s="31">
        <f>'Summary Sheet - April 2026'!AS9 + 'Summary Sheet - May 2026'!AS9 + 'Summary Sheet - June 2026'!AS9</f>
        <v>0</v>
      </c>
      <c r="AT9" s="158"/>
      <c r="AU9" s="146">
        <f>'Summary Sheet - April 2026'!AU9 + 'Summary Sheet - May 2026'!AU9 + 'Summary Sheet - June 2026'!AU9</f>
        <v>0</v>
      </c>
      <c r="AV9" s="48"/>
      <c r="AW9" s="31">
        <f>'Summary Sheet - April 2026'!AW9 + 'Summary Sheet - May 2026'!AW9 + 'Summary Sheet - June 2026'!AW9</f>
        <v>0</v>
      </c>
      <c r="AX9" s="158"/>
      <c r="AY9" s="147">
        <f>'Summary Sheet - April 2026'!AY9 + 'Summary Sheet - May 2026'!AY9 + 'Summary Sheet - June 2026'!AY9</f>
        <v>0</v>
      </c>
      <c r="AZ9" s="48"/>
      <c r="BA9" s="43">
        <f>'Summary Sheet - April 2026'!BA9 + 'Summary Sheet - May 2026'!BA9 + 'Summary Sheet - June 2026'!BA9</f>
        <v>0</v>
      </c>
      <c r="BB9" s="158"/>
      <c r="BC9" s="147">
        <f>'Summary Sheet - April 2026'!BC9 + 'Summary Sheet - May 2026'!BC9 + 'Summary Sheet - June 2026'!BC9</f>
        <v>0</v>
      </c>
      <c r="BD9" s="48"/>
      <c r="BE9" s="43">
        <f>'Summary Sheet - April 2026'!BE9 + 'Summary Sheet - May 2026'!BE9 + 'Summary Sheet - June 2026'!BE9</f>
        <v>0</v>
      </c>
      <c r="BF9" s="158"/>
      <c r="BG9" s="147">
        <f>'Summary Sheet - April 2026'!BG9 + 'Summary Sheet - May 2026'!BG9 + 'Summary Sheet - June 2026'!BG9</f>
        <v>0</v>
      </c>
      <c r="BH9" s="48"/>
      <c r="BI9" s="43">
        <f>'Summary Sheet - April 2026'!BI9 + 'Summary Sheet - May 2026'!BI9 + 'Summary Sheet - June 2026'!BI9</f>
        <v>0</v>
      </c>
      <c r="BJ9" s="158"/>
    </row>
    <row r="10" ht="15.75" customHeight="1">
      <c r="A10" s="2"/>
      <c r="B10" s="160" t="s">
        <v>26</v>
      </c>
      <c r="C10" s="54">
        <f>SUM(C5:C9)</f>
        <v>148819005.8</v>
      </c>
      <c r="D10" s="55">
        <f>C10/C10</f>
        <v>1</v>
      </c>
      <c r="E10" s="54">
        <f>SUM(E5:E9)</f>
        <v>0</v>
      </c>
      <c r="F10" s="80" t="str">
        <f>E10/E10</f>
        <v>#DIV/0!</v>
      </c>
      <c r="G10" s="161">
        <f>SUM(G5:G9)</f>
        <v>0</v>
      </c>
      <c r="H10" s="63"/>
      <c r="I10" s="162">
        <f>SUM(I5:I8)</f>
        <v>0</v>
      </c>
      <c r="J10" s="163"/>
      <c r="K10" s="164">
        <f>SUM(K5:K9)</f>
        <v>148819005.8</v>
      </c>
      <c r="L10" s="57"/>
      <c r="M10" s="56">
        <f>SUM(M5:M9)</f>
        <v>0</v>
      </c>
      <c r="N10" s="61"/>
      <c r="O10" s="165">
        <f>SUM(O5:O9)</f>
        <v>40934292.87</v>
      </c>
      <c r="P10" s="161"/>
      <c r="Q10" s="161">
        <f>SUM(Q5:Q9)</f>
        <v>0</v>
      </c>
      <c r="R10" s="166"/>
      <c r="S10" s="167">
        <f>SUM(S5:S9)</f>
        <v>1667248</v>
      </c>
      <c r="T10" s="57"/>
      <c r="U10" s="161">
        <f>SUM(U5:U9)</f>
        <v>0</v>
      </c>
      <c r="V10" s="168"/>
      <c r="W10" s="167">
        <f>SUM(W5:W9)</f>
        <v>25283076.49</v>
      </c>
      <c r="X10" s="57"/>
      <c r="Y10" s="161">
        <f>SUM(Y5:Y9)</f>
        <v>0</v>
      </c>
      <c r="Z10" s="168"/>
      <c r="AA10" s="167">
        <f>SUM(AA5:AA9)</f>
        <v>19145659.95</v>
      </c>
      <c r="AB10" s="57"/>
      <c r="AC10" s="161">
        <f>SUM(AC5:AC9)</f>
        <v>0</v>
      </c>
      <c r="AD10" s="168"/>
      <c r="AE10" s="169">
        <f>SUM(AE5:AE9)</f>
        <v>34232739.25</v>
      </c>
      <c r="AF10" s="57"/>
      <c r="AG10" s="56">
        <f>SUM(AG5:AG9)</f>
        <v>0</v>
      </c>
      <c r="AH10" s="168"/>
      <c r="AI10" s="169">
        <f>SUM(AI5:AI9)</f>
        <v>0</v>
      </c>
      <c r="AJ10" s="57"/>
      <c r="AK10" s="56">
        <f>SUM(AK5:AK9)</f>
        <v>0</v>
      </c>
      <c r="AL10" s="168"/>
      <c r="AM10" s="169">
        <f>SUM(AM5:AM9)</f>
        <v>970993.82</v>
      </c>
      <c r="AN10" s="57"/>
      <c r="AO10" s="56">
        <f>SUM(AO5:AO9)</f>
        <v>0</v>
      </c>
      <c r="AP10" s="168"/>
      <c r="AQ10" s="169">
        <f>SUM(AQ5:AQ9)</f>
        <v>24146144.5</v>
      </c>
      <c r="AR10" s="57"/>
      <c r="AS10" s="56">
        <f>SUM(AS5:AS9)</f>
        <v>0</v>
      </c>
      <c r="AT10" s="168"/>
      <c r="AU10" s="169">
        <f>SUM(AU5:AU9)</f>
        <v>666826.99</v>
      </c>
      <c r="AV10" s="57"/>
      <c r="AW10" s="56">
        <f>SUM(AW5:AW9)</f>
        <v>0</v>
      </c>
      <c r="AX10" s="168"/>
      <c r="AY10" s="169">
        <f>SUM(AY5:AY9)</f>
        <v>228077.89</v>
      </c>
      <c r="AZ10" s="57"/>
      <c r="BA10" s="56">
        <f>SUM(BA5:BA9)</f>
        <v>0</v>
      </c>
      <c r="BB10" s="168"/>
      <c r="BC10" s="169">
        <f>SUM(BC5:BC8)</f>
        <v>306961.08</v>
      </c>
      <c r="BD10" s="57"/>
      <c r="BE10" s="56">
        <f>SUM(BE5:BE8)</f>
        <v>0</v>
      </c>
      <c r="BF10" s="168"/>
      <c r="BG10" s="169">
        <f>SUM(BG5:BG8)</f>
        <v>1236985</v>
      </c>
      <c r="BH10" s="57"/>
      <c r="BI10" s="56">
        <f>SUM(BI5:BI8)</f>
        <v>0</v>
      </c>
      <c r="BJ10" s="168"/>
    </row>
    <row r="11" ht="15.75" customHeight="1">
      <c r="A11" s="2"/>
      <c r="B11" s="170"/>
      <c r="C11" s="171"/>
      <c r="D11" s="142"/>
      <c r="E11" s="142"/>
      <c r="F11" s="143"/>
      <c r="G11" s="140"/>
      <c r="H11" s="74"/>
      <c r="I11" s="74"/>
      <c r="J11" s="141"/>
      <c r="K11" s="171"/>
      <c r="L11" s="142"/>
      <c r="M11" s="142"/>
      <c r="N11" s="143"/>
      <c r="O11" s="172"/>
      <c r="P11" s="25"/>
      <c r="Q11" s="25"/>
      <c r="R11" s="145"/>
      <c r="S11" s="173"/>
      <c r="T11" s="25"/>
      <c r="U11" s="25"/>
      <c r="V11" s="145"/>
      <c r="W11" s="173"/>
      <c r="X11" s="25"/>
      <c r="Y11" s="25"/>
      <c r="Z11" s="145"/>
      <c r="AA11" s="173"/>
      <c r="AB11" s="25"/>
      <c r="AC11" s="25"/>
      <c r="AD11" s="145"/>
      <c r="AE11" s="173"/>
      <c r="AF11" s="25"/>
      <c r="AG11" s="25"/>
      <c r="AH11" s="145"/>
      <c r="AI11" s="173"/>
      <c r="AJ11" s="25"/>
      <c r="AK11" s="25"/>
      <c r="AL11" s="145"/>
      <c r="AM11" s="173"/>
      <c r="AN11" s="25"/>
      <c r="AO11" s="25"/>
      <c r="AP11" s="145"/>
      <c r="AQ11" s="173"/>
      <c r="AR11" s="25"/>
      <c r="AS11" s="25"/>
      <c r="AT11" s="145"/>
      <c r="AU11" s="173"/>
      <c r="AV11" s="25"/>
      <c r="AW11" s="25"/>
      <c r="AX11" s="145"/>
      <c r="AY11" s="173"/>
      <c r="AZ11" s="25"/>
      <c r="BA11" s="25"/>
      <c r="BB11" s="145"/>
      <c r="BC11" s="173"/>
      <c r="BD11" s="25"/>
      <c r="BE11" s="25"/>
      <c r="BF11" s="145"/>
      <c r="BG11" s="173"/>
      <c r="BH11" s="25"/>
      <c r="BI11" s="25"/>
      <c r="BJ11" s="145"/>
    </row>
    <row r="12" ht="15.75" customHeight="1">
      <c r="A12" s="2"/>
      <c r="B12" s="148" t="s">
        <v>28</v>
      </c>
      <c r="C12" s="20">
        <f t="shared" ref="C12:C13" si="7">G12+K12</f>
        <v>55832433.9</v>
      </c>
      <c r="D12" s="75">
        <f t="shared" ref="D12:D13" si="8">C12/$C$10</f>
        <v>0.3751700503</v>
      </c>
      <c r="E12" s="36">
        <f t="shared" ref="E12:E13" si="9">I12+M12</f>
        <v>0</v>
      </c>
      <c r="F12" s="152"/>
      <c r="G12" s="174">
        <f>'Summary Sheet - April 2026'!G12 + 'Summary Sheet - May 2026'!G12 + 'Summary Sheet - June 2026'!G12</f>
        <v>0</v>
      </c>
      <c r="H12" s="149"/>
      <c r="I12" s="174">
        <f>'Summary Sheet - April 2026'!I12 + 'Summary Sheet - May 2026'!I12 + 'Summary Sheet - June 2026'!I12</f>
        <v>0</v>
      </c>
      <c r="J12" s="150"/>
      <c r="K12" s="72">
        <f t="shared" ref="K12:K13" si="10">O12+S12+W12+AA12+AE12+AI12+AM12+AQ12+AU12+AY12+BC12+BG12</f>
        <v>55832433.9</v>
      </c>
      <c r="L12" s="151"/>
      <c r="M12" s="36">
        <f t="shared" ref="M12:M14" si="11">Q12+U12+Y12+AC12+AG12+AK12+AO12</f>
        <v>0</v>
      </c>
      <c r="N12" s="152"/>
      <c r="O12" s="175">
        <f>'Summary Sheet - April 2026'!O12 +'Summary Sheet - May 2026'!O12 + 'Summary Sheet - June 2026'!O12</f>
        <v>14259872.55</v>
      </c>
      <c r="P12" s="38"/>
      <c r="Q12" s="77">
        <f>'Summary Sheet - April 2026'!Q12 +'Summary Sheet - May 2026'!Q12 + 'Summary Sheet - June 2026'!Q12</f>
        <v>0</v>
      </c>
      <c r="R12" s="153"/>
      <c r="S12" s="176">
        <f>'Summary Sheet - April 2026'!S12 + 'Summary Sheet - May 2026'!S12 + 'Summary Sheet - June 2026'!S12</f>
        <v>573413.4533</v>
      </c>
      <c r="T12" s="38"/>
      <c r="U12" s="77">
        <f>'Summary Sheet - April 2026'!U12 + 'Summary Sheet - May 2026'!U12 + 'Summary Sheet - June 2026'!U12</f>
        <v>0</v>
      </c>
      <c r="V12" s="153"/>
      <c r="W12" s="147">
        <f>'Summary Sheet - April 2026'!W12 + 'Summary Sheet - May 2026'!W12</f>
        <v>9869489.689</v>
      </c>
      <c r="X12" s="38"/>
      <c r="Y12" s="43">
        <f>'Summary Sheet - April 2026'!Y12 + 'Summary Sheet - May 2026'!Y12</f>
        <v>0</v>
      </c>
      <c r="Z12" s="153"/>
      <c r="AA12" s="147">
        <f>'Summary Sheet - April 2026'!AA12 + 'Summary Sheet - May 2026'!AA12 + 'Summary Sheet - June 2026'!AA12</f>
        <v>6943290.091</v>
      </c>
      <c r="AB12" s="38"/>
      <c r="AC12" s="43">
        <f>'Summary Sheet - April 2026'!AC12 + 'Summary Sheet - May 2026'!AC12 + 'Summary Sheet - June 2026'!AC12</f>
        <v>0</v>
      </c>
      <c r="AD12" s="153"/>
      <c r="AE12" s="147">
        <f>'Summary Sheet - April 2026'!AE12 + 'Summary Sheet - May 2026'!AE12 + 'Summary Sheet - June 2026'!AE12</f>
        <v>11423137.54</v>
      </c>
      <c r="AF12" s="38"/>
      <c r="AG12" s="43">
        <f>'Summary Sheet - April 2026'!AG12 + 'Summary Sheet - May 2026'!AG12 + 'Summary Sheet - June 2026'!AG12</f>
        <v>0</v>
      </c>
      <c r="AH12" s="153"/>
      <c r="AI12" s="177">
        <f>'Summary Sheet - April 2026'!AI12 + 'Summary Sheet - May 2026'!AI12 + 'Summary Sheet - June 2026'!AI12</f>
        <v>0</v>
      </c>
      <c r="AJ12" s="38"/>
      <c r="AK12" s="149">
        <f>'Summary Sheet - April 2026'!AK12 + 'Summary Sheet - May 2026'!AK12 + 'Summary Sheet - June 2026'!AK12</f>
        <v>0</v>
      </c>
      <c r="AL12" s="153"/>
      <c r="AM12" s="147">
        <f>'Summary Sheet - April 2026'!AM12 + 'Summary Sheet - May 2026'!AM12 + 'Summary Sheet - June 2026'!AM12</f>
        <v>1697483.484</v>
      </c>
      <c r="AN12" s="38"/>
      <c r="AO12" s="43">
        <f>'Summary Sheet - April 2026'!AO12 + 'Summary Sheet - May 2026'!AO12 + 'Summary Sheet - June 2026'!AO12</f>
        <v>0</v>
      </c>
      <c r="AP12" s="153"/>
      <c r="AQ12" s="147">
        <f>'Summary Sheet - April 2026'!AQ12 + 'Summary Sheet - May 2026'!AQ12 +'Summary Sheet - June 2026'!AQ12</f>
        <v>9435972.988</v>
      </c>
      <c r="AR12" s="38"/>
      <c r="AS12" s="43">
        <f>'Summary Sheet - April 2026'!AS12 + 'Summary Sheet - May 2026'!AS12 +'Summary Sheet - June 2026'!AS12</f>
        <v>0</v>
      </c>
      <c r="AT12" s="153"/>
      <c r="AU12" s="147">
        <f>'Summary Sheet - April 2026'!AU12 + 'Summary Sheet - May 2026'!AU12 + 'Summary Sheet - June 2026'!AU12</f>
        <v>438745.1218</v>
      </c>
      <c r="AV12" s="43"/>
      <c r="AW12" s="43">
        <f>'Summary Sheet - April 2026'!AW12 + 'Summary Sheet - May 2026'!AW12 + 'Summary Sheet - June 2026'!AW12</f>
        <v>0</v>
      </c>
      <c r="AX12" s="178"/>
      <c r="AY12" s="147">
        <f>'Summary Sheet - April 2026'!AY12 + 'Summary Sheet - May 2026'!AY12 + 'Summary Sheet - June 2026'!AY12</f>
        <v>339203.0054</v>
      </c>
      <c r="AZ12" s="38"/>
      <c r="BA12" s="43">
        <f>'Summary Sheet - April 2026'!BA12 + 'Summary Sheet - May 2026'!BA12 + 'Summary Sheet - June 2026'!BA12</f>
        <v>0</v>
      </c>
      <c r="BB12" s="153"/>
      <c r="BC12" s="147">
        <f>'Summary Sheet - April 2026'!BC12 + 'Summary Sheet - May 2026'!BC12 + 'Summary Sheet - June 2026'!BC12</f>
        <v>495419.735</v>
      </c>
      <c r="BD12" s="38"/>
      <c r="BE12" s="43">
        <f>'Summary Sheet - April 2026'!BE12 + 'Summary Sheet - May 2026'!BE12 + 'Summary Sheet - June 2026'!BE12</f>
        <v>0</v>
      </c>
      <c r="BF12" s="153"/>
      <c r="BG12" s="147">
        <f>'Summary Sheet - April 2026'!BG12 + 'Summary Sheet - May 2026'!BG12 + 'Summary Sheet - June 2026'!BG12</f>
        <v>356406.2409</v>
      </c>
      <c r="BH12" s="38"/>
      <c r="BI12" s="43">
        <f>'Summary Sheet - April 2026'!BI12 + 'Summary Sheet - May 2026'!BI12 + 'Summary Sheet - June 2026'!BI12</f>
        <v>0</v>
      </c>
      <c r="BJ12" s="153"/>
    </row>
    <row r="13" ht="15.75" customHeight="1">
      <c r="A13" s="2"/>
      <c r="B13" s="155" t="s">
        <v>29</v>
      </c>
      <c r="C13" s="45">
        <f t="shared" si="7"/>
        <v>1899950.22</v>
      </c>
      <c r="D13" s="75">
        <f t="shared" si="8"/>
        <v>0.01276685198</v>
      </c>
      <c r="E13" s="46">
        <f t="shared" si="9"/>
        <v>0</v>
      </c>
      <c r="F13" s="157"/>
      <c r="G13" s="174">
        <f>'Summary Sheet - April 2026'!G13 + 'Summary Sheet - May 2026'!G13 + 'Summary Sheet - June 2026'!G13</f>
        <v>0</v>
      </c>
      <c r="H13" s="79"/>
      <c r="I13" s="174">
        <f>'Summary Sheet - April 2026'!I13 + 'Summary Sheet - May 2026'!I13 + 'Summary Sheet - June 2026'!I13</f>
        <v>0</v>
      </c>
      <c r="J13" s="154"/>
      <c r="K13" s="72">
        <f t="shared" si="10"/>
        <v>1899950.22</v>
      </c>
      <c r="L13" s="156"/>
      <c r="M13" s="46">
        <f t="shared" si="11"/>
        <v>0</v>
      </c>
      <c r="N13" s="157"/>
      <c r="O13" s="175">
        <f>'Summary Sheet - April 2026'!O13 +'Summary Sheet - May 2026'!O13 + 'Summary Sheet - June 2026'!O13</f>
        <v>106548</v>
      </c>
      <c r="P13" s="48"/>
      <c r="Q13" s="77">
        <f>'Summary Sheet - April 2026'!Q13 +'Summary Sheet - May 2026'!Q13 + 'Summary Sheet - June 2026'!Q13</f>
        <v>0</v>
      </c>
      <c r="R13" s="158"/>
      <c r="S13" s="176">
        <f>'Summary Sheet - April 2026'!S13 + 'Summary Sheet - May 2026'!S13 + 'Summary Sheet - June 2026'!S13</f>
        <v>73214</v>
      </c>
      <c r="T13" s="48"/>
      <c r="U13" s="77">
        <f>'Summary Sheet - April 2026'!U13 + 'Summary Sheet - May 2026'!U13 + 'Summary Sheet - June 2026'!U13</f>
        <v>0</v>
      </c>
      <c r="V13" s="158"/>
      <c r="W13" s="147">
        <f>'Summary Sheet - April 2026'!W13 + 'Summary Sheet - May 2026'!W13</f>
        <v>366401.4</v>
      </c>
      <c r="X13" s="48"/>
      <c r="Y13" s="43">
        <f>'Summary Sheet - April 2026'!Y13 + 'Summary Sheet - May 2026'!Y13</f>
        <v>0</v>
      </c>
      <c r="Z13" s="158"/>
      <c r="AA13" s="147">
        <f>'Summary Sheet - April 2026'!AA13 + 'Summary Sheet - May 2026'!AA13 + 'Summary Sheet - June 2026'!AA13</f>
        <v>442124</v>
      </c>
      <c r="AB13" s="48"/>
      <c r="AC13" s="43">
        <f>'Summary Sheet - April 2026'!AC13 + 'Summary Sheet - May 2026'!AC13 + 'Summary Sheet - June 2026'!AC13</f>
        <v>0</v>
      </c>
      <c r="AD13" s="158"/>
      <c r="AE13" s="147">
        <f>'Summary Sheet - April 2026'!AE13 + 'Summary Sheet - May 2026'!AE13 + 'Summary Sheet - June 2026'!AE13</f>
        <v>512245.02</v>
      </c>
      <c r="AF13" s="48"/>
      <c r="AG13" s="43">
        <f>'Summary Sheet - April 2026'!AG13 + 'Summary Sheet - May 2026'!AG13 + 'Summary Sheet - June 2026'!AG13</f>
        <v>0</v>
      </c>
      <c r="AH13" s="158"/>
      <c r="AI13" s="177">
        <f>'Summary Sheet - April 2026'!AI13 + 'Summary Sheet - May 2026'!AI13 + 'Summary Sheet - June 2026'!AI13</f>
        <v>1030</v>
      </c>
      <c r="AJ13" s="48"/>
      <c r="AK13" s="149">
        <f>'Summary Sheet - April 2026'!AK13 + 'Summary Sheet - May 2026'!AK13 + 'Summary Sheet - June 2026'!AK13</f>
        <v>0</v>
      </c>
      <c r="AL13" s="158"/>
      <c r="AM13" s="147">
        <f>'Summary Sheet - April 2026'!AM13 + 'Summary Sheet - May 2026'!AM13 + 'Summary Sheet - June 2026'!AM13</f>
        <v>203076.5</v>
      </c>
      <c r="AN13" s="48"/>
      <c r="AO13" s="43">
        <f>'Summary Sheet - April 2026'!AO13 + 'Summary Sheet - May 2026'!AO13 + 'Summary Sheet - June 2026'!AO13</f>
        <v>0</v>
      </c>
      <c r="AP13" s="158"/>
      <c r="AQ13" s="147">
        <f>'Summary Sheet - April 2026'!AQ13 + 'Summary Sheet - May 2026'!AQ13 +'Summary Sheet - June 2026'!AQ13</f>
        <v>85375.3</v>
      </c>
      <c r="AR13" s="48"/>
      <c r="AS13" s="43">
        <f>'Summary Sheet - April 2026'!AS13 + 'Summary Sheet - May 2026'!AS13 +'Summary Sheet - June 2026'!AS13</f>
        <v>0</v>
      </c>
      <c r="AT13" s="158"/>
      <c r="AU13" s="147">
        <f>'Summary Sheet - April 2026'!AU13 + 'Summary Sheet - May 2026'!AU13 + 'Summary Sheet - June 2026'!AU13</f>
        <v>8383</v>
      </c>
      <c r="AV13" s="48"/>
      <c r="AW13" s="43">
        <f>'Summary Sheet - April 2026'!AW13 + 'Summary Sheet - May 2026'!AW13 + 'Summary Sheet - June 2026'!AW13</f>
        <v>0</v>
      </c>
      <c r="AX13" s="158"/>
      <c r="AY13" s="147">
        <f>'Summary Sheet - April 2026'!AY13 + 'Summary Sheet - May 2026'!AY13 + 'Summary Sheet - June 2026'!AY13</f>
        <v>9422</v>
      </c>
      <c r="AZ13" s="48"/>
      <c r="BA13" s="43">
        <f>'Summary Sheet - April 2026'!BA13 + 'Summary Sheet - May 2026'!BA13 + 'Summary Sheet - June 2026'!BA13</f>
        <v>0</v>
      </c>
      <c r="BB13" s="158"/>
      <c r="BC13" s="147">
        <f>'Summary Sheet - April 2026'!BC13 + 'Summary Sheet - May 2026'!BC13 + 'Summary Sheet - June 2026'!BC13</f>
        <v>5647</v>
      </c>
      <c r="BD13" s="48"/>
      <c r="BE13" s="43">
        <f>'Summary Sheet - April 2026'!BE13 + 'Summary Sheet - May 2026'!BE13 + 'Summary Sheet - June 2026'!BE13</f>
        <v>0</v>
      </c>
      <c r="BF13" s="158"/>
      <c r="BG13" s="147">
        <f>'Summary Sheet - April 2026'!BG13 + 'Summary Sheet - May 2026'!BG13 + 'Summary Sheet - June 2026'!BG13</f>
        <v>86484</v>
      </c>
      <c r="BH13" s="48"/>
      <c r="BI13" s="43">
        <f>'Summary Sheet - April 2026'!BI13 + 'Summary Sheet - May 2026'!BI13 + 'Summary Sheet - June 2026'!BI13</f>
        <v>0</v>
      </c>
      <c r="BJ13" s="158"/>
    </row>
    <row r="14" ht="15.75" customHeight="1">
      <c r="A14" s="2"/>
      <c r="B14" s="160" t="s">
        <v>30</v>
      </c>
      <c r="C14" s="54">
        <f>SUM(C12:C13)</f>
        <v>57732384.12</v>
      </c>
      <c r="D14" s="55">
        <f>C14/C10</f>
        <v>0.3879369023</v>
      </c>
      <c r="E14" s="56">
        <f>E12+E13</f>
        <v>0</v>
      </c>
      <c r="F14" s="61"/>
      <c r="G14" s="179">
        <f>G12+G13</f>
        <v>0</v>
      </c>
      <c r="H14" s="162"/>
      <c r="I14" s="179">
        <f>I12+I13</f>
        <v>0</v>
      </c>
      <c r="J14" s="180"/>
      <c r="K14" s="54">
        <f>SUM(K12:K13)</f>
        <v>57732384.12</v>
      </c>
      <c r="L14" s="57"/>
      <c r="M14" s="56">
        <f t="shared" si="11"/>
        <v>0</v>
      </c>
      <c r="N14" s="61"/>
      <c r="O14" s="181">
        <f>O12+O13</f>
        <v>14366420.55</v>
      </c>
      <c r="P14" s="57"/>
      <c r="Q14" s="56">
        <f>Q12+Q13</f>
        <v>0</v>
      </c>
      <c r="R14" s="168"/>
      <c r="S14" s="169">
        <f>S12+S13</f>
        <v>646627.4533</v>
      </c>
      <c r="T14" s="57"/>
      <c r="U14" s="56">
        <f>U12+U13</f>
        <v>0</v>
      </c>
      <c r="V14" s="168"/>
      <c r="W14" s="169">
        <f>W12+W13</f>
        <v>10235891.09</v>
      </c>
      <c r="X14" s="57"/>
      <c r="Y14" s="56">
        <f>Y12+Y13</f>
        <v>0</v>
      </c>
      <c r="Z14" s="168"/>
      <c r="AA14" s="169">
        <f>AA12+AA13</f>
        <v>7385414.091</v>
      </c>
      <c r="AB14" s="57"/>
      <c r="AC14" s="56">
        <f>AC12+AC13</f>
        <v>0</v>
      </c>
      <c r="AD14" s="168"/>
      <c r="AE14" s="169">
        <f>AE12+AE13</f>
        <v>11935382.56</v>
      </c>
      <c r="AF14" s="57"/>
      <c r="AG14" s="56">
        <f>AG12+AG13</f>
        <v>0</v>
      </c>
      <c r="AH14" s="168"/>
      <c r="AI14" s="169">
        <f>AI12+AI13</f>
        <v>1030</v>
      </c>
      <c r="AJ14" s="57"/>
      <c r="AK14" s="56">
        <f>AK12+AK13</f>
        <v>0</v>
      </c>
      <c r="AL14" s="168"/>
      <c r="AM14" s="169">
        <f>AM12+AM13</f>
        <v>1900559.984</v>
      </c>
      <c r="AN14" s="57"/>
      <c r="AO14" s="56">
        <f>AO12+AO13</f>
        <v>0</v>
      </c>
      <c r="AP14" s="168"/>
      <c r="AQ14" s="169">
        <f>AQ12+AQ13</f>
        <v>9521348.288</v>
      </c>
      <c r="AR14" s="57"/>
      <c r="AS14" s="56">
        <f>AS12+AS13</f>
        <v>0</v>
      </c>
      <c r="AT14" s="168"/>
      <c r="AU14" s="169">
        <f>AU12+AU13</f>
        <v>447128.1218</v>
      </c>
      <c r="AV14" s="57"/>
      <c r="AW14" s="56">
        <f>AW12+AW13</f>
        <v>0</v>
      </c>
      <c r="AX14" s="168"/>
      <c r="AY14" s="169">
        <f>AY12+AY13</f>
        <v>348625.0054</v>
      </c>
      <c r="AZ14" s="57"/>
      <c r="BA14" s="56">
        <f>BA12+BA13</f>
        <v>0</v>
      </c>
      <c r="BB14" s="168"/>
      <c r="BC14" s="169">
        <f>BC12+BC13</f>
        <v>501066.735</v>
      </c>
      <c r="BD14" s="57"/>
      <c r="BE14" s="56">
        <f>BE12+BE13</f>
        <v>0</v>
      </c>
      <c r="BF14" s="168"/>
      <c r="BG14" s="169">
        <f>BG12+BG13</f>
        <v>442890.2409</v>
      </c>
      <c r="BH14" s="57"/>
      <c r="BI14" s="56">
        <f>BI12+BI13</f>
        <v>0</v>
      </c>
      <c r="BJ14" s="168"/>
    </row>
    <row r="15" ht="15.75" customHeight="1">
      <c r="A15" s="2"/>
      <c r="B15" s="182" t="s">
        <v>31</v>
      </c>
      <c r="C15" s="86"/>
      <c r="D15" s="87"/>
      <c r="E15" s="87"/>
      <c r="F15" s="89"/>
      <c r="G15" s="183"/>
      <c r="H15" s="91"/>
      <c r="I15" s="91"/>
      <c r="J15" s="184"/>
      <c r="K15" s="185"/>
      <c r="L15" s="87"/>
      <c r="M15" s="87"/>
      <c r="N15" s="89"/>
      <c r="O15" s="186"/>
      <c r="P15" s="94"/>
      <c r="Q15" s="94"/>
      <c r="R15" s="187"/>
      <c r="S15" s="188"/>
      <c r="T15" s="94"/>
      <c r="U15" s="94"/>
      <c r="V15" s="187"/>
      <c r="W15" s="147"/>
      <c r="X15" s="94"/>
      <c r="Y15" s="94"/>
      <c r="Z15" s="187"/>
      <c r="AA15" s="189"/>
      <c r="AB15" s="94"/>
      <c r="AC15" s="94"/>
      <c r="AD15" s="187"/>
      <c r="AE15" s="189"/>
      <c r="AF15" s="94"/>
      <c r="AG15" s="94"/>
      <c r="AH15" s="187"/>
      <c r="AI15" s="189"/>
      <c r="AJ15" s="94"/>
      <c r="AK15" s="94"/>
      <c r="AL15" s="187"/>
      <c r="AM15" s="189"/>
      <c r="AN15" s="94"/>
      <c r="AO15" s="94"/>
      <c r="AP15" s="187"/>
      <c r="AQ15" s="189"/>
      <c r="AR15" s="94"/>
      <c r="AS15" s="94"/>
      <c r="AT15" s="187"/>
      <c r="AU15" s="188"/>
      <c r="AV15" s="95"/>
      <c r="AW15" s="95"/>
      <c r="AX15" s="187"/>
      <c r="AY15" s="188"/>
      <c r="AZ15" s="95"/>
      <c r="BA15" s="95"/>
      <c r="BB15" s="187"/>
      <c r="BC15" s="188"/>
      <c r="BD15" s="95"/>
      <c r="BE15" s="95"/>
      <c r="BF15" s="187"/>
      <c r="BG15" s="188"/>
      <c r="BH15" s="95"/>
      <c r="BI15" s="95"/>
      <c r="BJ15" s="187"/>
    </row>
    <row r="16" ht="15.75" customHeight="1">
      <c r="A16" s="2"/>
      <c r="B16" s="190" t="s">
        <v>32</v>
      </c>
      <c r="C16" s="191">
        <f>C10-C14</f>
        <v>91086621.72</v>
      </c>
      <c r="D16" s="192">
        <f>C16/C10</f>
        <v>0.6120630977</v>
      </c>
      <c r="E16" s="193">
        <f>E10-E14</f>
        <v>0</v>
      </c>
      <c r="F16" s="194"/>
      <c r="G16" s="195">
        <f>G10-G14</f>
        <v>0</v>
      </c>
      <c r="H16" s="196"/>
      <c r="I16" s="196">
        <f>I10-I14</f>
        <v>0</v>
      </c>
      <c r="J16" s="197"/>
      <c r="K16" s="191">
        <f>K10-K14</f>
        <v>91086621.72</v>
      </c>
      <c r="L16" s="198"/>
      <c r="M16" s="193">
        <f>M10-M14</f>
        <v>0</v>
      </c>
      <c r="N16" s="194"/>
      <c r="O16" s="199">
        <f>O10-O14-O15</f>
        <v>26567872.32</v>
      </c>
      <c r="P16" s="198"/>
      <c r="Q16" s="193">
        <f>Q10-Q14-Q15</f>
        <v>0</v>
      </c>
      <c r="R16" s="200"/>
      <c r="S16" s="201">
        <f>S10-S14-S15</f>
        <v>1020620.547</v>
      </c>
      <c r="T16" s="198"/>
      <c r="U16" s="193">
        <f>U10-U14-U15</f>
        <v>0</v>
      </c>
      <c r="V16" s="200"/>
      <c r="W16" s="201">
        <f>W10-W14-W15</f>
        <v>15047185.4</v>
      </c>
      <c r="X16" s="198"/>
      <c r="Y16" s="193">
        <f>Y10-Y14-Y15</f>
        <v>0</v>
      </c>
      <c r="Z16" s="200"/>
      <c r="AA16" s="201">
        <f>AA10-AA14-AA15</f>
        <v>11760245.86</v>
      </c>
      <c r="AB16" s="198"/>
      <c r="AC16" s="193">
        <f>AC10-AC14-AC15</f>
        <v>0</v>
      </c>
      <c r="AD16" s="200"/>
      <c r="AE16" s="201">
        <f>AE10-AE14-AE15</f>
        <v>22297356.69</v>
      </c>
      <c r="AF16" s="198"/>
      <c r="AG16" s="193">
        <f>AG10-AG14-AG15</f>
        <v>0</v>
      </c>
      <c r="AH16" s="200"/>
      <c r="AI16" s="201">
        <f>AI10-AI14-AI15</f>
        <v>-1030</v>
      </c>
      <c r="AJ16" s="198"/>
      <c r="AK16" s="193">
        <f>'Summary Sheet - April 2026'!AK17</f>
        <v>0</v>
      </c>
      <c r="AL16" s="200"/>
      <c r="AM16" s="201">
        <f>AM10-AM14-AM15</f>
        <v>-929566.1641</v>
      </c>
      <c r="AN16" s="198"/>
      <c r="AO16" s="193">
        <f>'Summary Sheet - April 2026'!AO17</f>
        <v>0</v>
      </c>
      <c r="AP16" s="200"/>
      <c r="AQ16" s="201">
        <f>AQ10-AQ14-AQ15</f>
        <v>14624796.21</v>
      </c>
      <c r="AR16" s="198"/>
      <c r="AS16" s="193">
        <f>AS10-AS14-AS15</f>
        <v>0</v>
      </c>
      <c r="AT16" s="200"/>
      <c r="AU16" s="201">
        <f>AU10-AU14-AU15</f>
        <v>219698.8682</v>
      </c>
      <c r="AV16" s="198"/>
      <c r="AW16" s="193">
        <f>AW10-AW14</f>
        <v>0</v>
      </c>
      <c r="AX16" s="200"/>
      <c r="AY16" s="201">
        <f>AY10-AY14-AY15</f>
        <v>-120547.1154</v>
      </c>
      <c r="AZ16" s="198"/>
      <c r="BA16" s="193">
        <f>BA10-BA14</f>
        <v>0</v>
      </c>
      <c r="BB16" s="200"/>
      <c r="BC16" s="201">
        <f>BC10-BC14-BC15</f>
        <v>-194105.655</v>
      </c>
      <c r="BD16" s="198"/>
      <c r="BE16" s="193">
        <f>BE10-BE14</f>
        <v>0</v>
      </c>
      <c r="BF16" s="200"/>
      <c r="BG16" s="201">
        <f>BG10-BG14-BG15</f>
        <v>794094.7591</v>
      </c>
      <c r="BH16" s="198"/>
      <c r="BI16" s="193">
        <f>BI10-BI14</f>
        <v>0</v>
      </c>
      <c r="BJ16" s="200"/>
    </row>
    <row r="17" ht="15.75" customHeight="1">
      <c r="A17" s="2"/>
      <c r="B17" s="170"/>
      <c r="C17" s="171"/>
      <c r="D17" s="142"/>
      <c r="E17" s="142"/>
      <c r="F17" s="143"/>
      <c r="G17" s="140"/>
      <c r="H17" s="74"/>
      <c r="I17" s="74"/>
      <c r="J17" s="141"/>
      <c r="K17" s="171"/>
      <c r="L17" s="142"/>
      <c r="M17" s="142"/>
      <c r="N17" s="143"/>
      <c r="O17" s="172"/>
      <c r="P17" s="25"/>
      <c r="Q17" s="25"/>
      <c r="R17" s="145"/>
      <c r="S17" s="173"/>
      <c r="T17" s="25"/>
      <c r="U17" s="25"/>
      <c r="V17" s="145"/>
      <c r="W17" s="173"/>
      <c r="X17" s="25"/>
      <c r="Y17" s="25"/>
      <c r="Z17" s="145"/>
      <c r="AA17" s="173"/>
      <c r="AB17" s="25"/>
      <c r="AC17" s="25"/>
      <c r="AD17" s="145"/>
      <c r="AE17" s="173"/>
      <c r="AF17" s="25"/>
      <c r="AG17" s="25"/>
      <c r="AH17" s="145"/>
      <c r="AI17" s="173"/>
      <c r="AJ17" s="25"/>
      <c r="AK17" s="25"/>
      <c r="AL17" s="145"/>
      <c r="AM17" s="173"/>
      <c r="AN17" s="25"/>
      <c r="AO17" s="25"/>
      <c r="AP17" s="145"/>
      <c r="AQ17" s="173"/>
      <c r="AR17" s="25"/>
      <c r="AS17" s="25"/>
      <c r="AT17" s="145"/>
      <c r="AU17" s="173"/>
      <c r="AV17" s="25"/>
      <c r="AW17" s="25"/>
      <c r="AX17" s="145"/>
      <c r="AY17" s="173"/>
      <c r="AZ17" s="25"/>
      <c r="BA17" s="25"/>
      <c r="BB17" s="145"/>
      <c r="BC17" s="173"/>
      <c r="BD17" s="25"/>
      <c r="BE17" s="25"/>
      <c r="BF17" s="145"/>
      <c r="BG17" s="173"/>
      <c r="BH17" s="25"/>
      <c r="BI17" s="25"/>
      <c r="BJ17" s="145"/>
    </row>
    <row r="18" ht="15.75" customHeight="1">
      <c r="A18" s="2"/>
      <c r="B18" s="148" t="s">
        <v>33</v>
      </c>
      <c r="C18" s="20">
        <f t="shared" ref="C18:C27" si="12">G18+K18</f>
        <v>3971287.51</v>
      </c>
      <c r="D18" s="75">
        <f t="shared" ref="D18:D27" si="13">C18/$C$10</f>
        <v>0.0266853517</v>
      </c>
      <c r="E18" s="36">
        <f t="shared" ref="E18:E28" si="14">I18+M18</f>
        <v>0</v>
      </c>
      <c r="F18" s="152"/>
      <c r="G18" s="174">
        <f>'Summary Sheet - April 2026'!G19 + 'Summary Sheet - May 2026'!G19 + 'Summary Sheet - June 2026'!G19</f>
        <v>128002.5133</v>
      </c>
      <c r="H18" s="149"/>
      <c r="I18" s="174">
        <f>'Summary Sheet - April 2026'!I19 + 'Summary Sheet - May 2026'!I19 + 'Summary Sheet - June 2026'!I19</f>
        <v>0</v>
      </c>
      <c r="J18" s="150"/>
      <c r="K18" s="72">
        <f t="shared" ref="K18:K27" si="15">O18+S18+W18+AA18+AE18+AI18+AM18+AQ18+AU18+AY18+BC18+BG18</f>
        <v>3843284.997</v>
      </c>
      <c r="L18" s="151"/>
      <c r="M18" s="36">
        <f t="shared" ref="M18:M27" si="16">Q18+U18+Y18+AC18+AG18+AK18+AO18</f>
        <v>0</v>
      </c>
      <c r="N18" s="152"/>
      <c r="O18" s="202">
        <f>'Summary Sheet - April 2026'!O19 + 'Summary Sheet - May 2026'!O19 + 'Summary Sheet - June 2026'!O19</f>
        <v>949580.5633</v>
      </c>
      <c r="P18" s="38"/>
      <c r="Q18" s="43">
        <f>'Summary Sheet - April 2026'!Q19 + 'Summary Sheet - May 2026'!Q19 + 'Summary Sheet - June 2026'!Q19</f>
        <v>0</v>
      </c>
      <c r="R18" s="153"/>
      <c r="S18" s="147">
        <f>'Summary Sheet - April 2026'!S19 +'Summary Sheet - May 2026'!S19 + 'Summary Sheet - June 2026'!S19</f>
        <v>91280.29</v>
      </c>
      <c r="T18" s="38"/>
      <c r="U18" s="43">
        <f>'Summary Sheet - April 2026'!U19 +'Summary Sheet - May 2026'!U19 + 'Summary Sheet - June 2026'!U19</f>
        <v>0</v>
      </c>
      <c r="V18" s="153"/>
      <c r="W18" s="147">
        <f>'Summary Sheet - April 2026'!W19 + 'Summary Sheet - May 2026'!W19 + 'Summary Sheet - June 2026'!W19</f>
        <v>750009.8733</v>
      </c>
      <c r="X18" s="38"/>
      <c r="Y18" s="43">
        <f>'Summary Sheet - April 2026'!Y19 + 'Summary Sheet - May 2026'!Y19 + 'Summary Sheet - June 2026'!Y19</f>
        <v>0</v>
      </c>
      <c r="Z18" s="153"/>
      <c r="AA18" s="147">
        <f>'Summary Sheet - April 2026'!AA19 + 'Summary Sheet - May 2026'!AA19 + 'Summary Sheet - June 2026'!AA19</f>
        <v>483204.8233</v>
      </c>
      <c r="AB18" s="38"/>
      <c r="AC18" s="43">
        <f>'Summary Sheet - April 2026'!AC19 + 'Summary Sheet - May 2026'!AC19 + 'Summary Sheet - June 2026'!AC19</f>
        <v>0</v>
      </c>
      <c r="AD18" s="153"/>
      <c r="AE18" s="147">
        <f>'Summary Sheet - April 2026'!AE19 + 'Summary Sheet - May 2026'!AE19 + 'Summary Sheet - June 2026'!AE19</f>
        <v>989178.4533</v>
      </c>
      <c r="AF18" s="38"/>
      <c r="AG18" s="43">
        <f>'Summary Sheet - April 2026'!AG19 + 'Summary Sheet - May 2026'!AG19 + 'Summary Sheet - June 2026'!AG19</f>
        <v>0</v>
      </c>
      <c r="AH18" s="153"/>
      <c r="AI18" s="147">
        <f>'Summary Sheet - April 2026'!AI19 + 'Summary Sheet - May 2026'!AI19 + 'Summary Sheet - June 2026'!AI19</f>
        <v>35514</v>
      </c>
      <c r="AJ18" s="38"/>
      <c r="AK18" s="43">
        <f>'Summary Sheet - April 2026'!AK19 + 'Summary Sheet - May 2026'!AK19 + 'Summary Sheet - June 2026'!AK19</f>
        <v>0</v>
      </c>
      <c r="AL18" s="153"/>
      <c r="AM18" s="147">
        <f>'Summary Sheet - April 2026'!AM19 + 'Summary Sheet - May 2026'!AM19 + 'Summary Sheet - June 2026'!AM19</f>
        <v>71198.86</v>
      </c>
      <c r="AN18" s="38"/>
      <c r="AO18" s="43">
        <f>'Summary Sheet - April 2026'!AO19 + 'Summary Sheet - May 2026'!AO19 + 'Summary Sheet - June 2026'!AO19</f>
        <v>0</v>
      </c>
      <c r="AP18" s="153"/>
      <c r="AQ18" s="147">
        <f>'Summary Sheet - April 2026'!AQ19 + 'Summary Sheet - May 2026'!AQ19 + 'Summary Sheet - June 2026'!AQ19</f>
        <v>467605.1333</v>
      </c>
      <c r="AR18" s="38"/>
      <c r="AS18" s="43">
        <f>'Summary Sheet - April 2026'!AS19 + 'Summary Sheet - May 2026'!AS19 + 'Summary Sheet - June 2026'!AS19</f>
        <v>0</v>
      </c>
      <c r="AT18" s="153"/>
      <c r="AU18" s="147">
        <f>'Summary Sheet - April 2026'!AU19 + 'Summary Sheet - May 2026'!AU19 + 'Summary Sheet - June 2026'!AU19</f>
        <v>0</v>
      </c>
      <c r="AV18" s="38"/>
      <c r="AW18" s="43">
        <f>'Summary Sheet - April 2026'!AW19 + 'Summary Sheet - May 2026'!AW19 + 'Summary Sheet - June 2026'!AW19</f>
        <v>0</v>
      </c>
      <c r="AX18" s="153"/>
      <c r="AY18" s="147">
        <f>'Summary Sheet - April 2026'!AY19 + 'Summary Sheet - May 2026'!AY19 + 'Summary Sheet - June 2026'!AY19</f>
        <v>0</v>
      </c>
      <c r="AZ18" s="38"/>
      <c r="BA18" s="43">
        <f>'Summary Sheet - April 2026'!BA19 + 'Summary Sheet - May 2026'!BA19 + 'Summary Sheet - June 2026'!BA19</f>
        <v>0</v>
      </c>
      <c r="BB18" s="153"/>
      <c r="BC18" s="147">
        <f>'Summary Sheet - April 2026'!BC19 + 'Summary Sheet - May 2026'!BC19 + 'Summary Sheet - June 2026'!BC19</f>
        <v>0</v>
      </c>
      <c r="BD18" s="38"/>
      <c r="BE18" s="43">
        <f>'Summary Sheet - April 2026'!BE19 + 'Summary Sheet - May 2026'!BE19 + 'Summary Sheet - June 2026'!BE19</f>
        <v>0</v>
      </c>
      <c r="BF18" s="153"/>
      <c r="BG18" s="147">
        <f>'Summary Sheet - April 2026'!BG19 + 'Summary Sheet - May 2026'!BG19 + 'Summary Sheet - June 2026'!BG19</f>
        <v>5713</v>
      </c>
      <c r="BH18" s="38"/>
      <c r="BI18" s="43">
        <f>'Summary Sheet - April 2026'!BI19 + 'Summary Sheet - May 2026'!BI19 + 'Summary Sheet - June 2026'!BI19</f>
        <v>0</v>
      </c>
      <c r="BJ18" s="153"/>
    </row>
    <row r="19" ht="15.75" customHeight="1">
      <c r="A19" s="2"/>
      <c r="B19" s="148" t="s">
        <v>34</v>
      </c>
      <c r="C19" s="20">
        <f t="shared" si="12"/>
        <v>1618158.4</v>
      </c>
      <c r="D19" s="75">
        <f t="shared" si="13"/>
        <v>0.01087333161</v>
      </c>
      <c r="E19" s="36">
        <f t="shared" si="14"/>
        <v>53100</v>
      </c>
      <c r="F19" s="152"/>
      <c r="G19" s="174">
        <f>'Summary Sheet - April 2026'!G20 + 'Summary Sheet - May 2026'!G20 + 'Summary Sheet - June 2026'!G20</f>
        <v>106200</v>
      </c>
      <c r="H19" s="149"/>
      <c r="I19" s="174">
        <f>'Summary Sheet - April 2026'!I20 + 'Summary Sheet - May 2026'!I20 + 'Summary Sheet - June 2026'!I20</f>
        <v>53100</v>
      </c>
      <c r="J19" s="150"/>
      <c r="K19" s="72">
        <f t="shared" si="15"/>
        <v>1511958.4</v>
      </c>
      <c r="L19" s="151"/>
      <c r="M19" s="36">
        <f t="shared" si="16"/>
        <v>0</v>
      </c>
      <c r="N19" s="152"/>
      <c r="O19" s="202">
        <f>'Summary Sheet - April 2026'!O20 + 'Summary Sheet - May 2026'!O20 + 'Summary Sheet - June 2026'!O20</f>
        <v>72049</v>
      </c>
      <c r="P19" s="38"/>
      <c r="Q19" s="43">
        <f>'Summary Sheet - April 2026'!Q20 + 'Summary Sheet - May 2026'!Q20 + 'Summary Sheet - June 2026'!Q20</f>
        <v>0</v>
      </c>
      <c r="R19" s="153"/>
      <c r="S19" s="147">
        <f>'Summary Sheet - April 2026'!S20 +'Summary Sheet - May 2026'!S20 + 'Summary Sheet - June 2026'!S20</f>
        <v>179253.69</v>
      </c>
      <c r="T19" s="38"/>
      <c r="U19" s="43">
        <f>'Summary Sheet - April 2026'!U20 +'Summary Sheet - May 2026'!U20 + 'Summary Sheet - June 2026'!U20</f>
        <v>0</v>
      </c>
      <c r="V19" s="153"/>
      <c r="W19" s="147">
        <f>'Summary Sheet - April 2026'!W20 + 'Summary Sheet - May 2026'!W20 + 'Summary Sheet - June 2026'!W20</f>
        <v>406787.44</v>
      </c>
      <c r="X19" s="38"/>
      <c r="Y19" s="43">
        <f>'Summary Sheet - April 2026'!Y20 + 'Summary Sheet - May 2026'!Y20 + 'Summary Sheet - June 2026'!Y20</f>
        <v>0</v>
      </c>
      <c r="Z19" s="153"/>
      <c r="AA19" s="147">
        <f>'Summary Sheet - April 2026'!AA20 + 'Summary Sheet - May 2026'!AA20 + 'Summary Sheet - June 2026'!AA20</f>
        <v>215071.5</v>
      </c>
      <c r="AB19" s="38"/>
      <c r="AC19" s="43">
        <f>'Summary Sheet - April 2026'!AC20 + 'Summary Sheet - May 2026'!AC20 + 'Summary Sheet - June 2026'!AC20</f>
        <v>0</v>
      </c>
      <c r="AD19" s="153"/>
      <c r="AE19" s="147">
        <f>'Summary Sheet - April 2026'!AE20 + 'Summary Sheet - May 2026'!AE20 + 'Summary Sheet - June 2026'!AE20</f>
        <v>187484</v>
      </c>
      <c r="AF19" s="38"/>
      <c r="AG19" s="43">
        <f>'Summary Sheet - April 2026'!AG20 + 'Summary Sheet - May 2026'!AG20 + 'Summary Sheet - June 2026'!AG20</f>
        <v>0</v>
      </c>
      <c r="AH19" s="153"/>
      <c r="AI19" s="147">
        <f>'Summary Sheet - April 2026'!AI20 + 'Summary Sheet - May 2026'!AI20 + 'Summary Sheet - June 2026'!AI20</f>
        <v>80000</v>
      </c>
      <c r="AJ19" s="38"/>
      <c r="AK19" s="43">
        <f>'Summary Sheet - April 2026'!AK20 + 'Summary Sheet - May 2026'!AK20 + 'Summary Sheet - June 2026'!AK20</f>
        <v>0</v>
      </c>
      <c r="AL19" s="153"/>
      <c r="AM19" s="147">
        <f>'Summary Sheet - April 2026'!AM20 + 'Summary Sheet - May 2026'!AM20 + 'Summary Sheet - June 2026'!AM20</f>
        <v>103790.78</v>
      </c>
      <c r="AN19" s="38"/>
      <c r="AO19" s="43">
        <f>'Summary Sheet - April 2026'!AO20 + 'Summary Sheet - May 2026'!AO20 + 'Summary Sheet - June 2026'!AO20</f>
        <v>0</v>
      </c>
      <c r="AP19" s="153"/>
      <c r="AQ19" s="147">
        <f>'Summary Sheet - April 2026'!AQ20 + 'Summary Sheet - May 2026'!AQ20 + 'Summary Sheet - June 2026'!AQ20</f>
        <v>52063.98</v>
      </c>
      <c r="AR19" s="38"/>
      <c r="AS19" s="43">
        <f>'Summary Sheet - April 2026'!AS20 + 'Summary Sheet - May 2026'!AS20 + 'Summary Sheet - June 2026'!AS20</f>
        <v>35000</v>
      </c>
      <c r="AT19" s="153"/>
      <c r="AU19" s="147">
        <f>'Summary Sheet - April 2026'!AU20 + 'Summary Sheet - May 2026'!AU20 + 'Summary Sheet - June 2026'!AU20</f>
        <v>113959.52</v>
      </c>
      <c r="AV19" s="38"/>
      <c r="AW19" s="43">
        <f>'Summary Sheet - April 2026'!AW20 + 'Summary Sheet - May 2026'!AW20 + 'Summary Sheet - June 2026'!AW20</f>
        <v>0</v>
      </c>
      <c r="AX19" s="153"/>
      <c r="AY19" s="147">
        <f>'Summary Sheet - April 2026'!AY20 + 'Summary Sheet - May 2026'!AY20 + 'Summary Sheet - June 2026'!AY20</f>
        <v>43183.46</v>
      </c>
      <c r="AZ19" s="38"/>
      <c r="BA19" s="43">
        <f>'Summary Sheet - April 2026'!BA20 + 'Summary Sheet - May 2026'!BA20 + 'Summary Sheet - June 2026'!BA20</f>
        <v>0</v>
      </c>
      <c r="BB19" s="153"/>
      <c r="BC19" s="147">
        <f>'Summary Sheet - April 2026'!BC20 + 'Summary Sheet - May 2026'!BC20 + 'Summary Sheet - June 2026'!BC20</f>
        <v>43467.03</v>
      </c>
      <c r="BD19" s="38"/>
      <c r="BE19" s="43">
        <f>'Summary Sheet - April 2026'!BE20 + 'Summary Sheet - May 2026'!BE20 + 'Summary Sheet - June 2026'!BE20</f>
        <v>0</v>
      </c>
      <c r="BF19" s="153"/>
      <c r="BG19" s="147">
        <f>'Summary Sheet - April 2026'!BG20 + 'Summary Sheet - May 2026'!BG20 + 'Summary Sheet - June 2026'!BG20</f>
        <v>14848</v>
      </c>
      <c r="BH19" s="38"/>
      <c r="BI19" s="43">
        <f>'Summary Sheet - April 2026'!BI20 + 'Summary Sheet - May 2026'!BI20 + 'Summary Sheet - June 2026'!BI20</f>
        <v>0</v>
      </c>
      <c r="BJ19" s="153"/>
    </row>
    <row r="20" ht="15.75" customHeight="1">
      <c r="A20" s="2"/>
      <c r="B20" s="148" t="s">
        <v>35</v>
      </c>
      <c r="C20" s="20">
        <f t="shared" si="12"/>
        <v>4609465.08</v>
      </c>
      <c r="D20" s="75">
        <f t="shared" si="13"/>
        <v>0.03097363172</v>
      </c>
      <c r="E20" s="36" t="str">
        <f t="shared" si="14"/>
        <v>#REF!</v>
      </c>
      <c r="F20" s="152"/>
      <c r="G20" s="174">
        <f>'Summary Sheet - April 2026'!G21 + 'Summary Sheet - May 2026'!G21 + 'Summary Sheet - June 2026'!G21</f>
        <v>0</v>
      </c>
      <c r="H20" s="149"/>
      <c r="I20" s="174">
        <f>'Summary Sheet - April 2026'!I21 + 'Summary Sheet - May 2026'!I21 + 'Summary Sheet - June 2026'!I21</f>
        <v>0</v>
      </c>
      <c r="J20" s="150"/>
      <c r="K20" s="72">
        <f t="shared" si="15"/>
        <v>4609465.08</v>
      </c>
      <c r="L20" s="151"/>
      <c r="M20" s="36" t="str">
        <f t="shared" si="16"/>
        <v>#REF!</v>
      </c>
      <c r="N20" s="152"/>
      <c r="O20" s="202">
        <f>'Summary Sheet - April 2026'!O21 + 'Summary Sheet - May 2026'!O21 + 'Summary Sheet - June 2026'!O21</f>
        <v>173480.51</v>
      </c>
      <c r="P20" s="38"/>
      <c r="Q20" s="43">
        <f>'Summary Sheet - April 2026'!Q21 + 'Summary Sheet - May 2026'!Q21 + 'Summary Sheet - June 2026'!Q21</f>
        <v>0</v>
      </c>
      <c r="R20" s="153"/>
      <c r="S20" s="147">
        <f>'Summary Sheet - April 2026'!S21 +'Summary Sheet - May 2026'!S21 + 'Summary Sheet - June 2026'!S21</f>
        <v>228974.03</v>
      </c>
      <c r="T20" s="38"/>
      <c r="U20" s="43">
        <f>'Summary Sheet - April 2026'!U21 +'Summary Sheet - May 2026'!U21 + 'Summary Sheet - June 2026'!U21</f>
        <v>0</v>
      </c>
      <c r="V20" s="153"/>
      <c r="W20" s="147">
        <f>'Summary Sheet - April 2026'!W21 + 'Summary Sheet - May 2026'!W21 + 'Summary Sheet - June 2026'!W21</f>
        <v>960909.79</v>
      </c>
      <c r="X20" s="38"/>
      <c r="Y20" s="43" t="str">
        <f>'Summary Sheet - April 2026'!Y21 + 'Summary Sheet - May 2026'!Y21 + 'Summary Sheet - June 2026'!Y21</f>
        <v>#REF!</v>
      </c>
      <c r="Z20" s="153"/>
      <c r="AA20" s="147">
        <f>'Summary Sheet - April 2026'!AA21 + 'Summary Sheet - May 2026'!AA21 + 'Summary Sheet - June 2026'!AA21</f>
        <v>1396555.24</v>
      </c>
      <c r="AB20" s="38"/>
      <c r="AC20" s="43">
        <f>'Summary Sheet - April 2026'!AC21 + 'Summary Sheet - May 2026'!AC21 + 'Summary Sheet - June 2026'!AC21</f>
        <v>0</v>
      </c>
      <c r="AD20" s="153"/>
      <c r="AE20" s="147">
        <f>'Summary Sheet - April 2026'!AE21 + 'Summary Sheet - May 2026'!AE21 + 'Summary Sheet - June 2026'!AE21</f>
        <v>1307943</v>
      </c>
      <c r="AF20" s="38"/>
      <c r="AG20" s="43">
        <f>'Summary Sheet - April 2026'!AG21 + 'Summary Sheet - May 2026'!AG21 + 'Summary Sheet - June 2026'!AG21</f>
        <v>0</v>
      </c>
      <c r="AH20" s="153"/>
      <c r="AI20" s="147">
        <f>'Summary Sheet - April 2026'!AI21 + 'Summary Sheet - May 2026'!AI21 + 'Summary Sheet - June 2026'!AI21</f>
        <v>0</v>
      </c>
      <c r="AJ20" s="38"/>
      <c r="AK20" s="43">
        <f>'Summary Sheet - April 2026'!AK21 + 'Summary Sheet - May 2026'!AK21 + 'Summary Sheet - June 2026'!AK21</f>
        <v>0</v>
      </c>
      <c r="AL20" s="153"/>
      <c r="AM20" s="147">
        <f>'Summary Sheet - April 2026'!AM21 + 'Summary Sheet - May 2026'!AM21 + 'Summary Sheet - June 2026'!AM21</f>
        <v>78387.37</v>
      </c>
      <c r="AN20" s="38"/>
      <c r="AO20" s="43">
        <f>'Summary Sheet - April 2026'!AO21 + 'Summary Sheet - May 2026'!AO21 + 'Summary Sheet - June 2026'!AO21</f>
        <v>0</v>
      </c>
      <c r="AP20" s="153"/>
      <c r="AQ20" s="147">
        <f>'Summary Sheet - April 2026'!AQ21 + 'Summary Sheet - May 2026'!AQ21 + 'Summary Sheet - June 2026'!AQ21</f>
        <v>0</v>
      </c>
      <c r="AR20" s="38"/>
      <c r="AS20" s="43">
        <f>'Summary Sheet - April 2026'!AS21 + 'Summary Sheet - May 2026'!AS21 + 'Summary Sheet - June 2026'!AS21</f>
        <v>0</v>
      </c>
      <c r="AT20" s="153"/>
      <c r="AU20" s="147">
        <f>'Summary Sheet - April 2026'!AU21 + 'Summary Sheet - May 2026'!AU21 + 'Summary Sheet - June 2026'!AU21</f>
        <v>162351.79</v>
      </c>
      <c r="AV20" s="38"/>
      <c r="AW20" s="43">
        <f>'Summary Sheet - April 2026'!AW21 + 'Summary Sheet - May 2026'!AW21 + 'Summary Sheet - June 2026'!AW21</f>
        <v>0</v>
      </c>
      <c r="AX20" s="153"/>
      <c r="AY20" s="147">
        <f>'Summary Sheet - April 2026'!AY21 + 'Summary Sheet - May 2026'!AY21 + 'Summary Sheet - June 2026'!AY21</f>
        <v>69035.85</v>
      </c>
      <c r="AZ20" s="38"/>
      <c r="BA20" s="43">
        <f>'Summary Sheet - April 2026'!BA21 + 'Summary Sheet - May 2026'!BA21 + 'Summary Sheet - June 2026'!BA21</f>
        <v>0</v>
      </c>
      <c r="BB20" s="153"/>
      <c r="BC20" s="147">
        <f>'Summary Sheet - April 2026'!BC21 + 'Summary Sheet - May 2026'!BC21 + 'Summary Sheet - June 2026'!BC21</f>
        <v>85672.94</v>
      </c>
      <c r="BD20" s="38"/>
      <c r="BE20" s="43">
        <f>'Summary Sheet - April 2026'!BE21 + 'Summary Sheet - May 2026'!BE21 + 'Summary Sheet - June 2026'!BE21</f>
        <v>0</v>
      </c>
      <c r="BF20" s="153"/>
      <c r="BG20" s="147">
        <f>'Summary Sheet - April 2026'!BG21 + 'Summary Sheet - May 2026'!BG21 + 'Summary Sheet - June 2026'!BG21</f>
        <v>146154.56</v>
      </c>
      <c r="BH20" s="38"/>
      <c r="BI20" s="43">
        <f>'Summary Sheet - April 2026'!BI21 + 'Summary Sheet - May 2026'!BI21 + 'Summary Sheet - June 2026'!BI21</f>
        <v>0</v>
      </c>
      <c r="BJ20" s="153"/>
    </row>
    <row r="21" ht="15.75" customHeight="1">
      <c r="A21" s="2"/>
      <c r="B21" s="148" t="s">
        <v>36</v>
      </c>
      <c r="C21" s="20">
        <f t="shared" si="12"/>
        <v>16374760.94</v>
      </c>
      <c r="D21" s="75">
        <f t="shared" si="13"/>
        <v>0.1100313824</v>
      </c>
      <c r="E21" s="36">
        <f t="shared" si="14"/>
        <v>3057546</v>
      </c>
      <c r="F21" s="152"/>
      <c r="G21" s="174">
        <f>'Summary Sheet - April 2026'!G22 + 'Summary Sheet - May 2026'!G22 + 'Summary Sheet - June 2026'!G22</f>
        <v>1627794.733</v>
      </c>
      <c r="H21" s="149"/>
      <c r="I21" s="174">
        <f>'Summary Sheet - April 2026'!I22 + 'Summary Sheet - May 2026'!I22 + 'Summary Sheet - June 2026'!I22</f>
        <v>0</v>
      </c>
      <c r="J21" s="150"/>
      <c r="K21" s="72">
        <f t="shared" si="15"/>
        <v>14746966.21</v>
      </c>
      <c r="L21" s="151"/>
      <c r="M21" s="36">
        <f t="shared" si="16"/>
        <v>3057546</v>
      </c>
      <c r="N21" s="152"/>
      <c r="O21" s="202">
        <f>'Summary Sheet - April 2026'!O22 + 'Summary Sheet - May 2026'!O22 + 'Summary Sheet - June 2026'!O22</f>
        <v>3665933.833</v>
      </c>
      <c r="P21" s="38"/>
      <c r="Q21" s="43">
        <f>'Summary Sheet - April 2026'!Q22 + 'Summary Sheet - May 2026'!Q22 + 'Summary Sheet - June 2026'!Q22</f>
        <v>1419717</v>
      </c>
      <c r="R21" s="153"/>
      <c r="S21" s="147">
        <f>'Summary Sheet - April 2026'!S22 +'Summary Sheet - May 2026'!S22 + 'Summary Sheet - June 2026'!S22</f>
        <v>213175</v>
      </c>
      <c r="T21" s="38"/>
      <c r="U21" s="43">
        <f>'Summary Sheet - April 2026'!U22 +'Summary Sheet - May 2026'!U22 + 'Summary Sheet - June 2026'!U22</f>
        <v>76212</v>
      </c>
      <c r="V21" s="153"/>
      <c r="W21" s="147">
        <f>'Summary Sheet - April 2026'!W22 + 'Summary Sheet - May 2026'!W22 + 'Summary Sheet - June 2026'!W22</f>
        <v>3480038.333</v>
      </c>
      <c r="X21" s="38"/>
      <c r="Y21" s="43">
        <f>'Summary Sheet - April 2026'!Y22 + 'Summary Sheet - May 2026'!Y22 + 'Summary Sheet - June 2026'!Y22</f>
        <v>1314963</v>
      </c>
      <c r="Z21" s="153"/>
      <c r="AA21" s="147">
        <f>'Summary Sheet - April 2026'!AA22 + 'Summary Sheet - May 2026'!AA22 + 'Summary Sheet - June 2026'!AA22</f>
        <v>2210248.04</v>
      </c>
      <c r="AB21" s="38"/>
      <c r="AC21" s="43">
        <f>'Summary Sheet - April 2026'!AC22 + 'Summary Sheet - May 2026'!AC22 + 'Summary Sheet - June 2026'!AC22</f>
        <v>0</v>
      </c>
      <c r="AD21" s="153"/>
      <c r="AE21" s="147">
        <f>'Summary Sheet - April 2026'!AE22 + 'Summary Sheet - May 2026'!AE22 + 'Summary Sheet - June 2026'!AE22</f>
        <v>2351243</v>
      </c>
      <c r="AF21" s="38"/>
      <c r="AG21" s="43">
        <f>'Summary Sheet - April 2026'!AG22 + 'Summary Sheet - May 2026'!AG22 + 'Summary Sheet - June 2026'!AG22</f>
        <v>0</v>
      </c>
      <c r="AH21" s="153"/>
      <c r="AI21" s="147">
        <f>'Summary Sheet - April 2026'!AI22 + 'Summary Sheet - May 2026'!AI22 + 'Summary Sheet - June 2026'!AI22</f>
        <v>370741</v>
      </c>
      <c r="AJ21" s="38"/>
      <c r="AK21" s="43">
        <f>'Summary Sheet - April 2026'!AK22 + 'Summary Sheet - May 2026'!AK22 + 'Summary Sheet - June 2026'!AK22</f>
        <v>90931</v>
      </c>
      <c r="AL21" s="153"/>
      <c r="AM21" s="147">
        <f>'Summary Sheet - April 2026'!AM22 + 'Summary Sheet - May 2026'!AM22 + 'Summary Sheet - June 2026'!AM22</f>
        <v>489829</v>
      </c>
      <c r="AN21" s="38"/>
      <c r="AO21" s="43">
        <f>'Summary Sheet - April 2026'!AO22 + 'Summary Sheet - May 2026'!AO22 + 'Summary Sheet - June 2026'!AO22</f>
        <v>155723</v>
      </c>
      <c r="AP21" s="153"/>
      <c r="AQ21" s="147">
        <f>'Summary Sheet - April 2026'!AQ22 + 'Summary Sheet - May 2026'!AQ22 + 'Summary Sheet - June 2026'!AQ22</f>
        <v>1965758</v>
      </c>
      <c r="AR21" s="38"/>
      <c r="AS21" s="43">
        <f>'Summary Sheet - April 2026'!AS22 + 'Summary Sheet - May 2026'!AS22 + 'Summary Sheet - June 2026'!AS22</f>
        <v>2419</v>
      </c>
      <c r="AT21" s="153"/>
      <c r="AU21" s="147">
        <f>'Summary Sheet - April 2026'!AU22 + 'Summary Sheet - May 2026'!AU22 + 'Summary Sheet - June 2026'!AU22</f>
        <v>0</v>
      </c>
      <c r="AV21" s="38"/>
      <c r="AW21" s="43">
        <f>'Summary Sheet - April 2026'!AW22 + 'Summary Sheet - May 2026'!AW22 + 'Summary Sheet - June 2026'!AW22</f>
        <v>0</v>
      </c>
      <c r="AX21" s="153"/>
      <c r="AY21" s="147">
        <f>'Summary Sheet - April 2026'!AY22 + 'Summary Sheet - May 2026'!AY22 + 'Summary Sheet - June 2026'!AY22</f>
        <v>0</v>
      </c>
      <c r="AZ21" s="38"/>
      <c r="BA21" s="43">
        <f>'Summary Sheet - April 2026'!BA22 + 'Summary Sheet - May 2026'!BA22 + 'Summary Sheet - June 2026'!BA22</f>
        <v>0</v>
      </c>
      <c r="BB21" s="153"/>
      <c r="BC21" s="147">
        <f>'Summary Sheet - April 2026'!BC22 + 'Summary Sheet - May 2026'!BC22 + 'Summary Sheet - June 2026'!BC22</f>
        <v>0</v>
      </c>
      <c r="BD21" s="38"/>
      <c r="BE21" s="43">
        <f>'Summary Sheet - April 2026'!BE22 + 'Summary Sheet - May 2026'!BE22 + 'Summary Sheet - June 2026'!BE22</f>
        <v>0</v>
      </c>
      <c r="BF21" s="153"/>
      <c r="BG21" s="147">
        <f>'Summary Sheet - April 2026'!BG22 + 'Summary Sheet - May 2026'!BG22 + 'Summary Sheet - June 2026'!BG22</f>
        <v>0</v>
      </c>
      <c r="BH21" s="38"/>
      <c r="BI21" s="43">
        <f>'Summary Sheet - April 2026'!BI22 + 'Summary Sheet - May 2026'!BI22 + 'Summary Sheet - June 2026'!BI22</f>
        <v>0</v>
      </c>
      <c r="BJ21" s="153"/>
    </row>
    <row r="22" ht="15.75" customHeight="1">
      <c r="A22" s="2"/>
      <c r="B22" s="148" t="s">
        <v>37</v>
      </c>
      <c r="C22" s="20">
        <f t="shared" si="12"/>
        <v>48806327.08</v>
      </c>
      <c r="D22" s="75">
        <f t="shared" si="13"/>
        <v>0.3279576208</v>
      </c>
      <c r="E22" s="36">
        <f t="shared" si="14"/>
        <v>758150</v>
      </c>
      <c r="F22" s="152"/>
      <c r="G22" s="174">
        <f>'Summary Sheet - April 2026'!G23 + 'Summary Sheet - May 2026'!G23 + 'Summary Sheet - June 2026'!G23</f>
        <v>7747821.54</v>
      </c>
      <c r="H22" s="149"/>
      <c r="I22" s="174">
        <f>'Summary Sheet - April 2026'!I23 + 'Summary Sheet - May 2026'!I23 + 'Summary Sheet - June 2026'!I23</f>
        <v>0</v>
      </c>
      <c r="J22" s="150"/>
      <c r="K22" s="72">
        <f t="shared" si="15"/>
        <v>41058505.54</v>
      </c>
      <c r="L22" s="151"/>
      <c r="M22" s="36">
        <f t="shared" si="16"/>
        <v>758150</v>
      </c>
      <c r="N22" s="152"/>
      <c r="O22" s="202">
        <f>'Summary Sheet - April 2026'!O23 + 'Summary Sheet - May 2026'!O23 + 'Summary Sheet - June 2026'!O23</f>
        <v>10602073.41</v>
      </c>
      <c r="P22" s="38"/>
      <c r="Q22" s="43">
        <f>'Summary Sheet - April 2026'!Q23 + 'Summary Sheet - May 2026'!Q23 + 'Summary Sheet - June 2026'!Q23</f>
        <v>663750</v>
      </c>
      <c r="R22" s="153"/>
      <c r="S22" s="147">
        <f>'Summary Sheet - April 2026'!S23 +'Summary Sheet - May 2026'!S23 + 'Summary Sheet - June 2026'!S23</f>
        <v>679710.73</v>
      </c>
      <c r="T22" s="38"/>
      <c r="U22" s="43">
        <f>'Summary Sheet - April 2026'!U23 +'Summary Sheet - May 2026'!U23 + 'Summary Sheet - June 2026'!U23</f>
        <v>0</v>
      </c>
      <c r="V22" s="153"/>
      <c r="W22" s="147">
        <f>'Summary Sheet - April 2026'!W23 + 'Summary Sheet - May 2026'!W23 + 'Summary Sheet - June 2026'!W23</f>
        <v>6422135.033</v>
      </c>
      <c r="X22" s="38"/>
      <c r="Y22" s="43">
        <f>'Summary Sheet - April 2026'!Y23 + 'Summary Sheet - May 2026'!Y23 + 'Summary Sheet - June 2026'!Y23</f>
        <v>0</v>
      </c>
      <c r="Z22" s="153"/>
      <c r="AA22" s="147">
        <f>'Summary Sheet - April 2026'!AA23 + 'Summary Sheet - May 2026'!AA23 + 'Summary Sheet - June 2026'!AA23</f>
        <v>3537149.733</v>
      </c>
      <c r="AB22" s="38"/>
      <c r="AC22" s="43">
        <f>'Summary Sheet - April 2026'!AC23 + 'Summary Sheet - May 2026'!AC23 + 'Summary Sheet - June 2026'!AC23</f>
        <v>0</v>
      </c>
      <c r="AD22" s="153"/>
      <c r="AE22" s="147">
        <f>'Summary Sheet - April 2026'!AE23 + 'Summary Sheet - May 2026'!AE23 + 'Summary Sheet - June 2026'!AE23</f>
        <v>7545416.003</v>
      </c>
      <c r="AF22" s="38"/>
      <c r="AG22" s="43">
        <f>'Summary Sheet - April 2026'!AG23 + 'Summary Sheet - May 2026'!AG23 + 'Summary Sheet - June 2026'!AG23</f>
        <v>0</v>
      </c>
      <c r="AH22" s="153"/>
      <c r="AI22" s="147">
        <f>'Summary Sheet - April 2026'!AI23 + 'Summary Sheet - May 2026'!AI23 + 'Summary Sheet - June 2026'!AI23</f>
        <v>460392</v>
      </c>
      <c r="AJ22" s="38"/>
      <c r="AK22" s="43">
        <f>'Summary Sheet - April 2026'!AK23 + 'Summary Sheet - May 2026'!AK23 + 'Summary Sheet - June 2026'!AK23</f>
        <v>0</v>
      </c>
      <c r="AL22" s="153"/>
      <c r="AM22" s="147">
        <f>'Summary Sheet - April 2026'!AM23 + 'Summary Sheet - May 2026'!AM23 + 'Summary Sheet - June 2026'!AM23</f>
        <v>3028630.58</v>
      </c>
      <c r="AN22" s="38"/>
      <c r="AO22" s="43">
        <f>'Summary Sheet - April 2026'!AO23 + 'Summary Sheet - May 2026'!AO23 + 'Summary Sheet - June 2026'!AO23</f>
        <v>94400</v>
      </c>
      <c r="AP22" s="153"/>
      <c r="AQ22" s="147">
        <f>'Summary Sheet - April 2026'!AQ23 + 'Summary Sheet - May 2026'!AQ23 + 'Summary Sheet - June 2026'!AQ23</f>
        <v>7579231.55</v>
      </c>
      <c r="AR22" s="38"/>
      <c r="AS22" s="43">
        <f>'Summary Sheet - April 2026'!AS23 + 'Summary Sheet - May 2026'!AS23 + 'Summary Sheet - June 2026'!AS23</f>
        <v>0</v>
      </c>
      <c r="AT22" s="153"/>
      <c r="AU22" s="147">
        <f>'Summary Sheet - April 2026'!AU23 + 'Summary Sheet - May 2026'!AU23 + 'Summary Sheet - June 2026'!AU23</f>
        <v>0</v>
      </c>
      <c r="AV22" s="38"/>
      <c r="AW22" s="43">
        <f>'Summary Sheet - April 2026'!AW23 + 'Summary Sheet - May 2026'!AW23 + 'Summary Sheet - June 2026'!AW23</f>
        <v>0</v>
      </c>
      <c r="AX22" s="153"/>
      <c r="AY22" s="147">
        <f>'Summary Sheet - April 2026'!AY23 + 'Summary Sheet - May 2026'!AY23 + 'Summary Sheet - June 2026'!AY23</f>
        <v>0</v>
      </c>
      <c r="AZ22" s="38"/>
      <c r="BA22" s="43">
        <f>'Summary Sheet - April 2026'!BA23 + 'Summary Sheet - May 2026'!BA23 + 'Summary Sheet - June 2026'!BA23</f>
        <v>0</v>
      </c>
      <c r="BB22" s="153"/>
      <c r="BC22" s="147">
        <f>'Summary Sheet - April 2026'!BC23 + 'Summary Sheet - May 2026'!BC23 + 'Summary Sheet - June 2026'!BC23</f>
        <v>0</v>
      </c>
      <c r="BD22" s="38"/>
      <c r="BE22" s="43">
        <f>'Summary Sheet - April 2026'!BE23 + 'Summary Sheet - May 2026'!BE23 + 'Summary Sheet - June 2026'!BE23</f>
        <v>0</v>
      </c>
      <c r="BF22" s="153"/>
      <c r="BG22" s="147">
        <f>'Summary Sheet - April 2026'!BG23 + 'Summary Sheet - May 2026'!BG23 + 'Summary Sheet - June 2026'!BG23</f>
        <v>1203766.5</v>
      </c>
      <c r="BH22" s="38"/>
      <c r="BI22" s="43">
        <f>'Summary Sheet - April 2026'!BI23 + 'Summary Sheet - May 2026'!BI23 + 'Summary Sheet - June 2026'!BI23</f>
        <v>0</v>
      </c>
      <c r="BJ22" s="153"/>
    </row>
    <row r="23" ht="15.75" customHeight="1">
      <c r="A23" s="2"/>
      <c r="B23" s="148" t="s">
        <v>38</v>
      </c>
      <c r="C23" s="20">
        <f t="shared" si="12"/>
        <v>1958840.97</v>
      </c>
      <c r="D23" s="75">
        <f t="shared" si="13"/>
        <v>0.01316257261</v>
      </c>
      <c r="E23" s="36">
        <f t="shared" si="14"/>
        <v>0</v>
      </c>
      <c r="F23" s="152"/>
      <c r="G23" s="174">
        <f>'Summary Sheet - April 2026'!G24 + 'Summary Sheet - May 2026'!G24 + 'Summary Sheet - June 2026'!G24</f>
        <v>813941</v>
      </c>
      <c r="H23" s="149"/>
      <c r="I23" s="174">
        <f>'Summary Sheet - April 2026'!I24 + 'Summary Sheet - May 2026'!I24 + 'Summary Sheet - June 2026'!I24</f>
        <v>0</v>
      </c>
      <c r="J23" s="150"/>
      <c r="K23" s="72">
        <f t="shared" si="15"/>
        <v>1144899.97</v>
      </c>
      <c r="L23" s="151"/>
      <c r="M23" s="36">
        <f t="shared" si="16"/>
        <v>0</v>
      </c>
      <c r="N23" s="152"/>
      <c r="O23" s="202">
        <f>'Summary Sheet - April 2026'!O24 + 'Summary Sheet - May 2026'!O24 + 'Summary Sheet - June 2026'!O24</f>
        <v>947509.88</v>
      </c>
      <c r="P23" s="38"/>
      <c r="Q23" s="43">
        <f>'Summary Sheet - April 2026'!Q24 + 'Summary Sheet - May 2026'!Q24 + 'Summary Sheet - June 2026'!Q24</f>
        <v>0</v>
      </c>
      <c r="R23" s="153"/>
      <c r="S23" s="147">
        <f>'Summary Sheet - April 2026'!S24 +'Summary Sheet - May 2026'!S24 + 'Summary Sheet - June 2026'!S24</f>
        <v>0</v>
      </c>
      <c r="T23" s="38"/>
      <c r="U23" s="43">
        <f>'Summary Sheet - April 2026'!U24 +'Summary Sheet - May 2026'!U24 + 'Summary Sheet - June 2026'!U24</f>
        <v>0</v>
      </c>
      <c r="V23" s="153"/>
      <c r="W23" s="147">
        <f>'Summary Sheet - April 2026'!W24 + 'Summary Sheet - May 2026'!W24 + 'Summary Sheet - June 2026'!W24</f>
        <v>46560.5</v>
      </c>
      <c r="X23" s="38"/>
      <c r="Y23" s="43">
        <f>'Summary Sheet - April 2026'!Y24 + 'Summary Sheet - May 2026'!Y24 + 'Summary Sheet - June 2026'!Y24</f>
        <v>0</v>
      </c>
      <c r="Z23" s="153"/>
      <c r="AA23" s="147">
        <f>'Summary Sheet - April 2026'!AA24 + 'Summary Sheet - May 2026'!AA24 + 'Summary Sheet - June 2026'!AA24</f>
        <v>55147.82</v>
      </c>
      <c r="AB23" s="38"/>
      <c r="AC23" s="43">
        <f>'Summary Sheet - April 2026'!AC24 + 'Summary Sheet - May 2026'!AC24 + 'Summary Sheet - June 2026'!AC24</f>
        <v>0</v>
      </c>
      <c r="AD23" s="153"/>
      <c r="AE23" s="147">
        <f>'Summary Sheet - April 2026'!AE24 + 'Summary Sheet - May 2026'!AE24 + 'Summary Sheet - June 2026'!AE24</f>
        <v>47677.73</v>
      </c>
      <c r="AF23" s="38"/>
      <c r="AG23" s="43">
        <f>'Summary Sheet - April 2026'!AG24 + 'Summary Sheet - May 2026'!AG24 + 'Summary Sheet - June 2026'!AG24</f>
        <v>0</v>
      </c>
      <c r="AH23" s="153"/>
      <c r="AI23" s="147">
        <f>'Summary Sheet - April 2026'!AI24 + 'Summary Sheet - May 2026'!AI24 + 'Summary Sheet - June 2026'!AI24</f>
        <v>0</v>
      </c>
      <c r="AJ23" s="38"/>
      <c r="AK23" s="43">
        <f>'Summary Sheet - April 2026'!AK24 + 'Summary Sheet - May 2026'!AK24 + 'Summary Sheet - June 2026'!AK24</f>
        <v>0</v>
      </c>
      <c r="AL23" s="153"/>
      <c r="AM23" s="147">
        <f>'Summary Sheet - April 2026'!AM24 + 'Summary Sheet - May 2026'!AM24 + 'Summary Sheet - June 2026'!AM24</f>
        <v>11118.42</v>
      </c>
      <c r="AN23" s="38"/>
      <c r="AO23" s="43">
        <f>'Summary Sheet - April 2026'!AO24 + 'Summary Sheet - May 2026'!AO24 + 'Summary Sheet - June 2026'!AO24</f>
        <v>0</v>
      </c>
      <c r="AP23" s="153"/>
      <c r="AQ23" s="147">
        <f>'Summary Sheet - April 2026'!AQ24 + 'Summary Sheet - May 2026'!AQ24 + 'Summary Sheet - June 2026'!AQ24</f>
        <v>36885.62</v>
      </c>
      <c r="AR23" s="38"/>
      <c r="AS23" s="43">
        <f>'Summary Sheet - April 2026'!AS24 + 'Summary Sheet - May 2026'!AS24 + 'Summary Sheet - June 2026'!AS24</f>
        <v>0</v>
      </c>
      <c r="AT23" s="153"/>
      <c r="AU23" s="147">
        <f>'Summary Sheet - April 2026'!AU24 + 'Summary Sheet - May 2026'!AU24 + 'Summary Sheet - June 2026'!AU24</f>
        <v>0</v>
      </c>
      <c r="AV23" s="38"/>
      <c r="AW23" s="43">
        <f>'Summary Sheet - April 2026'!AW24 + 'Summary Sheet - May 2026'!AW24 + 'Summary Sheet - June 2026'!AW24</f>
        <v>0</v>
      </c>
      <c r="AX23" s="153"/>
      <c r="AY23" s="147">
        <f>'Summary Sheet - April 2026'!AY24 + 'Summary Sheet - May 2026'!AY24 + 'Summary Sheet - June 2026'!AY24</f>
        <v>0</v>
      </c>
      <c r="AZ23" s="38"/>
      <c r="BA23" s="43">
        <f>'Summary Sheet - April 2026'!BA24 + 'Summary Sheet - May 2026'!BA24 + 'Summary Sheet - June 2026'!BA24</f>
        <v>0</v>
      </c>
      <c r="BB23" s="153"/>
      <c r="BC23" s="147">
        <f>'Summary Sheet - April 2026'!BC24 + 'Summary Sheet - May 2026'!BC24 + 'Summary Sheet - June 2026'!BC24</f>
        <v>0</v>
      </c>
      <c r="BD23" s="38"/>
      <c r="BE23" s="43">
        <f>'Summary Sheet - April 2026'!BE24 + 'Summary Sheet - May 2026'!BE24 + 'Summary Sheet - June 2026'!BE24</f>
        <v>0</v>
      </c>
      <c r="BF23" s="153"/>
      <c r="BG23" s="147">
        <f>'Summary Sheet - April 2026'!BG24 + 'Summary Sheet - May 2026'!BG24 + 'Summary Sheet - June 2026'!BG24</f>
        <v>0</v>
      </c>
      <c r="BH23" s="38"/>
      <c r="BI23" s="43">
        <f>'Summary Sheet - April 2026'!BI24 + 'Summary Sheet - May 2026'!BI24 + 'Summary Sheet - June 2026'!BI24</f>
        <v>0</v>
      </c>
      <c r="BJ23" s="153"/>
    </row>
    <row r="24" ht="15.75" customHeight="1">
      <c r="A24" s="2"/>
      <c r="B24" s="148" t="s">
        <v>39</v>
      </c>
      <c r="C24" s="20">
        <f t="shared" si="12"/>
        <v>964259.07</v>
      </c>
      <c r="D24" s="75">
        <f t="shared" si="13"/>
        <v>0.006479408087</v>
      </c>
      <c r="E24" s="36">
        <f t="shared" si="14"/>
        <v>134471.9167</v>
      </c>
      <c r="F24" s="152"/>
      <c r="G24" s="174">
        <f>'Summary Sheet - April 2026'!G25 + 'Summary Sheet - May 2026'!G25 + 'Summary Sheet - June 2026'!G25</f>
        <v>241237.57</v>
      </c>
      <c r="H24" s="149"/>
      <c r="I24" s="174">
        <f>'Summary Sheet - April 2026'!I25 + 'Summary Sheet - May 2026'!I25 + 'Summary Sheet - June 2026'!I25</f>
        <v>0</v>
      </c>
      <c r="J24" s="150"/>
      <c r="K24" s="72">
        <f t="shared" si="15"/>
        <v>723021.5</v>
      </c>
      <c r="L24" s="151"/>
      <c r="M24" s="36">
        <f t="shared" si="16"/>
        <v>134471.9167</v>
      </c>
      <c r="N24" s="152"/>
      <c r="O24" s="202">
        <f>'Summary Sheet - April 2026'!O25 + 'Summary Sheet - May 2026'!O25 + 'Summary Sheet - June 2026'!O25</f>
        <v>48494.33333</v>
      </c>
      <c r="P24" s="38"/>
      <c r="Q24" s="43">
        <f>'Summary Sheet - April 2026'!Q25 + 'Summary Sheet - May 2026'!Q25 + 'Summary Sheet - June 2026'!Q25</f>
        <v>0</v>
      </c>
      <c r="R24" s="153"/>
      <c r="S24" s="147">
        <f>'Summary Sheet - April 2026'!S25 +'Summary Sheet - May 2026'!S25 + 'Summary Sheet - June 2026'!S25</f>
        <v>46181</v>
      </c>
      <c r="T24" s="38"/>
      <c r="U24" s="43">
        <f>'Summary Sheet - April 2026'!U25 +'Summary Sheet - May 2026'!U25 + 'Summary Sheet - June 2026'!U25</f>
        <v>0</v>
      </c>
      <c r="V24" s="153"/>
      <c r="W24" s="147">
        <f>'Summary Sheet - April 2026'!W25 + 'Summary Sheet - May 2026'!W25 + 'Summary Sheet - June 2026'!W25</f>
        <v>127370.6667</v>
      </c>
      <c r="X24" s="38"/>
      <c r="Y24" s="43">
        <f>'Summary Sheet - April 2026'!Y25 + 'Summary Sheet - May 2026'!Y25 + 'Summary Sheet - June 2026'!Y25</f>
        <v>0</v>
      </c>
      <c r="Z24" s="153"/>
      <c r="AA24" s="147">
        <f>'Summary Sheet - April 2026'!AA25 + 'Summary Sheet - May 2026'!AA25 + 'Summary Sheet - June 2026'!AA25</f>
        <v>99640.66667</v>
      </c>
      <c r="AB24" s="38"/>
      <c r="AC24" s="43">
        <f>'Summary Sheet - April 2026'!AC25 + 'Summary Sheet - May 2026'!AC25 + 'Summary Sheet - June 2026'!AC25</f>
        <v>49820.33333</v>
      </c>
      <c r="AD24" s="153"/>
      <c r="AE24" s="147">
        <f>'Summary Sheet - April 2026'!AE25 + 'Summary Sheet - May 2026'!AE25 + 'Summary Sheet - June 2026'!AE25</f>
        <v>155690.6667</v>
      </c>
      <c r="AF24" s="38"/>
      <c r="AG24" s="43">
        <f>'Summary Sheet - April 2026'!AG25 + 'Summary Sheet - May 2026'!AG25 + 'Summary Sheet - June 2026'!AG25</f>
        <v>77845.33333</v>
      </c>
      <c r="AH24" s="153"/>
      <c r="AI24" s="147">
        <f>'Summary Sheet - April 2026'!AI25 + 'Summary Sheet - May 2026'!AI25 + 'Summary Sheet - June 2026'!AI25</f>
        <v>13612.5</v>
      </c>
      <c r="AJ24" s="38"/>
      <c r="AK24" s="43">
        <f>'Summary Sheet - April 2026'!AK25 + 'Summary Sheet - May 2026'!AK25 + 'Summary Sheet - June 2026'!AK25</f>
        <v>6806.25</v>
      </c>
      <c r="AL24" s="153"/>
      <c r="AM24" s="147">
        <f>'Summary Sheet - April 2026'!AM25 + 'Summary Sheet - May 2026'!AM25 + 'Summary Sheet - June 2026'!AM25</f>
        <v>72561.33333</v>
      </c>
      <c r="AN24" s="38"/>
      <c r="AO24" s="43">
        <f>'Summary Sheet - April 2026'!AO25 + 'Summary Sheet - May 2026'!AO25 + 'Summary Sheet - June 2026'!AO25</f>
        <v>0</v>
      </c>
      <c r="AP24" s="153"/>
      <c r="AQ24" s="147">
        <f>'Summary Sheet - April 2026'!AQ25 + 'Summary Sheet - May 2026'!AQ25 + 'Summary Sheet - June 2026'!AQ25</f>
        <v>6293.333333</v>
      </c>
      <c r="AR24" s="38"/>
      <c r="AS24" s="43">
        <f>'Summary Sheet - April 2026'!AS25 + 'Summary Sheet - May 2026'!AS25 + 'Summary Sheet - June 2026'!AS25</f>
        <v>3146.666667</v>
      </c>
      <c r="AT24" s="153"/>
      <c r="AU24" s="147">
        <f>'Summary Sheet - April 2026'!AU25 + 'Summary Sheet - May 2026'!AU25 + 'Summary Sheet - June 2026'!AU25</f>
        <v>58819</v>
      </c>
      <c r="AV24" s="38"/>
      <c r="AW24" s="43">
        <f>'Summary Sheet - April 2026'!AW25 + 'Summary Sheet - May 2026'!AW25 + 'Summary Sheet - June 2026'!AW25</f>
        <v>0</v>
      </c>
      <c r="AX24" s="153"/>
      <c r="AY24" s="147">
        <f>'Summary Sheet - April 2026'!AY25 + 'Summary Sheet - May 2026'!AY25 + 'Summary Sheet - June 2026'!AY25</f>
        <v>46182</v>
      </c>
      <c r="AZ24" s="38"/>
      <c r="BA24" s="43">
        <f>'Summary Sheet - April 2026'!BA25 + 'Summary Sheet - May 2026'!BA25 + 'Summary Sheet - June 2026'!BA25</f>
        <v>0</v>
      </c>
      <c r="BB24" s="153"/>
      <c r="BC24" s="147">
        <f>'Summary Sheet - April 2026'!BC25 + 'Summary Sheet - May 2026'!BC25 + 'Summary Sheet - June 2026'!BC25</f>
        <v>46182</v>
      </c>
      <c r="BD24" s="38"/>
      <c r="BE24" s="43">
        <f>'Summary Sheet - April 2026'!BE25 + 'Summary Sheet - May 2026'!BE25 + 'Summary Sheet - June 2026'!BE25</f>
        <v>0</v>
      </c>
      <c r="BF24" s="153"/>
      <c r="BG24" s="147">
        <f>'Summary Sheet - April 2026'!BG25 + 'Summary Sheet - May 2026'!BG25 + 'Summary Sheet - June 2026'!BG25</f>
        <v>1994</v>
      </c>
      <c r="BH24" s="38"/>
      <c r="BI24" s="43">
        <f>'Summary Sheet - April 2026'!BI25 + 'Summary Sheet - May 2026'!BI25 + 'Summary Sheet - June 2026'!BI25</f>
        <v>0</v>
      </c>
      <c r="BJ24" s="153"/>
    </row>
    <row r="25" ht="15.75" customHeight="1">
      <c r="A25" s="2"/>
      <c r="B25" s="148" t="s">
        <v>40</v>
      </c>
      <c r="C25" s="20">
        <f t="shared" si="12"/>
        <v>9882304.08</v>
      </c>
      <c r="D25" s="75">
        <f t="shared" si="13"/>
        <v>0.06640485215</v>
      </c>
      <c r="E25" s="36">
        <f t="shared" si="14"/>
        <v>356555.5833</v>
      </c>
      <c r="F25" s="152"/>
      <c r="G25" s="174">
        <f>'Summary Sheet - April 2026'!G26 + 'Summary Sheet - May 2026'!G26 + 'Summary Sheet - June 2026'!G26</f>
        <v>2184064</v>
      </c>
      <c r="H25" s="149"/>
      <c r="I25" s="174">
        <f>'Summary Sheet - April 2026'!I26 + 'Summary Sheet - May 2026'!I26 + 'Summary Sheet - June 2026'!I26</f>
        <v>737.5</v>
      </c>
      <c r="J25" s="150"/>
      <c r="K25" s="72">
        <f t="shared" si="15"/>
        <v>7698240.08</v>
      </c>
      <c r="L25" s="151"/>
      <c r="M25" s="36">
        <f t="shared" si="16"/>
        <v>355818.0833</v>
      </c>
      <c r="N25" s="152"/>
      <c r="O25" s="202">
        <f>'Summary Sheet - April 2026'!O26 + 'Summary Sheet - May 2026'!O26 + 'Summary Sheet - June 2026'!O26</f>
        <v>2374341.263</v>
      </c>
      <c r="P25" s="38"/>
      <c r="Q25" s="43">
        <f>'Summary Sheet - April 2026'!Q26 + 'Summary Sheet - May 2026'!Q26 + 'Summary Sheet - June 2026'!Q26</f>
        <v>184154.5833</v>
      </c>
      <c r="R25" s="153"/>
      <c r="S25" s="147">
        <f>'Summary Sheet - April 2026'!S26 +'Summary Sheet - May 2026'!S26 + 'Summary Sheet - June 2026'!S26</f>
        <v>155919</v>
      </c>
      <c r="T25" s="38"/>
      <c r="U25" s="43">
        <f>'Summary Sheet - April 2026'!U26 +'Summary Sheet - May 2026'!U26 + 'Summary Sheet - June 2026'!U26</f>
        <v>0</v>
      </c>
      <c r="V25" s="153"/>
      <c r="W25" s="147">
        <f>'Summary Sheet - April 2026'!W26 + 'Summary Sheet - May 2026'!W26 + 'Summary Sheet - June 2026'!W26</f>
        <v>1114412.667</v>
      </c>
      <c r="X25" s="38"/>
      <c r="Y25" s="43">
        <f>'Summary Sheet - April 2026'!Y26 + 'Summary Sheet - May 2026'!Y26 + 'Summary Sheet - June 2026'!Y26</f>
        <v>0</v>
      </c>
      <c r="Z25" s="153"/>
      <c r="AA25" s="147">
        <f>'Summary Sheet - April 2026'!AA26 + 'Summary Sheet - May 2026'!AA26 + 'Summary Sheet - June 2026'!AA26</f>
        <v>468887.5</v>
      </c>
      <c r="AB25" s="38"/>
      <c r="AC25" s="43">
        <f>'Summary Sheet - April 2026'!AC26 + 'Summary Sheet - May 2026'!AC26 + 'Summary Sheet - June 2026'!AC26</f>
        <v>15522.25</v>
      </c>
      <c r="AD25" s="153"/>
      <c r="AE25" s="147">
        <f>'Summary Sheet - April 2026'!AE26 + 'Summary Sheet - May 2026'!AE26 + 'Summary Sheet - June 2026'!AE26</f>
        <v>922235.0933</v>
      </c>
      <c r="AF25" s="38"/>
      <c r="AG25" s="43">
        <f>'Summary Sheet - April 2026'!AG26 + 'Summary Sheet - May 2026'!AG26 + 'Summary Sheet - June 2026'!AG26</f>
        <v>133043</v>
      </c>
      <c r="AH25" s="153"/>
      <c r="AI25" s="147">
        <f>'Summary Sheet - April 2026'!AI26 + 'Summary Sheet - May 2026'!AI26 + 'Summary Sheet - June 2026'!AI26</f>
        <v>1414742.513</v>
      </c>
      <c r="AJ25" s="38"/>
      <c r="AK25" s="43">
        <f>'Summary Sheet - April 2026'!AK26 + 'Summary Sheet - May 2026'!AK26 + 'Summary Sheet - June 2026'!AK26</f>
        <v>5934.916667</v>
      </c>
      <c r="AL25" s="153"/>
      <c r="AM25" s="147">
        <f>'Summary Sheet - April 2026'!AM26 + 'Summary Sheet - May 2026'!AM26 + 'Summary Sheet - June 2026'!AM26</f>
        <v>161457.5967</v>
      </c>
      <c r="AN25" s="38"/>
      <c r="AO25" s="43">
        <f>'Summary Sheet - April 2026'!AO26 + 'Summary Sheet - May 2026'!AO26 + 'Summary Sheet - June 2026'!AO26</f>
        <v>17163.33333</v>
      </c>
      <c r="AP25" s="153"/>
      <c r="AQ25" s="147">
        <f>'Summary Sheet - April 2026'!AQ26 + 'Summary Sheet - May 2026'!AQ26 + 'Summary Sheet - June 2026'!AQ26</f>
        <v>994208.4467</v>
      </c>
      <c r="AR25" s="38"/>
      <c r="AS25" s="43">
        <f>'Summary Sheet - April 2026'!AS26 + 'Summary Sheet - May 2026'!AS26 + 'Summary Sheet - June 2026'!AS26</f>
        <v>212632.0833</v>
      </c>
      <c r="AT25" s="153"/>
      <c r="AU25" s="147">
        <f>'Summary Sheet - April 2026'!AU26 + 'Summary Sheet - May 2026'!AU26 + 'Summary Sheet - June 2026'!AU26</f>
        <v>8100</v>
      </c>
      <c r="AV25" s="38"/>
      <c r="AW25" s="43">
        <f>'Summary Sheet - April 2026'!AW26 + 'Summary Sheet - May 2026'!AW26 + 'Summary Sheet - June 2026'!AW26</f>
        <v>0</v>
      </c>
      <c r="AX25" s="153"/>
      <c r="AY25" s="147">
        <f>'Summary Sheet - April 2026'!AY26 + 'Summary Sheet - May 2026'!AY26 + 'Summary Sheet - June 2026'!AY26</f>
        <v>8100</v>
      </c>
      <c r="AZ25" s="38"/>
      <c r="BA25" s="43">
        <f>'Summary Sheet - April 2026'!BA26 + 'Summary Sheet - May 2026'!BA26 + 'Summary Sheet - June 2026'!BA26</f>
        <v>0</v>
      </c>
      <c r="BB25" s="153"/>
      <c r="BC25" s="147">
        <f>'Summary Sheet - April 2026'!BC26 + 'Summary Sheet - May 2026'!BC26 + 'Summary Sheet - June 2026'!BC26</f>
        <v>0</v>
      </c>
      <c r="BD25" s="38"/>
      <c r="BE25" s="43">
        <f>'Summary Sheet - April 2026'!BE26 + 'Summary Sheet - May 2026'!BE26 + 'Summary Sheet - June 2026'!BE26</f>
        <v>0</v>
      </c>
      <c r="BF25" s="153"/>
      <c r="BG25" s="147">
        <f>'Summary Sheet - April 2026'!BG26 + 'Summary Sheet - May 2026'!BG26 + 'Summary Sheet - June 2026'!BG26</f>
        <v>75836</v>
      </c>
      <c r="BH25" s="38"/>
      <c r="BI25" s="43">
        <f>'Summary Sheet - April 2026'!BI26 + 'Summary Sheet - May 2026'!BI26 + 'Summary Sheet - June 2026'!BI26</f>
        <v>0</v>
      </c>
      <c r="BJ25" s="153"/>
    </row>
    <row r="26" ht="15.75" customHeight="1">
      <c r="A26" s="2"/>
      <c r="B26" s="148" t="s">
        <v>41</v>
      </c>
      <c r="C26" s="20">
        <f t="shared" si="12"/>
        <v>925817</v>
      </c>
      <c r="D26" s="75">
        <f t="shared" si="13"/>
        <v>0.006221093837</v>
      </c>
      <c r="E26" s="36">
        <f t="shared" si="14"/>
        <v>10010</v>
      </c>
      <c r="F26" s="152"/>
      <c r="G26" s="174">
        <f>'Summary Sheet - April 2026'!G27 + 'Summary Sheet - May 2026'!G27 + 'Summary Sheet - June 2026'!G27</f>
        <v>828298</v>
      </c>
      <c r="H26" s="149"/>
      <c r="I26" s="174">
        <f>'Summary Sheet - April 2026'!I27 + 'Summary Sheet - May 2026'!I27 + 'Summary Sheet - June 2026'!I27</f>
        <v>0</v>
      </c>
      <c r="J26" s="150"/>
      <c r="K26" s="72">
        <f t="shared" si="15"/>
        <v>97519</v>
      </c>
      <c r="L26" s="151"/>
      <c r="M26" s="36">
        <f t="shared" si="16"/>
        <v>10010</v>
      </c>
      <c r="N26" s="152"/>
      <c r="O26" s="202">
        <f>'Summary Sheet - April 2026'!O27 + 'Summary Sheet - May 2026'!O27 + 'Summary Sheet - June 2026'!O27</f>
        <v>40644</v>
      </c>
      <c r="P26" s="38"/>
      <c r="Q26" s="43">
        <f>'Summary Sheet - April 2026'!Q27 + 'Summary Sheet - May 2026'!Q27 + 'Summary Sheet - June 2026'!Q27</f>
        <v>0</v>
      </c>
      <c r="R26" s="153"/>
      <c r="S26" s="147">
        <f>'Summary Sheet - April 2026'!S27 +'Summary Sheet - May 2026'!S27 + 'Summary Sheet - June 2026'!S27</f>
        <v>0</v>
      </c>
      <c r="T26" s="38"/>
      <c r="U26" s="43">
        <f>'Summary Sheet - April 2026'!U27 +'Summary Sheet - May 2026'!U27 + 'Summary Sheet - June 2026'!U27</f>
        <v>0</v>
      </c>
      <c r="V26" s="153"/>
      <c r="W26" s="147">
        <f>'Summary Sheet - April 2026'!W27 + 'Summary Sheet - May 2026'!W27 + 'Summary Sheet - June 2026'!W27</f>
        <v>20335</v>
      </c>
      <c r="X26" s="38"/>
      <c r="Y26" s="43">
        <f>'Summary Sheet - April 2026'!Y27 + 'Summary Sheet - May 2026'!Y27 + 'Summary Sheet - June 2026'!Y27</f>
        <v>0</v>
      </c>
      <c r="Z26" s="153"/>
      <c r="AA26" s="147">
        <f>'Summary Sheet - April 2026'!AA27 + 'Summary Sheet - May 2026'!AA27 + 'Summary Sheet - June 2026'!AA27</f>
        <v>0</v>
      </c>
      <c r="AB26" s="38"/>
      <c r="AC26" s="43">
        <f>'Summary Sheet - April 2026'!AC27 + 'Summary Sheet - May 2026'!AC27 + 'Summary Sheet - June 2026'!AC27</f>
        <v>0</v>
      </c>
      <c r="AD26" s="153"/>
      <c r="AE26" s="147">
        <f>'Summary Sheet - April 2026'!AE27 + 'Summary Sheet - May 2026'!AE27 + 'Summary Sheet - June 2026'!AE27</f>
        <v>20020</v>
      </c>
      <c r="AF26" s="38"/>
      <c r="AG26" s="43">
        <f>'Summary Sheet - April 2026'!AG27 + 'Summary Sheet - May 2026'!AG27 + 'Summary Sheet - June 2026'!AG27</f>
        <v>10010</v>
      </c>
      <c r="AH26" s="153"/>
      <c r="AI26" s="147">
        <f>'Summary Sheet - April 2026'!AI27 + 'Summary Sheet - May 2026'!AI27 + 'Summary Sheet - June 2026'!AI27</f>
        <v>0</v>
      </c>
      <c r="AJ26" s="38"/>
      <c r="AK26" s="43">
        <f>'Summary Sheet - April 2026'!AK27 + 'Summary Sheet - May 2026'!AK27 + 'Summary Sheet - June 2026'!AK27</f>
        <v>0</v>
      </c>
      <c r="AL26" s="153"/>
      <c r="AM26" s="147">
        <f>'Summary Sheet - April 2026'!AM27 + 'Summary Sheet - May 2026'!AM27 + 'Summary Sheet - June 2026'!AM27</f>
        <v>0</v>
      </c>
      <c r="AN26" s="38"/>
      <c r="AO26" s="43">
        <f>'Summary Sheet - April 2026'!AO27 + 'Summary Sheet - May 2026'!AO27 + 'Summary Sheet - June 2026'!AO27</f>
        <v>0</v>
      </c>
      <c r="AP26" s="153"/>
      <c r="AQ26" s="147">
        <f>'Summary Sheet - April 2026'!AQ27 + 'Summary Sheet - May 2026'!AQ27 + 'Summary Sheet - June 2026'!AQ27</f>
        <v>16520</v>
      </c>
      <c r="AR26" s="38"/>
      <c r="AS26" s="43">
        <f>'Summary Sheet - April 2026'!AS27 + 'Summary Sheet - May 2026'!AS27 + 'Summary Sheet - June 2026'!AS27</f>
        <v>8260</v>
      </c>
      <c r="AT26" s="153"/>
      <c r="AU26" s="147">
        <f>'Summary Sheet - April 2026'!AU27 + 'Summary Sheet - May 2026'!AU27 + 'Summary Sheet - June 2026'!AU27</f>
        <v>0</v>
      </c>
      <c r="AV26" s="38"/>
      <c r="AW26" s="43">
        <f>'Summary Sheet - April 2026'!AW27 + 'Summary Sheet - May 2026'!AW27 + 'Summary Sheet - June 2026'!AW27</f>
        <v>0</v>
      </c>
      <c r="AX26" s="153"/>
      <c r="AY26" s="147">
        <f>'Summary Sheet - April 2026'!AY27 + 'Summary Sheet - May 2026'!AY27 + 'Summary Sheet - June 2026'!AY27</f>
        <v>0</v>
      </c>
      <c r="AZ26" s="38"/>
      <c r="BA26" s="43">
        <f>'Summary Sheet - April 2026'!BA27 + 'Summary Sheet - May 2026'!BA27 + 'Summary Sheet - June 2026'!BA27</f>
        <v>0</v>
      </c>
      <c r="BB26" s="153"/>
      <c r="BC26" s="147">
        <f>'Summary Sheet - April 2026'!BC27 + 'Summary Sheet - May 2026'!BC27 + 'Summary Sheet - June 2026'!BC27</f>
        <v>0</v>
      </c>
      <c r="BD26" s="38"/>
      <c r="BE26" s="43">
        <f>'Summary Sheet - April 2026'!BE27 + 'Summary Sheet - May 2026'!BE27 + 'Summary Sheet - June 2026'!BE27</f>
        <v>0</v>
      </c>
      <c r="BF26" s="153"/>
      <c r="BG26" s="147">
        <f>'Summary Sheet - April 2026'!BG27 + 'Summary Sheet - May 2026'!BG27 + 'Summary Sheet - June 2026'!BG27</f>
        <v>0</v>
      </c>
      <c r="BH26" s="38"/>
      <c r="BI26" s="43">
        <f>'Summary Sheet - April 2026'!BI27 + 'Summary Sheet - May 2026'!BI27 + 'Summary Sheet - June 2026'!BI27</f>
        <v>0</v>
      </c>
      <c r="BJ26" s="153"/>
    </row>
    <row r="27" ht="15.75" customHeight="1">
      <c r="A27" s="2"/>
      <c r="B27" s="155" t="s">
        <v>42</v>
      </c>
      <c r="C27" s="45">
        <f t="shared" si="12"/>
        <v>-3582848.59</v>
      </c>
      <c r="D27" s="203">
        <f t="shared" si="13"/>
        <v>-0.02407520847</v>
      </c>
      <c r="E27" s="46">
        <f t="shared" si="14"/>
        <v>0</v>
      </c>
      <c r="F27" s="157"/>
      <c r="G27" s="174">
        <f>'Summary Sheet - April 2026'!G28 + 'Summary Sheet - May 2026'!G28 + 'Summary Sheet - June 2026'!G28</f>
        <v>423825.41</v>
      </c>
      <c r="H27" s="79"/>
      <c r="I27" s="174">
        <f>'Summary Sheet - April 2026'!I28 + 'Summary Sheet - May 2026'!I28 + 'Summary Sheet - June 2026'!I28</f>
        <v>0</v>
      </c>
      <c r="J27" s="154"/>
      <c r="K27" s="185">
        <f t="shared" si="15"/>
        <v>-4006674</v>
      </c>
      <c r="L27" s="156"/>
      <c r="M27" s="46">
        <f t="shared" si="16"/>
        <v>0</v>
      </c>
      <c r="N27" s="157"/>
      <c r="O27" s="202">
        <f>'Summary Sheet - April 2026'!O28 + 'Summary Sheet - May 2026'!O28 + 'Summary Sheet - June 2026'!O28</f>
        <v>0</v>
      </c>
      <c r="P27" s="48"/>
      <c r="Q27" s="43">
        <f>'Summary Sheet - April 2026'!Q28 + 'Summary Sheet - May 2026'!Q28 + 'Summary Sheet - June 2026'!Q28</f>
        <v>0</v>
      </c>
      <c r="R27" s="158"/>
      <c r="S27" s="147">
        <f>'Summary Sheet - April 2026'!S28 +'Summary Sheet - May 2026'!S28 + 'Summary Sheet - June 2026'!S28</f>
        <v>0</v>
      </c>
      <c r="T27" s="48"/>
      <c r="U27" s="43">
        <f>'Summary Sheet - April 2026'!U28 +'Summary Sheet - May 2026'!U28 + 'Summary Sheet - June 2026'!U28</f>
        <v>0</v>
      </c>
      <c r="V27" s="158"/>
      <c r="W27" s="147">
        <f>'Summary Sheet - April 2026'!W28 + 'Summary Sheet - May 2026'!W28 + 'Summary Sheet - June 2026'!W28</f>
        <v>0</v>
      </c>
      <c r="X27" s="48"/>
      <c r="Y27" s="43">
        <f>'Summary Sheet - April 2026'!Y28 + 'Summary Sheet - May 2026'!Y28 + 'Summary Sheet - June 2026'!Y28</f>
        <v>0</v>
      </c>
      <c r="Z27" s="158"/>
      <c r="AA27" s="147">
        <f>'Summary Sheet - April 2026'!AA28 + 'Summary Sheet - May 2026'!AA28 + 'Summary Sheet - June 2026'!AA28</f>
        <v>0</v>
      </c>
      <c r="AB27" s="48"/>
      <c r="AC27" s="43">
        <f>'Summary Sheet - April 2026'!AC28 + 'Summary Sheet - May 2026'!AC28 + 'Summary Sheet - June 2026'!AC28</f>
        <v>0</v>
      </c>
      <c r="AD27" s="158"/>
      <c r="AE27" s="147">
        <f>'Summary Sheet - April 2026'!AE28 + 'Summary Sheet - May 2026'!AE28 + 'Summary Sheet - June 2026'!AE28</f>
        <v>0</v>
      </c>
      <c r="AF27" s="48"/>
      <c r="AG27" s="43">
        <f>'Summary Sheet - April 2026'!AG28 + 'Summary Sheet - May 2026'!AG28 + 'Summary Sheet - June 2026'!AG28</f>
        <v>0</v>
      </c>
      <c r="AH27" s="158"/>
      <c r="AI27" s="147">
        <f>'Summary Sheet - April 2026'!AI28 + 'Summary Sheet - May 2026'!AI28 + 'Summary Sheet - June 2026'!AI28</f>
        <v>0</v>
      </c>
      <c r="AJ27" s="48"/>
      <c r="AK27" s="43">
        <f>'Summary Sheet - April 2026'!AK28 + 'Summary Sheet - May 2026'!AK28 + 'Summary Sheet - June 2026'!AK28</f>
        <v>0</v>
      </c>
      <c r="AL27" s="158"/>
      <c r="AM27" s="147">
        <f>'Summary Sheet - April 2026'!AM28 + 'Summary Sheet - May 2026'!AM28 + 'Summary Sheet - June 2026'!AM28</f>
        <v>-4016974</v>
      </c>
      <c r="AN27" s="48"/>
      <c r="AO27" s="43">
        <f>'Summary Sheet - April 2026'!AO28 + 'Summary Sheet - May 2026'!AO28 + 'Summary Sheet - June 2026'!AO28</f>
        <v>0</v>
      </c>
      <c r="AP27" s="158"/>
      <c r="AQ27" s="147">
        <f>'Summary Sheet - April 2026'!AQ28 + 'Summary Sheet - May 2026'!AQ28 + 'Summary Sheet - June 2026'!AQ28</f>
        <v>0</v>
      </c>
      <c r="AR27" s="48"/>
      <c r="AS27" s="43">
        <f>'Summary Sheet - April 2026'!AS28 + 'Summary Sheet - May 2026'!AS28 + 'Summary Sheet - June 2026'!AS28</f>
        <v>0</v>
      </c>
      <c r="AT27" s="158"/>
      <c r="AU27" s="147">
        <f>'Summary Sheet - April 2026'!AU28 + 'Summary Sheet - May 2026'!AU28 + 'Summary Sheet - June 2026'!AU28</f>
        <v>0</v>
      </c>
      <c r="AV27" s="48"/>
      <c r="AW27" s="43">
        <f>'Summary Sheet - April 2026'!AW28 + 'Summary Sheet - May 2026'!AW28 + 'Summary Sheet - June 2026'!AW28</f>
        <v>0</v>
      </c>
      <c r="AX27" s="158"/>
      <c r="AY27" s="147">
        <f>'Summary Sheet - April 2026'!AY28 + 'Summary Sheet - May 2026'!AY28 + 'Summary Sheet - June 2026'!AY28</f>
        <v>0</v>
      </c>
      <c r="AZ27" s="48"/>
      <c r="BA27" s="43">
        <f>'Summary Sheet - April 2026'!BA28 + 'Summary Sheet - May 2026'!BA28 + 'Summary Sheet - June 2026'!BA28</f>
        <v>0</v>
      </c>
      <c r="BB27" s="158"/>
      <c r="BC27" s="147">
        <f>'Summary Sheet - April 2026'!BC28 + 'Summary Sheet - May 2026'!BC28 + 'Summary Sheet - June 2026'!BC28</f>
        <v>0</v>
      </c>
      <c r="BD27" s="48"/>
      <c r="BE27" s="43">
        <f>'Summary Sheet - April 2026'!BE28 + 'Summary Sheet - May 2026'!BE28 + 'Summary Sheet - June 2026'!BE28</f>
        <v>0</v>
      </c>
      <c r="BF27" s="158"/>
      <c r="BG27" s="147">
        <f>'Summary Sheet - April 2026'!BG28 + 'Summary Sheet - May 2026'!BG28 + 'Summary Sheet - June 2026'!BG28</f>
        <v>10300</v>
      </c>
      <c r="BH27" s="48"/>
      <c r="BI27" s="43">
        <f>'Summary Sheet - April 2026'!BI28 + 'Summary Sheet - May 2026'!BI28 + 'Summary Sheet - June 2026'!BI28</f>
        <v>0</v>
      </c>
      <c r="BJ27" s="158"/>
    </row>
    <row r="28" ht="15.75" customHeight="1">
      <c r="A28" s="204"/>
      <c r="B28" s="190" t="s">
        <v>43</v>
      </c>
      <c r="C28" s="205">
        <f>SUM(C18:C27)</f>
        <v>85528371.54</v>
      </c>
      <c r="D28" s="192">
        <f>C28/C10</f>
        <v>0.5747140364</v>
      </c>
      <c r="E28" s="206" t="str">
        <f t="shared" si="14"/>
        <v>#REF!</v>
      </c>
      <c r="F28" s="207"/>
      <c r="G28" s="208">
        <f>SUM(G18:G27)</f>
        <v>14101184.77</v>
      </c>
      <c r="H28" s="208"/>
      <c r="I28" s="208">
        <f>SUM(I18:I27)</f>
        <v>53837.5</v>
      </c>
      <c r="J28" s="208"/>
      <c r="K28" s="208">
        <f>SUM(K18:K27)</f>
        <v>71427186.77</v>
      </c>
      <c r="L28" s="208"/>
      <c r="M28" s="208" t="str">
        <f>SUM(M18:M27)</f>
        <v>#REF!</v>
      </c>
      <c r="N28" s="208"/>
      <c r="O28" s="205">
        <f>SUM(O18:O27)</f>
        <v>18874106.79</v>
      </c>
      <c r="P28" s="196"/>
      <c r="Q28" s="196">
        <f>SUM(Q18:Q27)</f>
        <v>2267621.583</v>
      </c>
      <c r="R28" s="209"/>
      <c r="S28" s="205">
        <f>SUM(S18:S27)</f>
        <v>1594493.74</v>
      </c>
      <c r="T28" s="196"/>
      <c r="U28" s="196">
        <f>SUM(U18:U27)</f>
        <v>76212</v>
      </c>
      <c r="V28" s="209"/>
      <c r="W28" s="205">
        <f>SUM(W18:W27)</f>
        <v>13328559.3</v>
      </c>
      <c r="X28" s="196"/>
      <c r="Y28" s="196" t="str">
        <f>SUM(Y18:Y27)</f>
        <v>#REF!</v>
      </c>
      <c r="Z28" s="209"/>
      <c r="AA28" s="205">
        <f>SUM(AA18:AA27)</f>
        <v>8465905.323</v>
      </c>
      <c r="AB28" s="196"/>
      <c r="AC28" s="196">
        <f>SUM(AC18:AC27)</f>
        <v>65342.58333</v>
      </c>
      <c r="AD28" s="209"/>
      <c r="AE28" s="205">
        <f>SUM(AE18:AE27)</f>
        <v>13526887.95</v>
      </c>
      <c r="AF28" s="196"/>
      <c r="AG28" s="196">
        <f>SUM(AG18:AG27)</f>
        <v>220898.3333</v>
      </c>
      <c r="AH28" s="209"/>
      <c r="AI28" s="205">
        <f>SUM(AI18:AI27)</f>
        <v>2375002.013</v>
      </c>
      <c r="AJ28" s="196"/>
      <c r="AK28" s="196">
        <f>SUM(AK18:AK27)</f>
        <v>103672.1667</v>
      </c>
      <c r="AL28" s="209"/>
      <c r="AM28" s="205">
        <f>SUM(AM18:AM27)</f>
        <v>-0.06000000006</v>
      </c>
      <c r="AN28" s="196"/>
      <c r="AO28" s="196">
        <f>SUM(AO18:AO27)</f>
        <v>267286.3333</v>
      </c>
      <c r="AP28" s="209"/>
      <c r="AQ28" s="205">
        <f>SUM(AQ18:AQ27)</f>
        <v>11118566.06</v>
      </c>
      <c r="AR28" s="196"/>
      <c r="AS28" s="196">
        <f>SUM(AS18:AS27)</f>
        <v>261457.75</v>
      </c>
      <c r="AT28" s="209"/>
      <c r="AU28" s="205">
        <f>SUM(AU18:AU27)</f>
        <v>343230.31</v>
      </c>
      <c r="AV28" s="196"/>
      <c r="AW28" s="196">
        <f>SUM(AW18:AW27)</f>
        <v>0</v>
      </c>
      <c r="AX28" s="209"/>
      <c r="AY28" s="205">
        <f>SUM(AY18:AY27)</f>
        <v>166501.31</v>
      </c>
      <c r="AZ28" s="196"/>
      <c r="BA28" s="196">
        <f>SUM(BA18:BA27)</f>
        <v>0</v>
      </c>
      <c r="BB28" s="209"/>
      <c r="BC28" s="205">
        <f>SUM(BC18:BC27)</f>
        <v>175321.97</v>
      </c>
      <c r="BD28" s="196"/>
      <c r="BE28" s="196">
        <f>SUM(BE18:BE27)</f>
        <v>0</v>
      </c>
      <c r="BF28" s="209"/>
      <c r="BG28" s="205">
        <f>SUM(BG18:BG27)</f>
        <v>1458612.06</v>
      </c>
      <c r="BH28" s="196"/>
      <c r="BI28" s="196">
        <f>SUM(BI18:BI27)</f>
        <v>0</v>
      </c>
      <c r="BJ28" s="209"/>
    </row>
    <row r="29" ht="15.75" customHeight="1">
      <c r="A29" s="2"/>
      <c r="B29" s="182"/>
      <c r="C29" s="86"/>
      <c r="D29" s="87"/>
      <c r="E29" s="87"/>
      <c r="F29" s="89"/>
      <c r="G29" s="183"/>
      <c r="H29" s="91"/>
      <c r="I29" s="91"/>
      <c r="J29" s="184"/>
      <c r="K29" s="86"/>
      <c r="L29" s="87"/>
      <c r="M29" s="87"/>
      <c r="N29" s="89"/>
      <c r="O29" s="3"/>
      <c r="P29" s="94"/>
      <c r="Q29" s="94"/>
      <c r="R29" s="187"/>
      <c r="S29" s="189"/>
      <c r="T29" s="94"/>
      <c r="U29" s="94"/>
      <c r="V29" s="187"/>
      <c r="W29" s="189"/>
      <c r="X29" s="94"/>
      <c r="Y29" s="94"/>
      <c r="Z29" s="187"/>
      <c r="AA29" s="189"/>
      <c r="AB29" s="94"/>
      <c r="AC29" s="94"/>
      <c r="AD29" s="187"/>
      <c r="AE29" s="189"/>
      <c r="AF29" s="94"/>
      <c r="AG29" s="94"/>
      <c r="AH29" s="187"/>
      <c r="AI29" s="189"/>
      <c r="AJ29" s="94"/>
      <c r="AK29" s="94"/>
      <c r="AL29" s="187"/>
      <c r="AM29" s="189"/>
      <c r="AN29" s="94"/>
      <c r="AO29" s="94"/>
      <c r="AP29" s="187"/>
      <c r="AQ29" s="189"/>
      <c r="AR29" s="94"/>
      <c r="AS29" s="94"/>
      <c r="AT29" s="187"/>
      <c r="AU29" s="189"/>
      <c r="AV29" s="94"/>
      <c r="AW29" s="94"/>
      <c r="AX29" s="187"/>
      <c r="AY29" s="189"/>
      <c r="AZ29" s="94"/>
      <c r="BA29" s="94"/>
      <c r="BB29" s="187"/>
      <c r="BC29" s="189"/>
      <c r="BD29" s="94"/>
      <c r="BE29" s="94"/>
      <c r="BF29" s="187"/>
      <c r="BG29" s="189"/>
      <c r="BH29" s="94"/>
      <c r="BI29" s="94"/>
      <c r="BJ29" s="187"/>
    </row>
    <row r="30" ht="15.75" customHeight="1">
      <c r="A30" s="2"/>
      <c r="B30" s="160" t="s">
        <v>44</v>
      </c>
      <c r="C30" s="54">
        <f>C16-C28</f>
        <v>5558250.177</v>
      </c>
      <c r="D30" s="55"/>
      <c r="E30" s="56" t="str">
        <f>E16-E28</f>
        <v>#REF!</v>
      </c>
      <c r="F30" s="61"/>
      <c r="G30" s="210">
        <f>G16-G28</f>
        <v>-14101184.77</v>
      </c>
      <c r="H30" s="115"/>
      <c r="I30" s="115">
        <f>I16-I28</f>
        <v>-53837.5</v>
      </c>
      <c r="J30" s="211"/>
      <c r="K30" s="54">
        <f>K16-K28</f>
        <v>19659434.94</v>
      </c>
      <c r="L30" s="57"/>
      <c r="M30" s="56" t="str">
        <f>M16-M28</f>
        <v>#REF!</v>
      </c>
      <c r="N30" s="61"/>
      <c r="O30" s="212">
        <f>O16-O28</f>
        <v>7693765.525</v>
      </c>
      <c r="P30" s="116"/>
      <c r="Q30" s="112">
        <f>Q16-Q28</f>
        <v>-2267621.583</v>
      </c>
      <c r="R30" s="213"/>
      <c r="S30" s="214">
        <f>S16-S28</f>
        <v>-573873.1933</v>
      </c>
      <c r="T30" s="116"/>
      <c r="U30" s="112">
        <f>U16-U28</f>
        <v>-76212</v>
      </c>
      <c r="V30" s="213"/>
      <c r="W30" s="214">
        <f>W16-W28</f>
        <v>1718626.098</v>
      </c>
      <c r="X30" s="116"/>
      <c r="Y30" s="112" t="str">
        <f>Y16-Y28</f>
        <v>#REF!</v>
      </c>
      <c r="Z30" s="213"/>
      <c r="AA30" s="214">
        <f>AA16-AA28</f>
        <v>3294340.536</v>
      </c>
      <c r="AB30" s="116"/>
      <c r="AC30" s="112">
        <f>AC16-AC28</f>
        <v>-65342.58333</v>
      </c>
      <c r="AD30" s="213"/>
      <c r="AE30" s="214">
        <f>AE16-AE28</f>
        <v>8770468.74</v>
      </c>
      <c r="AF30" s="116"/>
      <c r="AG30" s="112">
        <f>AG16-AG28</f>
        <v>-220898.3333</v>
      </c>
      <c r="AH30" s="213"/>
      <c r="AI30" s="214">
        <f>AI16-AI28</f>
        <v>-2376032.013</v>
      </c>
      <c r="AJ30" s="116"/>
      <c r="AK30" s="112">
        <f>AK16-AK28</f>
        <v>-103672.1667</v>
      </c>
      <c r="AL30" s="213"/>
      <c r="AM30" s="214">
        <f>AM16-AM28</f>
        <v>-929566.1041</v>
      </c>
      <c r="AN30" s="116"/>
      <c r="AO30" s="112">
        <f>AO16-AO28</f>
        <v>-267286.3333</v>
      </c>
      <c r="AP30" s="213"/>
      <c r="AQ30" s="214">
        <f>AQ16-AQ28</f>
        <v>3506230.149</v>
      </c>
      <c r="AR30" s="116"/>
      <c r="AS30" s="112">
        <f>AS16-AS28</f>
        <v>-261457.75</v>
      </c>
      <c r="AT30" s="213"/>
      <c r="AU30" s="214">
        <f>AU16-AU28</f>
        <v>-123531.4418</v>
      </c>
      <c r="AV30" s="116"/>
      <c r="AW30" s="112">
        <f>AW16-AW28</f>
        <v>0</v>
      </c>
      <c r="AX30" s="213"/>
      <c r="AY30" s="214">
        <f>AY16-AY28</f>
        <v>-287048.4254</v>
      </c>
      <c r="AZ30" s="116"/>
      <c r="BA30" s="112">
        <f>BA16-BA28</f>
        <v>0</v>
      </c>
      <c r="BB30" s="213"/>
      <c r="BC30" s="214">
        <f>BC16-BC28</f>
        <v>-369427.625</v>
      </c>
      <c r="BD30" s="116"/>
      <c r="BE30" s="112">
        <f>BE16-BE28</f>
        <v>0</v>
      </c>
      <c r="BF30" s="213"/>
      <c r="BG30" s="214">
        <f>BG16-BG28</f>
        <v>-664517.3009</v>
      </c>
      <c r="BH30" s="116"/>
      <c r="BI30" s="112">
        <f>BI16-BI28</f>
        <v>0</v>
      </c>
      <c r="BJ30" s="213"/>
    </row>
    <row r="31" ht="15.75" customHeight="1">
      <c r="A31" s="2"/>
      <c r="B31" s="215" t="s">
        <v>48</v>
      </c>
      <c r="C31" s="216">
        <f>C30/C10</f>
        <v>0.03734906133</v>
      </c>
      <c r="D31" s="217"/>
      <c r="E31" s="192" t="str">
        <f>E30/E10</f>
        <v>#REF!</v>
      </c>
      <c r="F31" s="218"/>
      <c r="G31" s="219"/>
      <c r="H31" s="220"/>
      <c r="I31" s="220"/>
      <c r="J31" s="221"/>
      <c r="K31" s="216">
        <f>K30/K10</f>
        <v>0.1321029853</v>
      </c>
      <c r="L31" s="217"/>
      <c r="M31" s="192" t="str">
        <f>M30/M10</f>
        <v>#REF!</v>
      </c>
      <c r="N31" s="218"/>
      <c r="O31" s="222">
        <f>O30/O10</f>
        <v>0.1879540353</v>
      </c>
      <c r="P31" s="217"/>
      <c r="Q31" s="192" t="str">
        <f>Q30/Q10</f>
        <v>#DIV/0!</v>
      </c>
      <c r="R31" s="223"/>
      <c r="S31" s="224">
        <f>S30/S10</f>
        <v>-0.3442038577</v>
      </c>
      <c r="T31" s="217"/>
      <c r="U31" s="192" t="str">
        <f>U30/U10</f>
        <v>#DIV/0!</v>
      </c>
      <c r="V31" s="223"/>
      <c r="W31" s="224">
        <f>W30/W10</f>
        <v>0.06797535491</v>
      </c>
      <c r="X31" s="217"/>
      <c r="Y31" s="192" t="str">
        <f>Y30/Y10</f>
        <v>#REF!</v>
      </c>
      <c r="Z31" s="223"/>
      <c r="AA31" s="224">
        <f>AA30/AA10</f>
        <v>0.1720672228</v>
      </c>
      <c r="AB31" s="217"/>
      <c r="AC31" s="192" t="str">
        <f>AC30/AC10</f>
        <v>#DIV/0!</v>
      </c>
      <c r="AD31" s="223"/>
      <c r="AE31" s="224">
        <f>AE30/AE10</f>
        <v>0.256201196</v>
      </c>
      <c r="AF31" s="217"/>
      <c r="AG31" s="192" t="str">
        <f>AG30/AG10</f>
        <v>#DIV/0!</v>
      </c>
      <c r="AH31" s="223"/>
      <c r="AI31" s="224" t="str">
        <f>AI30/AI10</f>
        <v>#DIV/0!</v>
      </c>
      <c r="AJ31" s="217"/>
      <c r="AK31" s="192" t="str">
        <f>AK30/AK10</f>
        <v>#DIV/0!</v>
      </c>
      <c r="AL31" s="223"/>
      <c r="AM31" s="224">
        <f>AM30/AM10</f>
        <v>-0.9573347275</v>
      </c>
      <c r="AN31" s="217"/>
      <c r="AO31" s="192" t="str">
        <f>AO30/AO10</f>
        <v>#DIV/0!</v>
      </c>
      <c r="AP31" s="223"/>
      <c r="AQ31" s="225"/>
      <c r="AR31" s="217"/>
      <c r="AS31" s="217"/>
      <c r="AT31" s="223"/>
      <c r="AU31" s="225"/>
      <c r="AV31" s="217"/>
      <c r="AW31" s="217"/>
      <c r="AX31" s="223"/>
      <c r="AY31" s="225"/>
      <c r="AZ31" s="217"/>
      <c r="BA31" s="217"/>
      <c r="BB31" s="223"/>
      <c r="BC31" s="225"/>
      <c r="BD31" s="217"/>
      <c r="BE31" s="217"/>
      <c r="BF31" s="223"/>
      <c r="BG31" s="225"/>
      <c r="BH31" s="217"/>
      <c r="BI31" s="217"/>
      <c r="BJ31" s="22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</row>
    <row r="33" ht="15.75" customHeight="1">
      <c r="A33" s="2"/>
      <c r="B33" s="2"/>
      <c r="C33" s="226">
        <f>G33+K33</f>
        <v>5558250.177</v>
      </c>
      <c r="D33" s="2"/>
      <c r="E33" s="2"/>
      <c r="F33" s="2"/>
      <c r="G33" s="226">
        <f>'Summary Sheet - April 2026'!G31+'Summary Sheet - May 2026'!G31</f>
        <v>-14101184.77</v>
      </c>
      <c r="H33" s="2"/>
      <c r="I33" s="2"/>
      <c r="J33" s="2"/>
      <c r="K33" s="226">
        <f>SUM(O33:BJ33)</f>
        <v>19659434.94</v>
      </c>
      <c r="L33" s="2"/>
      <c r="M33" s="2"/>
      <c r="N33" s="2"/>
      <c r="O33" s="226">
        <f>'Summary Sheet - April 2026'!O31+'Summary Sheet - May 2026'!O31</f>
        <v>7693765.525</v>
      </c>
      <c r="P33" s="2"/>
      <c r="Q33" s="2"/>
      <c r="R33" s="2"/>
      <c r="S33" s="226">
        <f>'Summary Sheet - April 2026'!S31+'Summary Sheet - May 2026'!S31</f>
        <v>-573873.1933</v>
      </c>
      <c r="T33" s="2"/>
      <c r="U33" s="2"/>
      <c r="V33" s="2"/>
      <c r="W33" s="226">
        <f>'Summary Sheet - April 2026'!W31+'Summary Sheet - May 2026'!W31</f>
        <v>1718626.098</v>
      </c>
      <c r="X33" s="2"/>
      <c r="Y33" s="2"/>
      <c r="Z33" s="2"/>
      <c r="AA33" s="226">
        <f>'Summary Sheet - April 2026'!AA31+'Summary Sheet - May 2026'!AA31</f>
        <v>3294340.536</v>
      </c>
      <c r="AB33" s="2"/>
      <c r="AC33" s="2"/>
      <c r="AD33" s="2"/>
      <c r="AE33" s="226">
        <f>'Summary Sheet - April 2026'!AE31+'Summary Sheet - May 2026'!AE31</f>
        <v>8770468.74</v>
      </c>
      <c r="AF33" s="2"/>
      <c r="AG33" s="2"/>
      <c r="AH33" s="2"/>
      <c r="AI33" s="226">
        <f>'Summary Sheet - April 2026'!AI31+'Summary Sheet - May 2026'!AI31</f>
        <v>-2376032.013</v>
      </c>
      <c r="AJ33" s="2"/>
      <c r="AK33" s="2"/>
      <c r="AL33" s="2"/>
      <c r="AM33" s="226">
        <f>'Summary Sheet - April 2026'!AM31+'Summary Sheet - May 2026'!AM31</f>
        <v>-929566.1041</v>
      </c>
      <c r="AN33" s="2"/>
      <c r="AO33" s="2"/>
      <c r="AP33" s="2"/>
      <c r="AQ33" s="226">
        <f>'Summary Sheet - April 2026'!AQ31+'Summary Sheet - May 2026'!AQ31</f>
        <v>3506230.149</v>
      </c>
      <c r="AR33" s="2"/>
      <c r="AS33" s="2"/>
      <c r="AT33" s="2"/>
      <c r="AU33" s="226">
        <f>'Summary Sheet - April 2026'!AU31+'Summary Sheet - May 2026'!AU31</f>
        <v>-123531.4418</v>
      </c>
      <c r="AV33" s="2"/>
      <c r="AW33" s="2"/>
      <c r="AX33" s="2"/>
      <c r="AY33" s="226">
        <f>'Summary Sheet - April 2026'!AY31+'Summary Sheet - May 2026'!AY31</f>
        <v>-287048.4254</v>
      </c>
      <c r="AZ33" s="2"/>
      <c r="BA33" s="2"/>
      <c r="BB33" s="2"/>
      <c r="BC33" s="226">
        <f>'Summary Sheet - April 2026'!BC31+'Summary Sheet - May 2026'!BC31</f>
        <v>-369427.625</v>
      </c>
      <c r="BD33" s="2"/>
      <c r="BE33" s="2"/>
      <c r="BF33" s="2"/>
      <c r="BG33" s="226">
        <f>'Summary Sheet - April 2026'!BG31+'Summary Sheet - May 2026'!BG31</f>
        <v>-664517.3009</v>
      </c>
      <c r="BH33" s="2"/>
      <c r="BI33" s="2"/>
      <c r="BJ33" s="2"/>
    </row>
    <row r="34" ht="15.75" customHeight="1">
      <c r="A34" s="2"/>
      <c r="B34" s="2"/>
      <c r="C34" s="226">
        <f>+C30-C33</f>
        <v>-0.000000003725290298</v>
      </c>
      <c r="D34" s="2"/>
      <c r="E34" s="226"/>
      <c r="F34" s="2"/>
      <c r="G34" s="226">
        <f>+G30-G33</f>
        <v>-0.000000001862645149</v>
      </c>
      <c r="H34" s="2"/>
      <c r="I34" s="2"/>
      <c r="J34" s="2"/>
      <c r="K34" s="226">
        <f>+K30-K33</f>
        <v>-0.00000001862645149</v>
      </c>
      <c r="L34" s="2"/>
      <c r="M34" s="226"/>
      <c r="N34" s="2"/>
      <c r="O34" s="226">
        <f>+O30-O33</f>
        <v>-0.000000003725290298</v>
      </c>
      <c r="P34" s="2"/>
      <c r="Q34" s="226"/>
      <c r="R34" s="2"/>
      <c r="S34" s="226">
        <f>+S30-S33</f>
        <v>0</v>
      </c>
      <c r="T34" s="2"/>
      <c r="U34" s="226"/>
      <c r="V34" s="2"/>
      <c r="W34" s="226">
        <f>+W30-W33</f>
        <v>0.000000002793967724</v>
      </c>
      <c r="X34" s="2"/>
      <c r="Y34" s="226"/>
      <c r="Z34" s="2"/>
      <c r="AA34" s="226">
        <f>+AA30-AA33</f>
        <v>-0.000000001862645149</v>
      </c>
      <c r="AB34" s="2"/>
      <c r="AC34" s="226"/>
      <c r="AD34" s="2"/>
      <c r="AE34" s="226">
        <f>+AE30-AE33</f>
        <v>-0.000000005587935448</v>
      </c>
      <c r="AF34" s="2"/>
      <c r="AG34" s="226"/>
      <c r="AH34" s="2"/>
      <c r="AI34" s="226">
        <f>+AI30-AI33</f>
        <v>0</v>
      </c>
      <c r="AJ34" s="2"/>
      <c r="AK34" s="226"/>
      <c r="AL34" s="2"/>
      <c r="AM34" s="226">
        <f>+AM30-AM33</f>
        <v>0</v>
      </c>
      <c r="AN34" s="2"/>
      <c r="AO34" s="226"/>
      <c r="AP34" s="2"/>
      <c r="AQ34" s="226">
        <f>+AQ30-AQ33</f>
        <v>-0.000000001862645149</v>
      </c>
      <c r="AR34" s="2"/>
      <c r="AS34" s="226"/>
      <c r="AT34" s="2"/>
      <c r="AU34" s="226">
        <f>+AU30-AU33</f>
        <v>0</v>
      </c>
      <c r="AV34" s="2"/>
      <c r="AW34" s="226"/>
      <c r="AX34" s="2"/>
      <c r="AY34" s="226">
        <f>+AY30-AY33</f>
        <v>0</v>
      </c>
      <c r="AZ34" s="2"/>
      <c r="BA34" s="226"/>
      <c r="BB34" s="2"/>
      <c r="BC34" s="226">
        <f>+BC30-BC33</f>
        <v>0</v>
      </c>
      <c r="BD34" s="2"/>
      <c r="BE34" s="226"/>
      <c r="BF34" s="2"/>
      <c r="BG34" s="226">
        <f>+BG30-BG33</f>
        <v>0</v>
      </c>
      <c r="BH34" s="2"/>
      <c r="BI34" s="226"/>
      <c r="B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</row>
    <row r="36" ht="15.75" customHeight="1">
      <c r="A36" s="2"/>
      <c r="B36" s="2"/>
      <c r="C36" s="22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</row>
    <row r="37" ht="15.75" customHeight="1">
      <c r="A37" s="2"/>
      <c r="B37" s="2"/>
      <c r="C37" s="22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3:F3"/>
    <mergeCell ref="G3:J3"/>
    <mergeCell ref="K3:N3"/>
    <mergeCell ref="O3:R3"/>
    <mergeCell ref="S3:V3"/>
    <mergeCell ref="W3:Z3"/>
    <mergeCell ref="BC3:BF3"/>
    <mergeCell ref="BG3:BJ3"/>
    <mergeCell ref="AA3:AD3"/>
    <mergeCell ref="AE3:AH3"/>
    <mergeCell ref="AI3:AL3"/>
    <mergeCell ref="AM3:AP3"/>
    <mergeCell ref="AQ3:AT3"/>
    <mergeCell ref="AU3:AX3"/>
    <mergeCell ref="AY3:B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6" width="12.63"/>
    <col customWidth="1" min="8" max="8" width="13.75"/>
  </cols>
  <sheetData>
    <row r="1" ht="15.75" customHeight="1">
      <c r="A1" s="227" t="s">
        <v>49</v>
      </c>
    </row>
    <row r="2" ht="15.75" customHeight="1">
      <c r="C2" s="228"/>
      <c r="D2" s="228"/>
      <c r="E2" s="228"/>
      <c r="F2" s="228"/>
    </row>
    <row r="3" ht="15.75" customHeight="1">
      <c r="B3" s="229"/>
      <c r="C3" s="230">
        <v>45748.0</v>
      </c>
      <c r="D3" s="230">
        <v>45778.0</v>
      </c>
      <c r="E3" s="230">
        <v>45809.0</v>
      </c>
      <c r="F3" s="230">
        <v>45839.0</v>
      </c>
      <c r="G3" s="230">
        <v>45870.0</v>
      </c>
      <c r="H3" s="230">
        <v>45901.0</v>
      </c>
    </row>
    <row r="4" ht="15.75" customHeight="1">
      <c r="B4" s="231" t="s">
        <v>21</v>
      </c>
      <c r="C4" s="232">
        <f>'Summary Sheet - April 2026'!W5</f>
        <v>1181100</v>
      </c>
      <c r="D4" s="232" t="str">
        <f t="shared" ref="D4:G4" si="1">#REF!</f>
        <v>#REF!</v>
      </c>
      <c r="E4" s="232" t="str">
        <f t="shared" si="1"/>
        <v>#REF!</v>
      </c>
      <c r="F4" s="232" t="str">
        <f t="shared" si="1"/>
        <v>#REF!</v>
      </c>
      <c r="G4" s="232" t="str">
        <f t="shared" si="1"/>
        <v>#REF!</v>
      </c>
      <c r="H4" s="232" t="str">
        <f>'Mg St Colaba'!#REF!</f>
        <v>#ERROR!</v>
      </c>
    </row>
    <row r="5" ht="15.75" customHeight="1">
      <c r="B5" s="231" t="s">
        <v>22</v>
      </c>
      <c r="C5" s="232">
        <f>'Summary Sheet - April 2026'!W6</f>
        <v>769660</v>
      </c>
      <c r="D5" s="232" t="str">
        <f t="shared" ref="D5:G5" si="2">#REF!</f>
        <v>#REF!</v>
      </c>
      <c r="E5" s="232" t="str">
        <f t="shared" si="2"/>
        <v>#REF!</v>
      </c>
      <c r="F5" s="232" t="str">
        <f t="shared" si="2"/>
        <v>#REF!</v>
      </c>
      <c r="G5" s="232" t="str">
        <f t="shared" si="2"/>
        <v>#REF!</v>
      </c>
      <c r="H5" s="232" t="str">
        <f>'Mg St Colaba'!#REF!</f>
        <v>#ERROR!</v>
      </c>
    </row>
    <row r="6" ht="15.75" customHeight="1">
      <c r="B6" s="231" t="s">
        <v>23</v>
      </c>
      <c r="C6" s="232">
        <f>'Summary Sheet - April 2026'!W7</f>
        <v>10177814.49</v>
      </c>
      <c r="D6" s="232" t="str">
        <f t="shared" ref="D6:G6" si="3">#REF!</f>
        <v>#REF!</v>
      </c>
      <c r="E6" s="232" t="str">
        <f t="shared" si="3"/>
        <v>#REF!</v>
      </c>
      <c r="F6" s="232" t="str">
        <f t="shared" si="3"/>
        <v>#REF!</v>
      </c>
      <c r="G6" s="232" t="str">
        <f t="shared" si="3"/>
        <v>#REF!</v>
      </c>
      <c r="H6" s="232" t="str">
        <f>'Mg St Colaba'!#REF!</f>
        <v>#ERROR!</v>
      </c>
    </row>
    <row r="7" ht="15.75" customHeight="1">
      <c r="B7" s="231" t="s">
        <v>24</v>
      </c>
      <c r="C7" s="232">
        <f>'Summary Sheet - April 2026'!W8</f>
        <v>721626</v>
      </c>
      <c r="D7" s="232" t="str">
        <f t="shared" ref="D7:G7" si="4">#REF!</f>
        <v>#REF!</v>
      </c>
      <c r="E7" s="232" t="str">
        <f t="shared" si="4"/>
        <v>#REF!</v>
      </c>
      <c r="F7" s="232" t="str">
        <f t="shared" si="4"/>
        <v>#REF!</v>
      </c>
      <c r="G7" s="232" t="str">
        <f t="shared" si="4"/>
        <v>#REF!</v>
      </c>
      <c r="H7" s="232" t="str">
        <f>'Mg St Colaba'!#REF!</f>
        <v>#ERROR!</v>
      </c>
    </row>
    <row r="8" ht="15.75" customHeight="1">
      <c r="B8" s="231" t="s">
        <v>26</v>
      </c>
      <c r="C8" s="233">
        <f t="shared" ref="C8:H8" si="5">SUM(C4:C7)</f>
        <v>12850200.49</v>
      </c>
      <c r="D8" s="233" t="str">
        <f t="shared" si="5"/>
        <v>#REF!</v>
      </c>
      <c r="E8" s="233" t="str">
        <f t="shared" si="5"/>
        <v>#REF!</v>
      </c>
      <c r="F8" s="233" t="str">
        <f t="shared" si="5"/>
        <v>#REF!</v>
      </c>
      <c r="G8" s="233" t="str">
        <f t="shared" si="5"/>
        <v>#REF!</v>
      </c>
      <c r="H8" s="233" t="str">
        <f t="shared" si="5"/>
        <v>#ERROR!</v>
      </c>
    </row>
    <row r="9" ht="15.75" customHeight="1">
      <c r="B9" s="231"/>
      <c r="C9" s="229" t="str">
        <f>'Summary Sheet - April 2026'!O11</f>
        <v/>
      </c>
      <c r="D9" s="229" t="str">
        <f t="shared" ref="D9:F9" si="6">#REF!</f>
        <v>#REF!</v>
      </c>
      <c r="E9" s="229" t="str">
        <f t="shared" si="6"/>
        <v>#REF!</v>
      </c>
      <c r="F9" s="229" t="str">
        <f t="shared" si="6"/>
        <v>#REF!</v>
      </c>
      <c r="G9" s="229"/>
      <c r="H9" s="229"/>
    </row>
    <row r="10" ht="15.75" customHeight="1">
      <c r="B10" s="231" t="s">
        <v>28</v>
      </c>
      <c r="C10" s="232">
        <f>'Summary Sheet - April 2026'!W12</f>
        <v>4857214.223</v>
      </c>
      <c r="D10" s="232" t="str">
        <f t="shared" ref="D10:G10" si="7">#REF!</f>
        <v>#REF!</v>
      </c>
      <c r="E10" s="232" t="str">
        <f t="shared" si="7"/>
        <v>#REF!</v>
      </c>
      <c r="F10" s="232" t="str">
        <f t="shared" si="7"/>
        <v>#REF!</v>
      </c>
      <c r="G10" s="232" t="str">
        <f t="shared" si="7"/>
        <v>#REF!</v>
      </c>
      <c r="H10" s="232" t="str">
        <f>'Mg St Colaba'!#REF!</f>
        <v>#ERROR!</v>
      </c>
    </row>
    <row r="11" ht="15.75" customHeight="1">
      <c r="B11" s="231" t="s">
        <v>29</v>
      </c>
      <c r="C11" s="232">
        <f>'Summary Sheet - April 2026'!W13</f>
        <v>187031.4</v>
      </c>
      <c r="D11" s="232" t="str">
        <f t="shared" ref="D11:G11" si="8">#REF!</f>
        <v>#REF!</v>
      </c>
      <c r="E11" s="232" t="str">
        <f t="shared" si="8"/>
        <v>#REF!</v>
      </c>
      <c r="F11" s="232" t="str">
        <f t="shared" si="8"/>
        <v>#REF!</v>
      </c>
      <c r="G11" s="232" t="str">
        <f t="shared" si="8"/>
        <v>#REF!</v>
      </c>
      <c r="H11" s="232" t="str">
        <f>'Mg St Colaba'!#REF!</f>
        <v>#ERROR!</v>
      </c>
    </row>
    <row r="12" ht="15.75" customHeight="1">
      <c r="B12" s="231" t="s">
        <v>30</v>
      </c>
      <c r="C12" s="233">
        <f t="shared" ref="C12:H12" si="9">C10+C11</f>
        <v>5044245.623</v>
      </c>
      <c r="D12" s="233" t="str">
        <f t="shared" si="9"/>
        <v>#REF!</v>
      </c>
      <c r="E12" s="233" t="str">
        <f t="shared" si="9"/>
        <v>#REF!</v>
      </c>
      <c r="F12" s="233" t="str">
        <f t="shared" si="9"/>
        <v>#REF!</v>
      </c>
      <c r="G12" s="233" t="str">
        <f t="shared" si="9"/>
        <v>#REF!</v>
      </c>
      <c r="H12" s="233" t="str">
        <f t="shared" si="9"/>
        <v>#ERROR!</v>
      </c>
    </row>
    <row r="13" ht="15.75" customHeight="1">
      <c r="B13" s="231" t="s">
        <v>31</v>
      </c>
      <c r="C13" s="232" t="str">
        <f>#REF!</f>
        <v>#REF!</v>
      </c>
      <c r="D13" s="232" t="str">
        <f>'Mg St Colaba'!#REF!</f>
        <v>#ERROR!</v>
      </c>
      <c r="E13" s="232" t="str">
        <f>'Mg St Colaba'!#REF!</f>
        <v>#ERROR!</v>
      </c>
      <c r="F13" s="232" t="str">
        <f>'Mg St Colaba'!#REF!</f>
        <v>#ERROR!</v>
      </c>
      <c r="G13" s="232" t="str">
        <f>'Mg St Colaba'!#REF!</f>
        <v>#ERROR!</v>
      </c>
      <c r="H13" s="232" t="str">
        <f>'Mg St Colaba'!#REF!</f>
        <v>#ERROR!</v>
      </c>
    </row>
    <row r="14" ht="15.75" customHeight="1">
      <c r="B14" s="231"/>
      <c r="C14" s="229"/>
      <c r="D14" s="229"/>
      <c r="E14" s="229" t="str">
        <f t="shared" ref="E14:F14" si="10">#REF!</f>
        <v>#REF!</v>
      </c>
      <c r="F14" s="229" t="str">
        <f t="shared" si="10"/>
        <v>#REF!</v>
      </c>
      <c r="G14" s="229"/>
      <c r="H14" s="229"/>
    </row>
    <row r="15" ht="15.75" customHeight="1">
      <c r="B15" s="231" t="s">
        <v>32</v>
      </c>
      <c r="C15" s="233" t="str">
        <f t="shared" ref="C15:H15" si="11">C8-C12-C13</f>
        <v>#REF!</v>
      </c>
      <c r="D15" s="233" t="str">
        <f t="shared" si="11"/>
        <v>#REF!</v>
      </c>
      <c r="E15" s="233" t="str">
        <f t="shared" si="11"/>
        <v>#REF!</v>
      </c>
      <c r="F15" s="233" t="str">
        <f t="shared" si="11"/>
        <v>#REF!</v>
      </c>
      <c r="G15" s="233" t="str">
        <f t="shared" si="11"/>
        <v>#REF!</v>
      </c>
      <c r="H15" s="233" t="str">
        <f t="shared" si="11"/>
        <v>#ERROR!</v>
      </c>
    </row>
    <row r="16" ht="15.75" customHeight="1">
      <c r="B16" s="231" t="s">
        <v>50</v>
      </c>
      <c r="C16" s="234" t="str">
        <f t="shared" ref="C16:H16" si="12">C15/C8</f>
        <v>#REF!</v>
      </c>
      <c r="D16" s="234" t="str">
        <f t="shared" si="12"/>
        <v>#REF!</v>
      </c>
      <c r="E16" s="234" t="str">
        <f t="shared" si="12"/>
        <v>#REF!</v>
      </c>
      <c r="F16" s="234" t="str">
        <f t="shared" si="12"/>
        <v>#REF!</v>
      </c>
      <c r="G16" s="234" t="str">
        <f t="shared" si="12"/>
        <v>#REF!</v>
      </c>
      <c r="H16" s="234" t="str">
        <f t="shared" si="12"/>
        <v>#ERROR!</v>
      </c>
    </row>
    <row r="17" ht="15.75" customHeight="1">
      <c r="B17" s="231"/>
      <c r="C17" s="229" t="str">
        <f>'Summary Sheet - April 2026'!O16</f>
        <v/>
      </c>
      <c r="D17" s="229" t="str">
        <f t="shared" ref="D17:F17" si="13">#REF!</f>
        <v>#REF!</v>
      </c>
      <c r="E17" s="229" t="str">
        <f t="shared" si="13"/>
        <v>#REF!</v>
      </c>
      <c r="F17" s="229" t="str">
        <f t="shared" si="13"/>
        <v>#REF!</v>
      </c>
      <c r="G17" s="229"/>
      <c r="H17" s="229"/>
    </row>
    <row r="18" ht="15.75" customHeight="1">
      <c r="B18" s="231" t="s">
        <v>33</v>
      </c>
      <c r="C18" s="232">
        <f>'Summary Sheet - April 2026'!W19</f>
        <v>393268.8733</v>
      </c>
      <c r="D18" s="232" t="str">
        <f t="shared" ref="D18:G18" si="14">#REF!</f>
        <v>#REF!</v>
      </c>
      <c r="E18" s="232" t="str">
        <f t="shared" si="14"/>
        <v>#REF!</v>
      </c>
      <c r="F18" s="232" t="str">
        <f t="shared" si="14"/>
        <v>#REF!</v>
      </c>
      <c r="G18" s="232" t="str">
        <f t="shared" si="14"/>
        <v>#REF!</v>
      </c>
      <c r="H18" s="232" t="str">
        <f>'Mg St Colaba'!#REF!</f>
        <v>#ERROR!</v>
      </c>
    </row>
    <row r="19" ht="15.75" customHeight="1">
      <c r="B19" s="231" t="s">
        <v>34</v>
      </c>
      <c r="C19" s="232">
        <f>'Summary Sheet - April 2026'!W20</f>
        <v>196105.44</v>
      </c>
      <c r="D19" s="232" t="str">
        <f t="shared" ref="D19:G19" si="15">#REF!</f>
        <v>#REF!</v>
      </c>
      <c r="E19" s="232" t="str">
        <f t="shared" si="15"/>
        <v>#REF!</v>
      </c>
      <c r="F19" s="232" t="str">
        <f t="shared" si="15"/>
        <v>#REF!</v>
      </c>
      <c r="G19" s="232" t="str">
        <f t="shared" si="15"/>
        <v>#REF!</v>
      </c>
      <c r="H19" s="232" t="str">
        <f>'Mg St Colaba'!#REF!</f>
        <v>#ERROR!</v>
      </c>
    </row>
    <row r="20" ht="15.75" customHeight="1">
      <c r="B20" s="231" t="s">
        <v>35</v>
      </c>
      <c r="C20" s="232">
        <f>'Summary Sheet - April 2026'!W21</f>
        <v>480580.79</v>
      </c>
      <c r="D20" s="232" t="str">
        <f t="shared" ref="D20:G20" si="16">#REF!</f>
        <v>#REF!</v>
      </c>
      <c r="E20" s="232" t="str">
        <f t="shared" si="16"/>
        <v>#REF!</v>
      </c>
      <c r="F20" s="232" t="str">
        <f t="shared" si="16"/>
        <v>#REF!</v>
      </c>
      <c r="G20" s="232" t="str">
        <f t="shared" si="16"/>
        <v>#REF!</v>
      </c>
      <c r="H20" s="232" t="str">
        <f>'Mg St Colaba'!#REF!</f>
        <v>#ERROR!</v>
      </c>
    </row>
    <row r="21" ht="15.75" customHeight="1">
      <c r="B21" s="231" t="s">
        <v>36</v>
      </c>
      <c r="C21" s="232">
        <f>'Summary Sheet - April 2026'!W22</f>
        <v>1695349.333</v>
      </c>
      <c r="D21" s="232" t="str">
        <f t="shared" ref="D21:G21" si="17">#REF!</f>
        <v>#REF!</v>
      </c>
      <c r="E21" s="232" t="str">
        <f t="shared" si="17"/>
        <v>#REF!</v>
      </c>
      <c r="F21" s="232" t="str">
        <f t="shared" si="17"/>
        <v>#REF!</v>
      </c>
      <c r="G21" s="232" t="str">
        <f t="shared" si="17"/>
        <v>#REF!</v>
      </c>
      <c r="H21" s="232" t="str">
        <f>'Mg St Colaba'!#REF!</f>
        <v>#ERROR!</v>
      </c>
    </row>
    <row r="22" ht="15.75" customHeight="1">
      <c r="B22" s="231" t="s">
        <v>37</v>
      </c>
      <c r="C22" s="232">
        <f>'Summary Sheet - April 2026'!W23</f>
        <v>3187826.767</v>
      </c>
      <c r="D22" s="232" t="str">
        <f t="shared" ref="D22:G22" si="18">#REF!</f>
        <v>#REF!</v>
      </c>
      <c r="E22" s="232" t="str">
        <f t="shared" si="18"/>
        <v>#REF!</v>
      </c>
      <c r="F22" s="232" t="str">
        <f t="shared" si="18"/>
        <v>#REF!</v>
      </c>
      <c r="G22" s="232" t="str">
        <f t="shared" si="18"/>
        <v>#REF!</v>
      </c>
      <c r="H22" s="232" t="str">
        <f>'Mg St Colaba'!#REF!</f>
        <v>#ERROR!</v>
      </c>
    </row>
    <row r="23" ht="15.75" customHeight="1">
      <c r="B23" s="231" t="s">
        <v>38</v>
      </c>
      <c r="C23" s="232">
        <f>'Summary Sheet - April 2026'!W24</f>
        <v>24118.9</v>
      </c>
      <c r="D23" s="232" t="str">
        <f t="shared" ref="D23:F23" si="19">#REF!</f>
        <v>#REF!</v>
      </c>
      <c r="E23" s="232" t="str">
        <f t="shared" si="19"/>
        <v>#REF!</v>
      </c>
      <c r="F23" s="232" t="str">
        <f t="shared" si="19"/>
        <v>#REF!</v>
      </c>
      <c r="G23" s="232" t="str">
        <f>'Mg St Colaba'!#REF!</f>
        <v>#ERROR!</v>
      </c>
      <c r="H23" s="232" t="str">
        <f>'Mg St Colaba'!#REF!</f>
        <v>#ERROR!</v>
      </c>
    </row>
    <row r="24" ht="15.75" customHeight="1">
      <c r="B24" s="231" t="s">
        <v>39</v>
      </c>
      <c r="C24" s="232">
        <f>'Summary Sheet - April 2026'!W25</f>
        <v>63685.33333</v>
      </c>
      <c r="D24" s="232" t="str">
        <f t="shared" ref="D24:F24" si="20">#REF!</f>
        <v>#REF!</v>
      </c>
      <c r="E24" s="232" t="str">
        <f t="shared" si="20"/>
        <v>#REF!</v>
      </c>
      <c r="F24" s="232" t="str">
        <f t="shared" si="20"/>
        <v>#REF!</v>
      </c>
      <c r="G24" s="232" t="str">
        <f>'Mg St Colaba'!#REF!</f>
        <v>#ERROR!</v>
      </c>
      <c r="H24" s="232" t="str">
        <f>'Mg St Colaba'!#REF!</f>
        <v>#ERROR!</v>
      </c>
    </row>
    <row r="25" ht="15.75" customHeight="1">
      <c r="B25" s="231" t="s">
        <v>40</v>
      </c>
      <c r="C25" s="232">
        <f>'Summary Sheet - April 2026'!W26</f>
        <v>667797.9167</v>
      </c>
      <c r="D25" s="232" t="str">
        <f t="shared" ref="D25:F25" si="21">#REF!</f>
        <v>#REF!</v>
      </c>
      <c r="E25" s="232" t="str">
        <f t="shared" si="21"/>
        <v>#REF!</v>
      </c>
      <c r="F25" s="232" t="str">
        <f t="shared" si="21"/>
        <v>#REF!</v>
      </c>
      <c r="G25" s="232" t="str">
        <f>'Mg St Colaba'!#REF!</f>
        <v>#ERROR!</v>
      </c>
      <c r="H25" s="232" t="str">
        <f>'Mg St Colaba'!#REF!</f>
        <v>#ERROR!</v>
      </c>
    </row>
    <row r="26" ht="15.75" customHeight="1">
      <c r="B26" s="231" t="s">
        <v>41</v>
      </c>
      <c r="C26" s="232">
        <f>'Summary Sheet - April 2026'!W27</f>
        <v>10325</v>
      </c>
      <c r="D26" s="232" t="str">
        <f t="shared" ref="D26:F26" si="22">#REF!</f>
        <v>#REF!</v>
      </c>
      <c r="E26" s="232" t="str">
        <f t="shared" si="22"/>
        <v>#REF!</v>
      </c>
      <c r="F26" s="232" t="str">
        <f t="shared" si="22"/>
        <v>#REF!</v>
      </c>
      <c r="G26" s="232"/>
      <c r="H26" s="232"/>
    </row>
    <row r="27" ht="15.75" customHeight="1">
      <c r="B27" s="231" t="s">
        <v>42</v>
      </c>
      <c r="C27" s="232">
        <f>'Summary Sheet - April 2026'!W28</f>
        <v>0</v>
      </c>
      <c r="D27" s="232" t="str">
        <f t="shared" ref="D27:F27" si="23">#REF!</f>
        <v>#REF!</v>
      </c>
      <c r="E27" s="232" t="str">
        <f t="shared" si="23"/>
        <v>#REF!</v>
      </c>
      <c r="F27" s="232" t="str">
        <f t="shared" si="23"/>
        <v>#REF!</v>
      </c>
      <c r="G27" s="232"/>
      <c r="H27" s="232"/>
    </row>
    <row r="28" ht="15.75" customHeight="1">
      <c r="B28" s="231" t="s">
        <v>43</v>
      </c>
      <c r="C28" s="233">
        <f t="shared" ref="C28:H28" si="24">SUM(C18:C27)</f>
        <v>6719058.353</v>
      </c>
      <c r="D28" s="233" t="str">
        <f t="shared" si="24"/>
        <v>#REF!</v>
      </c>
      <c r="E28" s="233" t="str">
        <f t="shared" si="24"/>
        <v>#REF!</v>
      </c>
      <c r="F28" s="233" t="str">
        <f t="shared" si="24"/>
        <v>#REF!</v>
      </c>
      <c r="G28" s="233" t="str">
        <f t="shared" si="24"/>
        <v>#REF!</v>
      </c>
      <c r="H28" s="233" t="str">
        <f t="shared" si="24"/>
        <v>#ERROR!</v>
      </c>
    </row>
    <row r="29" ht="15.75" customHeight="1">
      <c r="B29" s="231"/>
      <c r="C29" s="229"/>
      <c r="D29" s="229"/>
      <c r="E29" s="229" t="str">
        <f t="shared" ref="E29:F29" si="25">#REF!</f>
        <v>#REF!</v>
      </c>
      <c r="F29" s="229" t="str">
        <f t="shared" si="25"/>
        <v>#REF!</v>
      </c>
      <c r="G29" s="229"/>
      <c r="H29" s="229"/>
    </row>
    <row r="30" ht="15.75" customHeight="1">
      <c r="B30" s="231" t="s">
        <v>44</v>
      </c>
      <c r="C30" s="233" t="str">
        <f t="shared" ref="C30:H30" si="26">C15-C28</f>
        <v>#REF!</v>
      </c>
      <c r="D30" s="233" t="str">
        <f t="shared" si="26"/>
        <v>#REF!</v>
      </c>
      <c r="E30" s="233" t="str">
        <f t="shared" si="26"/>
        <v>#REF!</v>
      </c>
      <c r="F30" s="233" t="str">
        <f t="shared" si="26"/>
        <v>#REF!</v>
      </c>
      <c r="G30" s="233" t="str">
        <f t="shared" si="26"/>
        <v>#REF!</v>
      </c>
      <c r="H30" s="233" t="str">
        <f t="shared" si="26"/>
        <v>#ERROR!</v>
      </c>
    </row>
    <row r="31" ht="15.75" customHeight="1">
      <c r="B31" s="231" t="s">
        <v>51</v>
      </c>
      <c r="C31" s="234" t="str">
        <f t="shared" ref="C31:H31" si="27">C30/C8</f>
        <v>#REF!</v>
      </c>
      <c r="D31" s="234" t="str">
        <f t="shared" si="27"/>
        <v>#REF!</v>
      </c>
      <c r="E31" s="234" t="str">
        <f t="shared" si="27"/>
        <v>#REF!</v>
      </c>
      <c r="F31" s="234" t="str">
        <f t="shared" si="27"/>
        <v>#REF!</v>
      </c>
      <c r="G31" s="234" t="str">
        <f t="shared" si="27"/>
        <v>#REF!</v>
      </c>
      <c r="H31" s="234" t="str">
        <f t="shared" si="27"/>
        <v>#ERROR!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33.63"/>
    <col customWidth="1" min="3" max="6" width="12.63"/>
    <col customWidth="1" hidden="1" min="25" max="33" width="12.63"/>
  </cols>
  <sheetData>
    <row r="1" ht="15.75" customHeight="1">
      <c r="A1" s="124" t="s">
        <v>52</v>
      </c>
    </row>
    <row r="2" ht="15.75" customHeight="1">
      <c r="V2" s="235"/>
      <c r="W2" s="235"/>
      <c r="X2" s="236" t="s">
        <v>53</v>
      </c>
      <c r="Y2" s="237" t="s">
        <v>54</v>
      </c>
      <c r="Z2" s="237"/>
      <c r="AA2" s="237"/>
      <c r="AB2" s="237"/>
      <c r="AC2" s="237"/>
      <c r="AD2" s="237"/>
      <c r="AE2" s="237"/>
      <c r="AF2" s="237"/>
      <c r="AG2" s="237"/>
      <c r="AH2" s="237" t="s">
        <v>55</v>
      </c>
      <c r="AJ2" s="237"/>
      <c r="AK2" s="237"/>
      <c r="AL2" s="237"/>
      <c r="AM2" s="237"/>
      <c r="AN2" s="237"/>
      <c r="AO2" s="237"/>
      <c r="AP2" s="237"/>
      <c r="AQ2" s="237"/>
      <c r="AR2" s="237" t="s">
        <v>56</v>
      </c>
      <c r="AT2" s="237"/>
      <c r="AU2" s="237"/>
      <c r="AV2" s="237"/>
      <c r="AW2" s="237"/>
      <c r="AX2" s="237"/>
      <c r="AY2" s="237"/>
      <c r="AZ2" s="237"/>
      <c r="BA2" s="237"/>
      <c r="BB2" s="237" t="s">
        <v>57</v>
      </c>
      <c r="BD2" s="237"/>
      <c r="BE2" s="237"/>
      <c r="BF2" s="237"/>
      <c r="BG2" s="237"/>
      <c r="BH2" s="237"/>
      <c r="BI2" s="237"/>
      <c r="BJ2" s="237"/>
      <c r="BK2" s="237"/>
      <c r="BL2" s="237" t="s">
        <v>58</v>
      </c>
      <c r="BN2" s="237"/>
      <c r="BO2" s="237"/>
      <c r="BP2" s="237"/>
      <c r="BQ2" s="237"/>
      <c r="BR2" s="237"/>
      <c r="BS2" s="237"/>
      <c r="BT2" s="237"/>
      <c r="BU2" s="237" t="s">
        <v>59</v>
      </c>
      <c r="BW2" s="237"/>
      <c r="BX2" s="237"/>
      <c r="BY2" s="237"/>
      <c r="BZ2" s="237"/>
      <c r="CA2" s="237"/>
      <c r="CB2" s="237"/>
      <c r="CC2" s="237"/>
      <c r="CD2" s="237"/>
      <c r="CE2" s="237" t="s">
        <v>60</v>
      </c>
      <c r="CG2" s="237"/>
      <c r="CH2" s="237"/>
      <c r="CI2" s="237"/>
      <c r="CJ2" s="237"/>
      <c r="CK2" s="237"/>
      <c r="CL2" s="237"/>
      <c r="CM2" s="237"/>
      <c r="CN2" s="237"/>
      <c r="CO2" s="237" t="s">
        <v>61</v>
      </c>
      <c r="CR2" s="237"/>
      <c r="CS2" s="237"/>
      <c r="CT2" s="237"/>
      <c r="CU2" s="237"/>
      <c r="CV2" s="237"/>
      <c r="CW2" s="237"/>
      <c r="CX2" s="237"/>
      <c r="CY2" s="237" t="s">
        <v>62</v>
      </c>
      <c r="DA2" s="237"/>
      <c r="DB2" s="237"/>
      <c r="DC2" s="237"/>
      <c r="DD2" s="237"/>
      <c r="DE2" s="237"/>
      <c r="DF2" s="237"/>
      <c r="DG2" s="237"/>
      <c r="DH2" s="237" t="s">
        <v>63</v>
      </c>
      <c r="DJ2" s="237"/>
      <c r="DK2" s="237"/>
      <c r="DL2" s="237"/>
      <c r="DM2" s="237"/>
      <c r="DN2" s="237"/>
      <c r="DO2" s="237"/>
      <c r="DP2" s="237"/>
      <c r="DQ2" s="237"/>
      <c r="DR2" s="237" t="s">
        <v>6</v>
      </c>
      <c r="DS2" s="237"/>
      <c r="DT2" s="237"/>
      <c r="DU2" s="237"/>
      <c r="DV2" s="237"/>
      <c r="DW2" s="237"/>
      <c r="DX2" s="237"/>
      <c r="DY2" s="237"/>
      <c r="DZ2" s="237"/>
    </row>
    <row r="3" ht="15.75" customHeight="1">
      <c r="B3" s="231" t="s">
        <v>64</v>
      </c>
      <c r="C3" s="230">
        <v>45444.0</v>
      </c>
      <c r="D3" s="230">
        <v>45474.0</v>
      </c>
      <c r="E3" s="230">
        <v>45505.0</v>
      </c>
      <c r="F3" s="231" t="s">
        <v>65</v>
      </c>
      <c r="G3" s="230">
        <v>45566.0</v>
      </c>
      <c r="H3" s="230">
        <v>45597.0</v>
      </c>
      <c r="I3" s="230">
        <v>45627.0</v>
      </c>
      <c r="J3" s="230">
        <v>45658.0</v>
      </c>
      <c r="K3" s="230">
        <v>45689.0</v>
      </c>
      <c r="L3" s="230">
        <v>45717.0</v>
      </c>
      <c r="M3" s="230">
        <v>45748.0</v>
      </c>
      <c r="N3" s="230">
        <v>45778.0</v>
      </c>
      <c r="O3" s="231"/>
      <c r="P3" s="231"/>
      <c r="Q3" s="231"/>
      <c r="R3" s="231"/>
      <c r="V3" s="235"/>
      <c r="W3" s="235"/>
      <c r="X3" s="238" t="s">
        <v>66</v>
      </c>
      <c r="Y3" s="239" t="s">
        <v>67</v>
      </c>
      <c r="Z3" s="239" t="s">
        <v>68</v>
      </c>
      <c r="AA3" s="239" t="s">
        <v>69</v>
      </c>
      <c r="AB3" s="239" t="s">
        <v>70</v>
      </c>
      <c r="AC3" s="239" t="s">
        <v>71</v>
      </c>
      <c r="AD3" s="239" t="s">
        <v>72</v>
      </c>
      <c r="AE3" s="239" t="s">
        <v>73</v>
      </c>
      <c r="AF3" s="239" t="s">
        <v>74</v>
      </c>
      <c r="AG3" s="240"/>
      <c r="AH3" s="239" t="s">
        <v>67</v>
      </c>
      <c r="AI3" s="239" t="s">
        <v>68</v>
      </c>
      <c r="AJ3" s="239" t="s">
        <v>69</v>
      </c>
      <c r="AK3" s="239" t="s">
        <v>70</v>
      </c>
      <c r="AL3" s="241" t="s">
        <v>75</v>
      </c>
      <c r="AM3" s="239" t="s">
        <v>71</v>
      </c>
      <c r="AN3" s="239" t="s">
        <v>72</v>
      </c>
      <c r="AO3" s="239" t="s">
        <v>73</v>
      </c>
      <c r="AP3" s="239" t="s">
        <v>74</v>
      </c>
      <c r="AQ3" s="240"/>
      <c r="AR3" s="239" t="s">
        <v>67</v>
      </c>
      <c r="AS3" s="239" t="s">
        <v>68</v>
      </c>
      <c r="AT3" s="239" t="s">
        <v>69</v>
      </c>
      <c r="AU3" s="239" t="s">
        <v>70</v>
      </c>
      <c r="AV3" s="241" t="s">
        <v>75</v>
      </c>
      <c r="AW3" s="239" t="s">
        <v>71</v>
      </c>
      <c r="AX3" s="239" t="s">
        <v>72</v>
      </c>
      <c r="AY3" s="239" t="s">
        <v>73</v>
      </c>
      <c r="AZ3" s="239" t="s">
        <v>74</v>
      </c>
      <c r="BA3" s="240"/>
      <c r="BB3" s="239" t="s">
        <v>67</v>
      </c>
      <c r="BC3" s="239" t="s">
        <v>68</v>
      </c>
      <c r="BD3" s="239" t="s">
        <v>69</v>
      </c>
      <c r="BE3" s="239" t="s">
        <v>70</v>
      </c>
      <c r="BF3" s="241" t="s">
        <v>75</v>
      </c>
      <c r="BG3" s="239" t="s">
        <v>71</v>
      </c>
      <c r="BH3" s="239" t="s">
        <v>72</v>
      </c>
      <c r="BI3" s="239" t="s">
        <v>73</v>
      </c>
      <c r="BJ3" s="239" t="s">
        <v>74</v>
      </c>
      <c r="BK3" s="240"/>
      <c r="BL3" s="239" t="s">
        <v>67</v>
      </c>
      <c r="BM3" s="239" t="s">
        <v>68</v>
      </c>
      <c r="BN3" s="239" t="s">
        <v>69</v>
      </c>
      <c r="BO3" s="239" t="s">
        <v>70</v>
      </c>
      <c r="BP3" s="239" t="s">
        <v>71</v>
      </c>
      <c r="BQ3" s="239" t="s">
        <v>72</v>
      </c>
      <c r="BR3" s="239" t="s">
        <v>73</v>
      </c>
      <c r="BS3" s="239" t="s">
        <v>74</v>
      </c>
      <c r="BT3" s="240"/>
      <c r="BU3" s="239" t="s">
        <v>67</v>
      </c>
      <c r="BV3" s="239" t="s">
        <v>68</v>
      </c>
      <c r="BW3" s="239" t="s">
        <v>69</v>
      </c>
      <c r="BX3" s="239" t="s">
        <v>70</v>
      </c>
      <c r="BY3" s="241" t="s">
        <v>75</v>
      </c>
      <c r="BZ3" s="239" t="s">
        <v>71</v>
      </c>
      <c r="CA3" s="239" t="s">
        <v>72</v>
      </c>
      <c r="CB3" s="239" t="s">
        <v>73</v>
      </c>
      <c r="CC3" s="239" t="s">
        <v>74</v>
      </c>
      <c r="CD3" s="240"/>
      <c r="CE3" s="239" t="s">
        <v>67</v>
      </c>
      <c r="CF3" s="239" t="s">
        <v>68</v>
      </c>
      <c r="CG3" s="239" t="s">
        <v>69</v>
      </c>
      <c r="CH3" s="239" t="s">
        <v>70</v>
      </c>
      <c r="CI3" s="241" t="s">
        <v>75</v>
      </c>
      <c r="CJ3" s="239" t="s">
        <v>71</v>
      </c>
      <c r="CK3" s="239" t="s">
        <v>72</v>
      </c>
      <c r="CL3" s="239" t="s">
        <v>73</v>
      </c>
      <c r="CM3" s="239" t="s">
        <v>74</v>
      </c>
      <c r="CN3" s="240"/>
      <c r="CO3" s="239" t="s">
        <v>67</v>
      </c>
      <c r="CP3" s="239" t="s">
        <v>68</v>
      </c>
      <c r="CQ3" s="239" t="s">
        <v>69</v>
      </c>
      <c r="CR3" s="239" t="s">
        <v>70</v>
      </c>
      <c r="CS3" s="241" t="s">
        <v>75</v>
      </c>
      <c r="CT3" s="239" t="s">
        <v>71</v>
      </c>
      <c r="CU3" s="239" t="s">
        <v>72</v>
      </c>
      <c r="CV3" s="239" t="s">
        <v>73</v>
      </c>
      <c r="CW3" s="239" t="s">
        <v>74</v>
      </c>
      <c r="CX3" s="240"/>
      <c r="CY3" s="239" t="s">
        <v>67</v>
      </c>
      <c r="CZ3" s="239" t="s">
        <v>68</v>
      </c>
      <c r="DA3" s="239" t="s">
        <v>69</v>
      </c>
      <c r="DB3" s="239" t="s">
        <v>70</v>
      </c>
      <c r="DC3" s="239" t="s">
        <v>71</v>
      </c>
      <c r="DD3" s="239" t="s">
        <v>72</v>
      </c>
      <c r="DE3" s="239" t="s">
        <v>73</v>
      </c>
      <c r="DF3" s="239" t="s">
        <v>74</v>
      </c>
      <c r="DG3" s="240"/>
      <c r="DH3" s="239" t="s">
        <v>67</v>
      </c>
      <c r="DI3" s="239" t="s">
        <v>68</v>
      </c>
      <c r="DJ3" s="239" t="s">
        <v>69</v>
      </c>
      <c r="DK3" s="239" t="s">
        <v>70</v>
      </c>
      <c r="DL3" s="241" t="s">
        <v>75</v>
      </c>
      <c r="DM3" s="239" t="s">
        <v>71</v>
      </c>
      <c r="DN3" s="239" t="s">
        <v>72</v>
      </c>
      <c r="DO3" s="239" t="s">
        <v>73</v>
      </c>
      <c r="DP3" s="239" t="s">
        <v>74</v>
      </c>
      <c r="DQ3" s="240"/>
      <c r="DR3" s="239" t="s">
        <v>67</v>
      </c>
      <c r="DS3" s="239" t="s">
        <v>68</v>
      </c>
      <c r="DT3" s="239" t="s">
        <v>69</v>
      </c>
      <c r="DU3" s="239" t="s">
        <v>70</v>
      </c>
      <c r="DV3" s="241" t="s">
        <v>75</v>
      </c>
      <c r="DW3" s="239" t="s">
        <v>71</v>
      </c>
      <c r="DX3" s="239" t="s">
        <v>72</v>
      </c>
      <c r="DY3" s="239" t="s">
        <v>73</v>
      </c>
      <c r="DZ3" s="239" t="s">
        <v>74</v>
      </c>
    </row>
    <row r="4" ht="15.75" customHeight="1">
      <c r="B4" s="242" t="s">
        <v>76</v>
      </c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32">
        <f>'Mg St Colaba'!D6</f>
        <v>5434</v>
      </c>
      <c r="N4" s="232" t="str">
        <f>'Mg St Colaba'!#REF!</f>
        <v>#ERROR!</v>
      </c>
      <c r="O4" s="229"/>
      <c r="P4" s="229"/>
      <c r="Q4" s="229"/>
      <c r="R4" s="229"/>
      <c r="V4" s="235"/>
      <c r="W4" s="243"/>
      <c r="X4" s="244">
        <v>45444.0</v>
      </c>
      <c r="Y4" s="245">
        <v>4.061045226E7</v>
      </c>
      <c r="Z4" s="245">
        <v>3.261215775E7</v>
      </c>
      <c r="AA4" s="245">
        <v>6289412.4</v>
      </c>
      <c r="AB4" s="246">
        <v>1708882.11</v>
      </c>
      <c r="AC4" s="245">
        <v>20552.0</v>
      </c>
      <c r="AD4" s="246">
        <v>1587.81</v>
      </c>
      <c r="AE4" s="245">
        <v>7595.0</v>
      </c>
      <c r="AF4" s="245">
        <v>1110.22</v>
      </c>
      <c r="AG4" s="247"/>
      <c r="AH4" s="247" t="s">
        <v>77</v>
      </c>
      <c r="AI4" s="247" t="s">
        <v>78</v>
      </c>
      <c r="AJ4" s="247" t="s">
        <v>79</v>
      </c>
      <c r="AK4" s="247" t="s">
        <v>80</v>
      </c>
      <c r="AL4" s="248">
        <v>1.146578075E7</v>
      </c>
      <c r="AM4" s="247" t="s">
        <v>81</v>
      </c>
      <c r="AN4" s="247" t="s">
        <v>82</v>
      </c>
      <c r="AO4" s="245">
        <v>1229.0</v>
      </c>
      <c r="AP4" s="245">
        <v>1376.2</v>
      </c>
      <c r="AQ4" s="245"/>
      <c r="AR4" s="245">
        <v>1.025203875E7</v>
      </c>
      <c r="AS4" s="245">
        <v>8727909.0</v>
      </c>
      <c r="AT4" s="246">
        <v>1207380.0</v>
      </c>
      <c r="AU4" s="245">
        <v>316749.75</v>
      </c>
      <c r="AV4" s="249">
        <v>9044658.75</v>
      </c>
      <c r="AW4" s="245">
        <v>5928.0</v>
      </c>
      <c r="AX4" s="245">
        <v>1473.32</v>
      </c>
      <c r="AY4" s="245">
        <v>1135.0</v>
      </c>
      <c r="AZ4" s="245">
        <v>1427.16</v>
      </c>
      <c r="BA4" s="245"/>
      <c r="BB4" s="245">
        <v>5954008.5</v>
      </c>
      <c r="BC4" s="246">
        <v>3474309.0</v>
      </c>
      <c r="BD4" s="245">
        <v>2001483.0</v>
      </c>
      <c r="BE4" s="246">
        <v>478216.5</v>
      </c>
      <c r="BF4" s="245">
        <v>3952525.5</v>
      </c>
      <c r="BG4" s="245">
        <v>3802.0</v>
      </c>
      <c r="BH4" s="245">
        <v>914.81</v>
      </c>
      <c r="BI4" s="245">
        <v>2046.0</v>
      </c>
      <c r="BJ4" s="245">
        <v>1477.11</v>
      </c>
      <c r="BK4" s="245"/>
      <c r="BL4" s="245">
        <v>206749.36</v>
      </c>
      <c r="BM4" s="245">
        <v>0.0</v>
      </c>
      <c r="BN4" s="245">
        <v>206749.36</v>
      </c>
      <c r="BO4" s="245">
        <v>0.0</v>
      </c>
      <c r="BP4" s="245">
        <v>0.0</v>
      </c>
      <c r="BQ4" s="245">
        <v>0.0</v>
      </c>
      <c r="BR4" s="245">
        <v>394.0</v>
      </c>
      <c r="BS4" s="245">
        <v>524.74</v>
      </c>
      <c r="BT4" s="245"/>
      <c r="BU4" s="245">
        <v>334731.54</v>
      </c>
      <c r="BV4" s="245">
        <v>0.0</v>
      </c>
      <c r="BW4" s="245">
        <v>181825.04</v>
      </c>
      <c r="BX4" s="245">
        <v>152906.5</v>
      </c>
      <c r="BY4" s="245">
        <v>152906.5</v>
      </c>
      <c r="BZ4" s="245">
        <v>0.0</v>
      </c>
      <c r="CA4" s="245">
        <v>0.0</v>
      </c>
      <c r="CB4" s="245">
        <v>334.0</v>
      </c>
      <c r="CC4" s="245">
        <v>629.15</v>
      </c>
      <c r="CD4" s="245"/>
      <c r="CE4" s="245">
        <v>725851.86</v>
      </c>
      <c r="CF4" s="246">
        <v>0.0</v>
      </c>
      <c r="CG4" s="245">
        <v>351691.0</v>
      </c>
      <c r="CH4" s="245">
        <v>374160.86</v>
      </c>
      <c r="CI4" s="245">
        <v>374160.86</v>
      </c>
      <c r="CJ4" s="245">
        <v>0.0</v>
      </c>
      <c r="CK4" s="245">
        <v>0.0</v>
      </c>
      <c r="CL4" s="245">
        <v>1174.0</v>
      </c>
      <c r="CM4" s="245">
        <v>575.6</v>
      </c>
      <c r="CN4" s="245"/>
      <c r="CO4" s="245">
        <v>445738.0</v>
      </c>
      <c r="CP4" s="245">
        <v>0.0</v>
      </c>
      <c r="CQ4" s="245">
        <v>442013.0</v>
      </c>
      <c r="CR4" s="245">
        <v>3725.0</v>
      </c>
      <c r="CS4" s="245">
        <v>3725.0</v>
      </c>
      <c r="CT4" s="245">
        <v>0.0</v>
      </c>
      <c r="CU4" s="245">
        <v>0.0</v>
      </c>
      <c r="CV4" s="245">
        <v>806.0</v>
      </c>
      <c r="CW4" s="245">
        <v>550.45</v>
      </c>
      <c r="CX4" s="245"/>
      <c r="CY4" s="250"/>
      <c r="CZ4" s="250"/>
      <c r="DA4" s="250"/>
      <c r="DB4" s="250"/>
      <c r="DC4" s="250"/>
      <c r="DD4" s="250"/>
      <c r="DE4" s="251"/>
      <c r="DF4" s="250"/>
      <c r="DG4" s="245"/>
      <c r="DH4" s="245">
        <v>9707698.5</v>
      </c>
      <c r="DI4" s="245">
        <v>9191555.0</v>
      </c>
      <c r="DJ4" s="245">
        <v>408771.0</v>
      </c>
      <c r="DK4" s="245">
        <v>107372.5</v>
      </c>
      <c r="DL4" s="245">
        <v>9298927.5</v>
      </c>
      <c r="DM4" s="245">
        <v>3296.0</v>
      </c>
      <c r="DN4" s="245">
        <v>2789.7</v>
      </c>
      <c r="DO4" s="245">
        <v>322.0</v>
      </c>
      <c r="DP4" s="245">
        <v>1497.33</v>
      </c>
      <c r="DQ4" s="245"/>
      <c r="DR4" s="245">
        <v>203585.0</v>
      </c>
      <c r="DS4" s="245">
        <v>0.0</v>
      </c>
      <c r="DT4" s="245">
        <v>175230.0</v>
      </c>
      <c r="DU4" s="245">
        <v>28355.0</v>
      </c>
      <c r="DV4" s="245">
        <v>28355.0</v>
      </c>
      <c r="DW4" s="245">
        <v>0.0</v>
      </c>
      <c r="DX4" s="245">
        <v>0.0</v>
      </c>
      <c r="DY4" s="245">
        <v>155.0</v>
      </c>
      <c r="DZ4" s="245">
        <v>1260.65</v>
      </c>
    </row>
    <row r="5" ht="15.75" customHeight="1">
      <c r="B5" s="242" t="s">
        <v>83</v>
      </c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32">
        <f>'Mg St Colaba'!D7</f>
        <v>1706</v>
      </c>
      <c r="N5" s="232" t="str">
        <f>'Mg St Colaba'!#REF!</f>
        <v>#ERROR!</v>
      </c>
      <c r="O5" s="229"/>
      <c r="P5" s="229"/>
      <c r="Q5" s="229"/>
      <c r="R5" s="229"/>
      <c r="V5" s="235"/>
      <c r="W5" s="243"/>
      <c r="X5" s="244">
        <v>45474.0</v>
      </c>
      <c r="Y5" s="245">
        <v>4.203608797E7</v>
      </c>
      <c r="Z5" s="245">
        <v>3.336990547E7</v>
      </c>
      <c r="AA5" s="245">
        <v>6715473.72</v>
      </c>
      <c r="AB5" s="246">
        <v>1936843.78</v>
      </c>
      <c r="AC5" s="245">
        <v>20849.0</v>
      </c>
      <c r="AD5" s="246">
        <v>1601.55</v>
      </c>
      <c r="AE5" s="245">
        <v>8085.0</v>
      </c>
      <c r="AF5" s="245">
        <v>1132.46</v>
      </c>
      <c r="AG5" s="247"/>
      <c r="AH5" s="247" t="s">
        <v>84</v>
      </c>
      <c r="AI5" s="247" t="s">
        <v>85</v>
      </c>
      <c r="AJ5" s="247" t="s">
        <v>86</v>
      </c>
      <c r="AK5" s="247" t="s">
        <v>87</v>
      </c>
      <c r="AL5" s="248">
        <v>1.08495985E7</v>
      </c>
      <c r="AM5" s="247" t="s">
        <v>88</v>
      </c>
      <c r="AN5" s="247" t="s">
        <v>89</v>
      </c>
      <c r="AO5" s="245">
        <v>1332.0</v>
      </c>
      <c r="AP5" s="245">
        <v>1385.36</v>
      </c>
      <c r="AQ5" s="245"/>
      <c r="AR5" s="245">
        <v>1.072027275E7</v>
      </c>
      <c r="AS5" s="245">
        <v>8903963.75</v>
      </c>
      <c r="AT5" s="246">
        <v>1458400.0</v>
      </c>
      <c r="AU5" s="245">
        <v>357909.0</v>
      </c>
      <c r="AV5" s="249">
        <v>9261872.75</v>
      </c>
      <c r="AW5" s="245">
        <v>6066.0</v>
      </c>
      <c r="AX5" s="245">
        <v>1468.85</v>
      </c>
      <c r="AY5" s="245">
        <v>1305.0</v>
      </c>
      <c r="AZ5" s="245">
        <v>1438.26</v>
      </c>
      <c r="BA5" s="245"/>
      <c r="BB5" s="245">
        <v>6271416.0</v>
      </c>
      <c r="BC5" s="246">
        <v>3649913.5</v>
      </c>
      <c r="BD5" s="245">
        <v>1984457.0</v>
      </c>
      <c r="BE5" s="246">
        <v>637045.5</v>
      </c>
      <c r="BF5" s="245">
        <v>4286959.0</v>
      </c>
      <c r="BG5" s="245">
        <v>4112.0</v>
      </c>
      <c r="BH5" s="245">
        <v>888.62</v>
      </c>
      <c r="BI5" s="245">
        <v>2162.0</v>
      </c>
      <c r="BJ5" s="245">
        <v>1513.7</v>
      </c>
      <c r="BK5" s="245"/>
      <c r="BL5" s="245">
        <v>214714.22</v>
      </c>
      <c r="BM5" s="245">
        <v>0.0</v>
      </c>
      <c r="BN5" s="245">
        <v>214714.22</v>
      </c>
      <c r="BO5" s="245">
        <v>0.0</v>
      </c>
      <c r="BP5" s="245">
        <v>0.0</v>
      </c>
      <c r="BQ5" s="245">
        <v>0.0</v>
      </c>
      <c r="BR5" s="245">
        <v>390.0</v>
      </c>
      <c r="BS5" s="245">
        <v>550.55</v>
      </c>
      <c r="BT5" s="245"/>
      <c r="BU5" s="245">
        <v>389232.0</v>
      </c>
      <c r="BV5" s="245">
        <v>0.0</v>
      </c>
      <c r="BW5" s="245">
        <v>230855.5</v>
      </c>
      <c r="BX5" s="245">
        <v>158376.5</v>
      </c>
      <c r="BY5" s="245">
        <v>158376.5</v>
      </c>
      <c r="BZ5" s="245">
        <v>0.0</v>
      </c>
      <c r="CA5" s="245">
        <v>0.0</v>
      </c>
      <c r="CB5" s="245">
        <v>373.0</v>
      </c>
      <c r="CC5" s="245">
        <v>708.15</v>
      </c>
      <c r="CD5" s="245"/>
      <c r="CE5" s="245">
        <v>762792.28</v>
      </c>
      <c r="CF5" s="246">
        <v>0.0</v>
      </c>
      <c r="CG5" s="245">
        <v>389437.0</v>
      </c>
      <c r="CH5" s="245">
        <v>373355.28</v>
      </c>
      <c r="CI5" s="245">
        <v>373355.28</v>
      </c>
      <c r="CJ5" s="245">
        <v>0.0</v>
      </c>
      <c r="CK5" s="245">
        <v>0.0</v>
      </c>
      <c r="CL5" s="245">
        <v>1265.0</v>
      </c>
      <c r="CM5" s="245">
        <v>569.35</v>
      </c>
      <c r="CN5" s="245"/>
      <c r="CO5" s="245">
        <v>399988.0</v>
      </c>
      <c r="CP5" s="245">
        <v>0.0</v>
      </c>
      <c r="CQ5" s="245">
        <v>398588.0</v>
      </c>
      <c r="CR5" s="245">
        <v>1400.0</v>
      </c>
      <c r="CS5" s="245">
        <v>1400.0</v>
      </c>
      <c r="CT5" s="245">
        <v>0.0</v>
      </c>
      <c r="CU5" s="245">
        <v>0.0</v>
      </c>
      <c r="CV5" s="245">
        <v>766.0</v>
      </c>
      <c r="CW5" s="245">
        <v>521.03</v>
      </c>
      <c r="CX5" s="245"/>
      <c r="CY5" s="250"/>
      <c r="CZ5" s="250"/>
      <c r="DA5" s="250"/>
      <c r="DB5" s="250"/>
      <c r="DC5" s="250"/>
      <c r="DD5" s="250"/>
      <c r="DE5" s="251"/>
      <c r="DF5" s="250"/>
      <c r="DG5" s="245"/>
      <c r="DH5" s="245">
        <v>1.079563822E7</v>
      </c>
      <c r="DI5" s="245">
        <v>1.020506622E7</v>
      </c>
      <c r="DJ5" s="245">
        <v>427246.0</v>
      </c>
      <c r="DK5" s="245">
        <v>149461.0</v>
      </c>
      <c r="DL5" s="245">
        <v>1.035452722E7</v>
      </c>
      <c r="DM5" s="245">
        <v>3527.0</v>
      </c>
      <c r="DN5" s="245">
        <v>2894.41</v>
      </c>
      <c r="DO5" s="245">
        <v>324.0</v>
      </c>
      <c r="DP5" s="245">
        <v>1702.18</v>
      </c>
      <c r="DQ5" s="245"/>
      <c r="DR5" s="245">
        <v>201360.0</v>
      </c>
      <c r="DS5" s="245">
        <v>0.0</v>
      </c>
      <c r="DT5" s="245">
        <v>180700.0</v>
      </c>
      <c r="DU5" s="245">
        <v>20660.0</v>
      </c>
      <c r="DV5" s="245">
        <v>20660.0</v>
      </c>
      <c r="DW5" s="245">
        <v>0.0</v>
      </c>
      <c r="DX5" s="245">
        <v>0.0</v>
      </c>
      <c r="DY5" s="245">
        <v>168.0</v>
      </c>
      <c r="DZ5" s="245">
        <v>1158.33</v>
      </c>
    </row>
    <row r="6" ht="15.75" customHeight="1">
      <c r="B6" s="242" t="s">
        <v>90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32">
        <f>'Mg St Colaba'!D8</f>
        <v>8713619.25</v>
      </c>
      <c r="N6" s="232" t="str">
        <f>'Mg St Colaba'!#REF!</f>
        <v>#ERROR!</v>
      </c>
      <c r="O6" s="229"/>
      <c r="P6" s="229"/>
      <c r="Q6" s="229"/>
      <c r="R6" s="229"/>
      <c r="V6" s="235"/>
      <c r="W6" s="243"/>
      <c r="X6" s="244">
        <v>45505.0</v>
      </c>
      <c r="Y6" s="245">
        <v>4.677713301E7</v>
      </c>
      <c r="Z6" s="245">
        <v>3.705463385E7</v>
      </c>
      <c r="AA6" s="245">
        <v>7413990.41</v>
      </c>
      <c r="AB6" s="246">
        <v>2296488.75</v>
      </c>
      <c r="AC6" s="245">
        <v>22678.0</v>
      </c>
      <c r="AD6" s="246">
        <v>1634.95</v>
      </c>
      <c r="AE6" s="245">
        <v>8551.0</v>
      </c>
      <c r="AF6" s="245">
        <v>1177.2</v>
      </c>
      <c r="AG6" s="247"/>
      <c r="AH6" s="247" t="s">
        <v>91</v>
      </c>
      <c r="AI6" s="247" t="s">
        <v>92</v>
      </c>
      <c r="AJ6" s="247" t="s">
        <v>93</v>
      </c>
      <c r="AK6" s="247" t="s">
        <v>94</v>
      </c>
      <c r="AL6" s="248">
        <v>1.232067425E7</v>
      </c>
      <c r="AM6" s="247" t="s">
        <v>95</v>
      </c>
      <c r="AN6" s="247" t="s">
        <v>96</v>
      </c>
      <c r="AO6" s="245">
        <v>1601.0</v>
      </c>
      <c r="AP6" s="245">
        <v>1367.76</v>
      </c>
      <c r="AQ6" s="245"/>
      <c r="AR6" s="245">
        <v>1.213288075E7</v>
      </c>
      <c r="AS6" s="245">
        <v>1.016822475E7</v>
      </c>
      <c r="AT6" s="246">
        <v>1517171.0</v>
      </c>
      <c r="AU6" s="245">
        <v>447485.0</v>
      </c>
      <c r="AV6" s="249">
        <v>1.061570975E7</v>
      </c>
      <c r="AW6" s="245">
        <v>6698.0</v>
      </c>
      <c r="AX6" s="245">
        <v>1519.1</v>
      </c>
      <c r="AY6" s="245">
        <v>1372.0</v>
      </c>
      <c r="AZ6" s="245">
        <v>1436.71</v>
      </c>
      <c r="BA6" s="245"/>
      <c r="BB6" s="245">
        <v>6848079.25</v>
      </c>
      <c r="BC6" s="246">
        <v>3841861.75</v>
      </c>
      <c r="BD6" s="245">
        <v>2334118.0</v>
      </c>
      <c r="BE6" s="246">
        <v>672099.5</v>
      </c>
      <c r="BF6" s="245">
        <v>4513961.25</v>
      </c>
      <c r="BG6" s="245">
        <v>4354.0</v>
      </c>
      <c r="BH6" s="245">
        <v>883.38</v>
      </c>
      <c r="BI6" s="245">
        <v>2328.0</v>
      </c>
      <c r="BJ6" s="245">
        <v>1543.73</v>
      </c>
      <c r="BK6" s="245"/>
      <c r="BL6" s="245">
        <v>218895.16</v>
      </c>
      <c r="BM6" s="245">
        <v>0.0</v>
      </c>
      <c r="BN6" s="245">
        <v>218895.16</v>
      </c>
      <c r="BO6" s="245">
        <v>0.0</v>
      </c>
      <c r="BP6" s="245">
        <v>0.0</v>
      </c>
      <c r="BQ6" s="245">
        <v>0.0</v>
      </c>
      <c r="BR6" s="245">
        <v>366.0</v>
      </c>
      <c r="BS6" s="245">
        <v>598.07</v>
      </c>
      <c r="BT6" s="245"/>
      <c r="BU6" s="245">
        <v>401656.0</v>
      </c>
      <c r="BV6" s="245">
        <v>0.0</v>
      </c>
      <c r="BW6" s="245">
        <v>221497.25</v>
      </c>
      <c r="BX6" s="245">
        <v>180158.75</v>
      </c>
      <c r="BY6" s="245">
        <v>180158.75</v>
      </c>
      <c r="BZ6" s="245">
        <v>0.0</v>
      </c>
      <c r="CA6" s="245">
        <v>0.0</v>
      </c>
      <c r="CB6" s="245">
        <v>372.0</v>
      </c>
      <c r="CC6" s="245">
        <v>721.49</v>
      </c>
      <c r="CD6" s="245"/>
      <c r="CE6" s="245">
        <v>795599.5</v>
      </c>
      <c r="CF6" s="246">
        <v>0.0</v>
      </c>
      <c r="CG6" s="245">
        <v>378039.0</v>
      </c>
      <c r="CH6" s="245">
        <v>417560.5</v>
      </c>
      <c r="CI6" s="245">
        <v>417560.5</v>
      </c>
      <c r="CJ6" s="245">
        <v>0.0</v>
      </c>
      <c r="CK6" s="245">
        <v>0.0</v>
      </c>
      <c r="CL6" s="245">
        <v>1237.0</v>
      </c>
      <c r="CM6" s="245">
        <v>584.3</v>
      </c>
      <c r="CN6" s="245"/>
      <c r="CO6" s="245">
        <v>421281.0</v>
      </c>
      <c r="CP6" s="245">
        <v>0.0</v>
      </c>
      <c r="CQ6" s="245">
        <v>420681.0</v>
      </c>
      <c r="CR6" s="245">
        <v>600.0</v>
      </c>
      <c r="CS6" s="245">
        <v>600.0</v>
      </c>
      <c r="CT6" s="245">
        <v>0.0</v>
      </c>
      <c r="CU6" s="245">
        <v>0.0</v>
      </c>
      <c r="CV6" s="245">
        <v>763.0</v>
      </c>
      <c r="CW6" s="245">
        <v>552.8</v>
      </c>
      <c r="CX6" s="245"/>
      <c r="CY6" s="245"/>
      <c r="CZ6" s="245"/>
      <c r="DA6" s="245"/>
      <c r="DB6" s="245"/>
      <c r="DC6" s="245"/>
      <c r="DD6" s="245"/>
      <c r="DE6" s="246"/>
      <c r="DF6" s="245"/>
      <c r="DG6" s="245"/>
      <c r="DH6" s="245">
        <v>1.17382181E7</v>
      </c>
      <c r="DI6" s="245">
        <v>1.11496126E7</v>
      </c>
      <c r="DJ6" s="245">
        <v>457315.0</v>
      </c>
      <c r="DK6" s="245">
        <v>119270.5</v>
      </c>
      <c r="DL6" s="245">
        <v>1.12688831E7</v>
      </c>
      <c r="DM6" s="245">
        <v>3992.0</v>
      </c>
      <c r="DN6" s="245">
        <v>2793.99</v>
      </c>
      <c r="DO6" s="245">
        <v>321.0</v>
      </c>
      <c r="DP6" s="245">
        <v>1719.23</v>
      </c>
      <c r="DQ6" s="245"/>
      <c r="DR6" s="245">
        <v>254435.0</v>
      </c>
      <c r="DS6" s="245">
        <v>0.0</v>
      </c>
      <c r="DT6" s="245">
        <v>220860.0</v>
      </c>
      <c r="DU6" s="245">
        <v>33575.0</v>
      </c>
      <c r="DV6" s="245">
        <v>33575.0</v>
      </c>
      <c r="DW6" s="245">
        <v>0.0</v>
      </c>
      <c r="DX6" s="245">
        <v>0.0</v>
      </c>
      <c r="DY6" s="245">
        <v>191.0</v>
      </c>
      <c r="DZ6" s="245">
        <v>1227.0</v>
      </c>
    </row>
    <row r="7" ht="15.75" customHeight="1">
      <c r="B7" s="242" t="s">
        <v>97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32">
        <f>'Mg St Colaba'!D9</f>
        <v>4136581.24</v>
      </c>
      <c r="N7" s="232" t="str">
        <f>'Mg St Colaba'!#REF!</f>
        <v>#ERROR!</v>
      </c>
      <c r="O7" s="229"/>
      <c r="P7" s="229"/>
      <c r="Q7" s="229"/>
      <c r="R7" s="229"/>
      <c r="V7" s="235"/>
      <c r="W7" s="243"/>
      <c r="X7" s="244">
        <v>45536.0</v>
      </c>
      <c r="Y7" s="245">
        <v>4.346088541E7</v>
      </c>
      <c r="Z7" s="245">
        <v>3.355210323E7</v>
      </c>
      <c r="AA7" s="245">
        <v>7701230.4</v>
      </c>
      <c r="AB7" s="246">
        <v>2199476.78</v>
      </c>
      <c r="AC7" s="245">
        <v>19717.0</v>
      </c>
      <c r="AD7" s="246">
        <v>1702.68</v>
      </c>
      <c r="AE7" s="245">
        <v>8928.0</v>
      </c>
      <c r="AF7" s="245">
        <v>1160.17</v>
      </c>
      <c r="AG7" s="247"/>
      <c r="AH7" s="247" t="s">
        <v>98</v>
      </c>
      <c r="AI7" s="247" t="s">
        <v>99</v>
      </c>
      <c r="AJ7" s="247" t="s">
        <v>100</v>
      </c>
      <c r="AK7" s="247" t="s">
        <v>101</v>
      </c>
      <c r="AL7" s="248">
        <v>1.145224E7</v>
      </c>
      <c r="AM7" s="247" t="s">
        <v>102</v>
      </c>
      <c r="AN7" s="247" t="s">
        <v>103</v>
      </c>
      <c r="AO7" s="245">
        <v>1772.0</v>
      </c>
      <c r="AP7" s="245">
        <v>1365.33</v>
      </c>
      <c r="AQ7" s="245"/>
      <c r="AR7" s="245">
        <v>1.0133146E7</v>
      </c>
      <c r="AS7" s="245">
        <v>8189301.75</v>
      </c>
      <c r="AT7" s="246">
        <v>1619433.0</v>
      </c>
      <c r="AU7" s="245">
        <v>324411.25</v>
      </c>
      <c r="AV7" s="249">
        <v>8513713.0</v>
      </c>
      <c r="AW7" s="245">
        <v>5533.0</v>
      </c>
      <c r="AX7" s="245">
        <v>1481.08</v>
      </c>
      <c r="AY7" s="245">
        <v>1461.0</v>
      </c>
      <c r="AZ7" s="245">
        <v>1403.32</v>
      </c>
      <c r="BA7" s="245"/>
      <c r="BB7" s="245">
        <v>6474856.0</v>
      </c>
      <c r="BC7" s="246">
        <v>3479957.75</v>
      </c>
      <c r="BD7" s="245">
        <v>2290823.0</v>
      </c>
      <c r="BE7" s="246">
        <v>704075.25</v>
      </c>
      <c r="BF7" s="245">
        <v>4184033.0</v>
      </c>
      <c r="BG7" s="245">
        <v>3855.0</v>
      </c>
      <c r="BH7" s="245">
        <v>903.71</v>
      </c>
      <c r="BI7" s="245">
        <v>2426.0</v>
      </c>
      <c r="BJ7" s="245">
        <v>1473.2</v>
      </c>
      <c r="BK7" s="245"/>
      <c r="BL7" s="245">
        <v>182875.0</v>
      </c>
      <c r="BM7" s="245">
        <v>0.0</v>
      </c>
      <c r="BN7" s="245">
        <v>182875.0</v>
      </c>
      <c r="BO7" s="245">
        <v>0.0</v>
      </c>
      <c r="BP7" s="245">
        <v>0.0</v>
      </c>
      <c r="BQ7" s="245">
        <v>0.0</v>
      </c>
      <c r="BR7" s="245">
        <v>325.0</v>
      </c>
      <c r="BS7" s="245">
        <v>562.69</v>
      </c>
      <c r="BT7" s="245"/>
      <c r="BU7" s="245">
        <v>440123.5</v>
      </c>
      <c r="BV7" s="245">
        <v>200.0</v>
      </c>
      <c r="BW7" s="245">
        <v>139654.0</v>
      </c>
      <c r="BX7" s="245">
        <v>300269.5</v>
      </c>
      <c r="BY7" s="245">
        <v>300469.5</v>
      </c>
      <c r="BZ7" s="245">
        <v>0.0</v>
      </c>
      <c r="CA7" s="245">
        <v>0.0</v>
      </c>
      <c r="CB7" s="245">
        <v>433.0</v>
      </c>
      <c r="CC7" s="245">
        <v>623.46</v>
      </c>
      <c r="CD7" s="245"/>
      <c r="CE7" s="245">
        <v>703701.7</v>
      </c>
      <c r="CF7" s="246">
        <v>0.0</v>
      </c>
      <c r="CG7" s="245">
        <v>373227.42</v>
      </c>
      <c r="CH7" s="245">
        <v>330474.28</v>
      </c>
      <c r="CI7" s="245">
        <v>330474.28</v>
      </c>
      <c r="CJ7" s="245">
        <v>0.0</v>
      </c>
      <c r="CK7" s="245">
        <v>0.0</v>
      </c>
      <c r="CL7" s="245">
        <v>1182.0</v>
      </c>
      <c r="CM7" s="245">
        <v>544.86</v>
      </c>
      <c r="CN7" s="245"/>
      <c r="CO7" s="245">
        <v>412044.98</v>
      </c>
      <c r="CP7" s="245">
        <v>0.0</v>
      </c>
      <c r="CQ7" s="245">
        <v>410094.98</v>
      </c>
      <c r="CR7" s="245">
        <v>1950.0</v>
      </c>
      <c r="CS7" s="245">
        <v>1950.0</v>
      </c>
      <c r="CT7" s="245">
        <v>0.0</v>
      </c>
      <c r="CU7" s="245">
        <v>0.0</v>
      </c>
      <c r="CV7" s="245">
        <v>765.0</v>
      </c>
      <c r="CW7" s="245">
        <v>537.48</v>
      </c>
      <c r="CX7" s="245"/>
      <c r="CY7" s="245"/>
      <c r="CZ7" s="245"/>
      <c r="DA7" s="245"/>
      <c r="DB7" s="245"/>
      <c r="DC7" s="245"/>
      <c r="DD7" s="245"/>
      <c r="DE7" s="246"/>
      <c r="DF7" s="245"/>
      <c r="DG7" s="245"/>
      <c r="DH7" s="245">
        <v>1.130690823E7</v>
      </c>
      <c r="DI7" s="245">
        <v>1.071847473E7</v>
      </c>
      <c r="DJ7" s="245">
        <v>426088.0</v>
      </c>
      <c r="DK7" s="245">
        <v>154270.5</v>
      </c>
      <c r="DL7" s="245">
        <v>1.087274523E7</v>
      </c>
      <c r="DM7" s="245">
        <v>3721.0</v>
      </c>
      <c r="DN7" s="245">
        <v>2881.54</v>
      </c>
      <c r="DO7" s="245">
        <v>341.0</v>
      </c>
      <c r="DP7" s="245">
        <v>1505.61</v>
      </c>
      <c r="DQ7" s="245"/>
      <c r="DR7" s="245">
        <v>377990.0</v>
      </c>
      <c r="DS7" s="245">
        <v>0.0</v>
      </c>
      <c r="DT7" s="245">
        <v>282035.0</v>
      </c>
      <c r="DU7" s="245">
        <v>95955.0</v>
      </c>
      <c r="DV7" s="245">
        <v>95955.0</v>
      </c>
      <c r="DW7" s="245">
        <v>0.0</v>
      </c>
      <c r="DX7" s="245">
        <v>0.0</v>
      </c>
      <c r="DY7" s="245">
        <v>223.0</v>
      </c>
      <c r="DZ7" s="245">
        <v>1403.16</v>
      </c>
    </row>
    <row r="8" ht="15.75" customHeight="1">
      <c r="B8" s="242" t="s">
        <v>104</v>
      </c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32">
        <f>'Mg St Colaba'!D10</f>
        <v>0</v>
      </c>
      <c r="N8" s="232" t="str">
        <f>'Mg St Colaba'!#REF!</f>
        <v>#ERROR!</v>
      </c>
      <c r="O8" s="229"/>
      <c r="P8" s="229"/>
      <c r="Q8" s="229"/>
      <c r="R8" s="229"/>
      <c r="V8" s="235"/>
      <c r="W8" s="243"/>
      <c r="X8" s="244">
        <v>45566.0</v>
      </c>
      <c r="Y8" s="245">
        <v>4.639748985E7</v>
      </c>
      <c r="Z8" s="245">
        <v>3.565977117E7</v>
      </c>
      <c r="AA8" s="245">
        <v>8250709.82</v>
      </c>
      <c r="AB8" s="246">
        <v>2475063.86</v>
      </c>
      <c r="AC8" s="245">
        <v>20654.0</v>
      </c>
      <c r="AD8" s="246">
        <v>1727.53</v>
      </c>
      <c r="AE8" s="245">
        <v>9745.0</v>
      </c>
      <c r="AF8" s="245">
        <v>1100.24</v>
      </c>
      <c r="AG8" s="247"/>
      <c r="AH8" s="247" t="s">
        <v>105</v>
      </c>
      <c r="AI8" s="247" t="s">
        <v>106</v>
      </c>
      <c r="AJ8" s="247" t="s">
        <v>107</v>
      </c>
      <c r="AK8" s="247" t="s">
        <v>108</v>
      </c>
      <c r="AL8" s="248">
        <v>1.15120215E7</v>
      </c>
      <c r="AM8" s="247" t="s">
        <v>109</v>
      </c>
      <c r="AN8" s="247" t="s">
        <v>110</v>
      </c>
      <c r="AO8" s="245">
        <v>1837.0</v>
      </c>
      <c r="AP8" s="245">
        <v>1308.31</v>
      </c>
      <c r="AQ8" s="245"/>
      <c r="AR8" s="245">
        <v>1.05753046E7</v>
      </c>
      <c r="AS8" s="245">
        <v>8537077.0</v>
      </c>
      <c r="AT8" s="246">
        <v>1654242.6</v>
      </c>
      <c r="AU8" s="245">
        <v>383985.0</v>
      </c>
      <c r="AV8" s="249">
        <v>8921062.0</v>
      </c>
      <c r="AW8" s="245">
        <v>5658.0</v>
      </c>
      <c r="AX8" s="245">
        <v>1509.85</v>
      </c>
      <c r="AY8" s="245">
        <v>1589.0</v>
      </c>
      <c r="AZ8" s="245">
        <v>1288.35</v>
      </c>
      <c r="BA8" s="245"/>
      <c r="BB8" s="245">
        <v>7186494.25</v>
      </c>
      <c r="BC8" s="246">
        <v>3907337.75</v>
      </c>
      <c r="BD8" s="245">
        <v>2474846.5</v>
      </c>
      <c r="BE8" s="246">
        <v>804310.0</v>
      </c>
      <c r="BF8" s="245">
        <v>4711647.75</v>
      </c>
      <c r="BG8" s="245">
        <v>4251.0</v>
      </c>
      <c r="BH8" s="245">
        <v>920.16</v>
      </c>
      <c r="BI8" s="245">
        <v>2755.0</v>
      </c>
      <c r="BJ8" s="245">
        <v>1408.56</v>
      </c>
      <c r="BK8" s="245"/>
      <c r="BL8" s="245">
        <v>219060.0</v>
      </c>
      <c r="BM8" s="245">
        <v>0.0</v>
      </c>
      <c r="BN8" s="245">
        <v>219060.0</v>
      </c>
      <c r="BO8" s="245">
        <v>0.0</v>
      </c>
      <c r="BP8" s="245">
        <v>0.0</v>
      </c>
      <c r="BQ8" s="245">
        <v>0.0</v>
      </c>
      <c r="BR8" s="245">
        <v>388.0</v>
      </c>
      <c r="BS8" s="245">
        <v>564.59</v>
      </c>
      <c r="BT8" s="245"/>
      <c r="BU8" s="245">
        <v>457678.25</v>
      </c>
      <c r="BV8" s="245">
        <v>0.0</v>
      </c>
      <c r="BW8" s="245">
        <v>116902.0</v>
      </c>
      <c r="BX8" s="245">
        <v>340776.25</v>
      </c>
      <c r="BY8" s="245">
        <v>340776.25</v>
      </c>
      <c r="BZ8" s="245">
        <v>0.0</v>
      </c>
      <c r="CA8" s="245">
        <v>0.0</v>
      </c>
      <c r="CB8" s="245">
        <v>273.0</v>
      </c>
      <c r="CC8" s="245">
        <v>524.22</v>
      </c>
      <c r="CD8" s="245"/>
      <c r="CE8" s="245">
        <v>678692.11</v>
      </c>
      <c r="CF8" s="246">
        <v>0.0</v>
      </c>
      <c r="CG8" s="245">
        <v>367754.0</v>
      </c>
      <c r="CH8" s="245">
        <v>310938.11</v>
      </c>
      <c r="CI8" s="245">
        <v>310938.11</v>
      </c>
      <c r="CJ8" s="245">
        <v>0.0</v>
      </c>
      <c r="CK8" s="245">
        <v>0.0</v>
      </c>
      <c r="CL8" s="245">
        <v>1158.0</v>
      </c>
      <c r="CM8" s="245">
        <v>537.65</v>
      </c>
      <c r="CN8" s="245"/>
      <c r="CO8" s="245">
        <v>504642.0</v>
      </c>
      <c r="CP8" s="245">
        <v>0.0</v>
      </c>
      <c r="CQ8" s="245">
        <v>500942.0</v>
      </c>
      <c r="CR8" s="245">
        <v>3700.0</v>
      </c>
      <c r="CS8" s="245">
        <v>3700.0</v>
      </c>
      <c r="CT8" s="245">
        <v>0.0</v>
      </c>
      <c r="CU8" s="245">
        <v>0.0</v>
      </c>
      <c r="CV8" s="245">
        <v>944.0</v>
      </c>
      <c r="CW8" s="245">
        <v>531.22</v>
      </c>
      <c r="CX8" s="245"/>
      <c r="CY8" s="245"/>
      <c r="CZ8" s="245"/>
      <c r="DA8" s="245"/>
      <c r="DB8" s="245"/>
      <c r="DC8" s="245"/>
      <c r="DD8" s="245"/>
      <c r="DE8" s="246"/>
      <c r="DF8" s="245"/>
      <c r="DG8" s="245"/>
      <c r="DH8" s="245">
        <v>1.260598492E7</v>
      </c>
      <c r="DI8" s="245">
        <v>1.198714092E7</v>
      </c>
      <c r="DJ8" s="245">
        <v>470347.0</v>
      </c>
      <c r="DK8" s="245">
        <v>136552.0</v>
      </c>
      <c r="DL8" s="245">
        <v>1.212369292E7</v>
      </c>
      <c r="DM8" s="245">
        <v>4112.0</v>
      </c>
      <c r="DN8" s="245">
        <v>2916.16</v>
      </c>
      <c r="DO8" s="245">
        <v>386.0</v>
      </c>
      <c r="DP8" s="245">
        <v>1451.69</v>
      </c>
      <c r="DQ8" s="245"/>
      <c r="DR8" s="245">
        <v>672905.1</v>
      </c>
      <c r="DS8" s="245">
        <v>0.0</v>
      </c>
      <c r="DT8" s="245">
        <v>461908.6</v>
      </c>
      <c r="DU8" s="245">
        <v>210996.5</v>
      </c>
      <c r="DV8" s="245">
        <v>210996.5</v>
      </c>
      <c r="DW8" s="245">
        <v>0.0</v>
      </c>
      <c r="DX8" s="245">
        <v>0.0</v>
      </c>
      <c r="DY8" s="245">
        <v>415.0</v>
      </c>
      <c r="DZ8" s="245">
        <v>1218.76</v>
      </c>
    </row>
    <row r="9" ht="15.75" customHeight="1">
      <c r="B9" s="242" t="s">
        <v>111</v>
      </c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32">
        <f>'Mg St Colaba'!D11</f>
        <v>1603.536851</v>
      </c>
      <c r="N9" s="232" t="str">
        <f>'Mg St Colaba'!#REF!</f>
        <v>#ERROR!</v>
      </c>
      <c r="O9" s="229"/>
      <c r="P9" s="229"/>
      <c r="Q9" s="229"/>
      <c r="R9" s="229"/>
      <c r="V9" s="235"/>
      <c r="W9" s="243"/>
      <c r="X9" s="244">
        <v>45597.0</v>
      </c>
      <c r="Y9" s="245">
        <v>4.863303399E7</v>
      </c>
      <c r="Z9" s="245">
        <v>3.7563824E7</v>
      </c>
      <c r="AA9" s="245">
        <v>8692990.02</v>
      </c>
      <c r="AB9" s="246">
        <v>2285459.97</v>
      </c>
      <c r="AC9" s="245">
        <v>21027.0</v>
      </c>
      <c r="AD9" s="246">
        <v>1787.46</v>
      </c>
      <c r="AE9" s="245">
        <v>10086.0</v>
      </c>
      <c r="AF9" s="245">
        <v>1098.57</v>
      </c>
      <c r="AG9" s="247"/>
      <c r="AH9" s="247" t="s">
        <v>112</v>
      </c>
      <c r="AI9" s="247" t="s">
        <v>113</v>
      </c>
      <c r="AJ9" s="247" t="s">
        <v>114</v>
      </c>
      <c r="AK9" s="247" t="s">
        <v>115</v>
      </c>
      <c r="AL9" s="248">
        <v>1.10224485E7</v>
      </c>
      <c r="AM9" s="247" t="s">
        <v>116</v>
      </c>
      <c r="AN9" s="247" t="s">
        <v>117</v>
      </c>
      <c r="AO9" s="245">
        <v>1962.0</v>
      </c>
      <c r="AP9" s="245">
        <v>1251.11</v>
      </c>
      <c r="AQ9" s="245"/>
      <c r="AR9" s="245">
        <v>1.051815518E7</v>
      </c>
      <c r="AS9" s="245">
        <v>8476917.0</v>
      </c>
      <c r="AT9" s="246">
        <v>1751339.93</v>
      </c>
      <c r="AU9" s="245">
        <v>289898.25</v>
      </c>
      <c r="AV9" s="249">
        <v>8766815.25</v>
      </c>
      <c r="AW9" s="245">
        <v>5680.0</v>
      </c>
      <c r="AX9" s="245">
        <v>1493.41</v>
      </c>
      <c r="AY9" s="245">
        <v>1498.0</v>
      </c>
      <c r="AZ9" s="245">
        <v>1399.95</v>
      </c>
      <c r="BA9" s="245"/>
      <c r="BB9" s="245">
        <v>6803685.62</v>
      </c>
      <c r="BC9" s="246">
        <v>3364524.5</v>
      </c>
      <c r="BD9" s="245">
        <v>2672539.62</v>
      </c>
      <c r="BE9" s="246">
        <v>766621.5</v>
      </c>
      <c r="BF9" s="245">
        <v>4131146.0</v>
      </c>
      <c r="BG9" s="245">
        <v>3669.0</v>
      </c>
      <c r="BH9" s="245">
        <v>918.01</v>
      </c>
      <c r="BI9" s="245">
        <v>2872.0</v>
      </c>
      <c r="BJ9" s="245">
        <v>1394.13</v>
      </c>
      <c r="BK9" s="245"/>
      <c r="BL9" s="245">
        <v>223299.14</v>
      </c>
      <c r="BM9" s="245">
        <v>0.0</v>
      </c>
      <c r="BN9" s="245">
        <v>223299.14</v>
      </c>
      <c r="BO9" s="245">
        <v>0.0</v>
      </c>
      <c r="BP9" s="245">
        <v>0.0</v>
      </c>
      <c r="BQ9" s="245">
        <v>0.0</v>
      </c>
      <c r="BR9" s="245">
        <v>428.0</v>
      </c>
      <c r="BS9" s="245">
        <v>521.73</v>
      </c>
      <c r="BT9" s="245"/>
      <c r="BU9" s="245">
        <v>429357.52</v>
      </c>
      <c r="BV9" s="245">
        <v>0.0</v>
      </c>
      <c r="BW9" s="245">
        <v>100377.02</v>
      </c>
      <c r="BX9" s="245">
        <v>328980.5</v>
      </c>
      <c r="BY9" s="245">
        <v>328980.5</v>
      </c>
      <c r="BZ9" s="245">
        <v>0.0</v>
      </c>
      <c r="CA9" s="245">
        <v>0.0</v>
      </c>
      <c r="CB9" s="245">
        <v>216.0</v>
      </c>
      <c r="CC9" s="245">
        <v>563.92</v>
      </c>
      <c r="CD9" s="245"/>
      <c r="CE9" s="245">
        <v>793248.87</v>
      </c>
      <c r="CF9" s="246">
        <v>0.0</v>
      </c>
      <c r="CG9" s="245">
        <v>409549.65</v>
      </c>
      <c r="CH9" s="245">
        <v>383699.22</v>
      </c>
      <c r="CI9" s="245">
        <v>383699.22</v>
      </c>
      <c r="CJ9" s="245">
        <v>0.0</v>
      </c>
      <c r="CK9" s="245">
        <v>0.0</v>
      </c>
      <c r="CL9" s="245">
        <v>1260.0</v>
      </c>
      <c r="CM9" s="245">
        <v>557.21</v>
      </c>
      <c r="CN9" s="245"/>
      <c r="CO9" s="246">
        <v>601704.75</v>
      </c>
      <c r="CP9" s="245">
        <v>0.0</v>
      </c>
      <c r="CQ9" s="245">
        <v>598654.75</v>
      </c>
      <c r="CR9" s="245">
        <v>3050.0</v>
      </c>
      <c r="CS9" s="245">
        <v>3050.0</v>
      </c>
      <c r="CT9" s="245">
        <v>0.0</v>
      </c>
      <c r="CU9" s="245">
        <v>0.0</v>
      </c>
      <c r="CV9" s="245">
        <v>1104.0</v>
      </c>
      <c r="CW9" s="245">
        <v>543.24</v>
      </c>
      <c r="CX9" s="245"/>
      <c r="CY9" s="245"/>
      <c r="CZ9" s="245"/>
      <c r="DA9" s="245"/>
      <c r="DB9" s="245"/>
      <c r="DC9" s="245"/>
      <c r="DD9" s="245"/>
      <c r="DE9" s="246"/>
      <c r="DF9" s="245"/>
      <c r="DG9" s="245"/>
      <c r="DH9" s="245">
        <v>1.570693E7</v>
      </c>
      <c r="DI9" s="245">
        <v>1.5002377E7</v>
      </c>
      <c r="DJ9" s="245">
        <v>482688.0</v>
      </c>
      <c r="DK9" s="245">
        <v>131105.0</v>
      </c>
      <c r="DL9" s="245">
        <v>1.5133482E7</v>
      </c>
      <c r="DM9" s="245">
        <v>5220.0</v>
      </c>
      <c r="DN9" s="245">
        <v>2875.02</v>
      </c>
      <c r="DO9" s="245">
        <v>356.0</v>
      </c>
      <c r="DP9" s="245">
        <v>1587.79</v>
      </c>
      <c r="DQ9" s="245"/>
      <c r="DR9" s="245">
        <v>494897.46</v>
      </c>
      <c r="DS9" s="245">
        <v>0.0</v>
      </c>
      <c r="DT9" s="245">
        <v>415234.96</v>
      </c>
      <c r="DU9" s="245">
        <v>79662.5</v>
      </c>
      <c r="DV9" s="245">
        <v>79662.5</v>
      </c>
      <c r="DW9" s="245">
        <v>0.0</v>
      </c>
      <c r="DX9" s="245">
        <v>0.0</v>
      </c>
      <c r="DY9" s="245">
        <v>390.0</v>
      </c>
      <c r="DZ9" s="245">
        <v>1128.36</v>
      </c>
    </row>
    <row r="10" ht="15.75" customHeight="1">
      <c r="B10" s="242" t="s">
        <v>118</v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32">
        <f>'Mg St Colaba'!D12</f>
        <v>2424.725229</v>
      </c>
      <c r="N10" s="232" t="str">
        <f>'Mg St Colaba'!#REF!</f>
        <v>#ERROR!</v>
      </c>
      <c r="O10" s="229"/>
      <c r="P10" s="229"/>
      <c r="Q10" s="229"/>
      <c r="R10" s="229"/>
      <c r="V10" s="235"/>
      <c r="W10" s="243"/>
      <c r="X10" s="244">
        <v>45627.0</v>
      </c>
      <c r="Y10" s="245">
        <v>5.685897042E7</v>
      </c>
      <c r="Z10" s="245">
        <v>4.511936695E7</v>
      </c>
      <c r="AA10" s="245">
        <v>9313599.99</v>
      </c>
      <c r="AB10" s="246">
        <v>2414308.48</v>
      </c>
      <c r="AC10" s="245">
        <v>24520.0</v>
      </c>
      <c r="AD10" s="246">
        <v>1841.1</v>
      </c>
      <c r="AE10" s="245">
        <v>10856.0</v>
      </c>
      <c r="AF10" s="245">
        <v>1081.09</v>
      </c>
      <c r="AG10" s="247"/>
      <c r="AH10" s="247" t="s">
        <v>119</v>
      </c>
      <c r="AI10" s="247" t="s">
        <v>120</v>
      </c>
      <c r="AJ10" s="247" t="s">
        <v>121</v>
      </c>
      <c r="AK10" s="247" t="s">
        <v>122</v>
      </c>
      <c r="AL10" s="248">
        <v>1.2872772E7</v>
      </c>
      <c r="AM10" s="247" t="s">
        <v>123</v>
      </c>
      <c r="AN10" s="247" t="s">
        <v>124</v>
      </c>
      <c r="AO10" s="245">
        <v>2057.0</v>
      </c>
      <c r="AP10" s="245">
        <v>1264.3</v>
      </c>
      <c r="AQ10" s="245"/>
      <c r="AR10" s="245">
        <v>1.337958519E7</v>
      </c>
      <c r="AS10" s="245">
        <v>1.1118964E7</v>
      </c>
      <c r="AT10" s="246">
        <v>1938796.69</v>
      </c>
      <c r="AU10" s="245">
        <v>321824.5</v>
      </c>
      <c r="AV10" s="249">
        <v>1.14407885E7</v>
      </c>
      <c r="AW10" s="245">
        <v>7200.0</v>
      </c>
      <c r="AX10" s="245">
        <v>1545.3</v>
      </c>
      <c r="AY10" s="245">
        <v>1732.0</v>
      </c>
      <c r="AZ10" s="245">
        <v>1348.26</v>
      </c>
      <c r="BA10" s="245"/>
      <c r="BB10" s="245">
        <v>7225322.63</v>
      </c>
      <c r="BC10" s="246">
        <v>3710635.5</v>
      </c>
      <c r="BD10" s="245">
        <v>2787430.63</v>
      </c>
      <c r="BE10" s="246">
        <v>727256.5</v>
      </c>
      <c r="BF10" s="245">
        <v>4437892.0</v>
      </c>
      <c r="BG10" s="245">
        <v>4010.0</v>
      </c>
      <c r="BH10" s="245">
        <v>926.35</v>
      </c>
      <c r="BI10" s="245">
        <v>2887.0</v>
      </c>
      <c r="BJ10" s="245">
        <v>1359.72</v>
      </c>
      <c r="BK10" s="245"/>
      <c r="BL10" s="245">
        <v>312053.11</v>
      </c>
      <c r="BM10" s="245">
        <v>0.0</v>
      </c>
      <c r="BN10" s="245">
        <v>312053.11</v>
      </c>
      <c r="BO10" s="245">
        <v>0.0</v>
      </c>
      <c r="BP10" s="245">
        <v>0.0</v>
      </c>
      <c r="BQ10" s="245">
        <v>0.0</v>
      </c>
      <c r="BR10" s="245">
        <v>599.0</v>
      </c>
      <c r="BS10" s="245">
        <v>520.96</v>
      </c>
      <c r="BT10" s="245"/>
      <c r="BU10" s="245">
        <v>452140.06</v>
      </c>
      <c r="BV10" s="245">
        <v>0.0</v>
      </c>
      <c r="BW10" s="245">
        <v>83230.56</v>
      </c>
      <c r="BX10" s="245">
        <v>368909.5</v>
      </c>
      <c r="BY10" s="245">
        <v>368909.5</v>
      </c>
      <c r="BZ10" s="245">
        <v>0.0</v>
      </c>
      <c r="CA10" s="245">
        <v>0.0</v>
      </c>
      <c r="CB10" s="245">
        <v>201.0</v>
      </c>
      <c r="CC10" s="245">
        <v>547.57</v>
      </c>
      <c r="CD10" s="245"/>
      <c r="CE10" s="245">
        <v>932418.4</v>
      </c>
      <c r="CF10" s="246">
        <v>0.0</v>
      </c>
      <c r="CG10" s="245">
        <v>478284.42</v>
      </c>
      <c r="CH10" s="245">
        <v>454133.98</v>
      </c>
      <c r="CI10" s="245">
        <v>454133.98</v>
      </c>
      <c r="CJ10" s="245">
        <v>0.0</v>
      </c>
      <c r="CK10" s="245">
        <v>0.0</v>
      </c>
      <c r="CL10" s="245">
        <v>1437.0</v>
      </c>
      <c r="CM10" s="245">
        <v>593.4</v>
      </c>
      <c r="CN10" s="245"/>
      <c r="CO10" s="246">
        <v>653261.79</v>
      </c>
      <c r="CP10" s="245">
        <v>0.0</v>
      </c>
      <c r="CQ10" s="245">
        <v>647911.79</v>
      </c>
      <c r="CR10" s="245">
        <v>5350.0</v>
      </c>
      <c r="CS10" s="245">
        <v>5350.0</v>
      </c>
      <c r="CT10" s="245">
        <v>0.0</v>
      </c>
      <c r="CU10" s="245">
        <v>0.0</v>
      </c>
      <c r="CV10" s="245">
        <v>1193.0</v>
      </c>
      <c r="CW10" s="245">
        <v>544.01</v>
      </c>
      <c r="CX10" s="245"/>
      <c r="CY10" s="245"/>
      <c r="CZ10" s="245"/>
      <c r="DA10" s="245"/>
      <c r="DB10" s="245"/>
      <c r="DC10" s="245"/>
      <c r="DD10" s="245"/>
      <c r="DE10" s="246"/>
      <c r="DF10" s="245"/>
      <c r="DG10" s="245"/>
      <c r="DH10" s="245">
        <v>1.833684995E7</v>
      </c>
      <c r="DI10" s="245">
        <v>1.773760295E7</v>
      </c>
      <c r="DJ10" s="245">
        <v>442208.0</v>
      </c>
      <c r="DK10" s="245">
        <v>145344.0</v>
      </c>
      <c r="DL10" s="245">
        <v>1.788294695E7</v>
      </c>
      <c r="DM10" s="245">
        <v>5940.0</v>
      </c>
      <c r="DN10" s="245">
        <v>2987.13</v>
      </c>
      <c r="DO10" s="245">
        <v>321.0</v>
      </c>
      <c r="DP10" s="245">
        <v>1625.76</v>
      </c>
      <c r="DQ10" s="245"/>
      <c r="DR10" s="245">
        <v>542726.6</v>
      </c>
      <c r="DS10" s="245">
        <v>0.0</v>
      </c>
      <c r="DT10" s="245">
        <v>471844.1</v>
      </c>
      <c r="DU10" s="245">
        <v>70882.5</v>
      </c>
      <c r="DV10" s="245">
        <v>70882.5</v>
      </c>
      <c r="DW10" s="245">
        <v>0.0</v>
      </c>
      <c r="DX10" s="245">
        <v>0.0</v>
      </c>
      <c r="DY10" s="245">
        <v>429.0</v>
      </c>
      <c r="DZ10" s="245">
        <v>1165.05</v>
      </c>
    </row>
    <row r="11" ht="15.75" customHeight="1">
      <c r="V11" s="235"/>
      <c r="W11" s="243"/>
      <c r="X11" s="244">
        <v>45658.0</v>
      </c>
      <c r="Y11" s="245">
        <v>5.280303811E7</v>
      </c>
      <c r="Z11" s="245">
        <v>4.194052775E7</v>
      </c>
      <c r="AA11" s="245">
        <v>8779763.17</v>
      </c>
      <c r="AB11" s="246">
        <v>2082747.19</v>
      </c>
      <c r="AC11" s="245">
        <v>23354.0</v>
      </c>
      <c r="AD11" s="246">
        <v>1796.86</v>
      </c>
      <c r="AE11" s="245">
        <v>10495.0</v>
      </c>
      <c r="AF11" s="245">
        <v>1053.87</v>
      </c>
      <c r="AG11" s="247"/>
      <c r="AH11" s="247" t="s">
        <v>125</v>
      </c>
      <c r="AI11" s="247" t="s">
        <v>126</v>
      </c>
      <c r="AJ11" s="247" t="s">
        <v>127</v>
      </c>
      <c r="AK11" s="247" t="s">
        <v>128</v>
      </c>
      <c r="AL11" s="248">
        <v>1.14433195E7</v>
      </c>
      <c r="AM11" s="247" t="s">
        <v>129</v>
      </c>
      <c r="AN11" s="247" t="s">
        <v>130</v>
      </c>
      <c r="AO11" s="245">
        <v>1952.0</v>
      </c>
      <c r="AP11" s="245">
        <v>1273.43</v>
      </c>
      <c r="AQ11" s="245"/>
      <c r="AR11" s="245">
        <v>1.276780132E7</v>
      </c>
      <c r="AS11" s="245">
        <v>1.059390675E7</v>
      </c>
      <c r="AT11" s="246">
        <v>1837355.32</v>
      </c>
      <c r="AU11" s="245">
        <v>336539.25</v>
      </c>
      <c r="AV11" s="249">
        <v>1.0930446E7</v>
      </c>
      <c r="AW11" s="245">
        <v>6947.0</v>
      </c>
      <c r="AX11" s="245">
        <v>1525.96</v>
      </c>
      <c r="AY11" s="245">
        <v>1667.0</v>
      </c>
      <c r="AZ11" s="245">
        <v>1318.05</v>
      </c>
      <c r="BA11" s="245"/>
      <c r="BB11" s="245">
        <v>7176728.87</v>
      </c>
      <c r="BC11" s="246">
        <v>3850240.5</v>
      </c>
      <c r="BD11" s="245">
        <v>2649011.37</v>
      </c>
      <c r="BE11" s="246">
        <v>677477.0</v>
      </c>
      <c r="BF11" s="245">
        <v>4527717.5</v>
      </c>
      <c r="BG11" s="245">
        <v>4392.0</v>
      </c>
      <c r="BH11" s="245">
        <v>877.65</v>
      </c>
      <c r="BI11" s="245">
        <v>2934.0</v>
      </c>
      <c r="BJ11" s="245">
        <v>1328.49</v>
      </c>
      <c r="BK11" s="245"/>
      <c r="BL11" s="245">
        <v>272329.93</v>
      </c>
      <c r="BM11" s="245">
        <v>0.0</v>
      </c>
      <c r="BN11" s="245">
        <v>272329.93</v>
      </c>
      <c r="BO11" s="245">
        <v>0.0</v>
      </c>
      <c r="BP11" s="245">
        <v>0.0</v>
      </c>
      <c r="BQ11" s="245">
        <v>0.0</v>
      </c>
      <c r="BR11" s="245">
        <v>524.0</v>
      </c>
      <c r="BS11" s="245">
        <v>519.71</v>
      </c>
      <c r="BT11" s="245"/>
      <c r="BU11" s="245">
        <v>426947.01</v>
      </c>
      <c r="BV11" s="245">
        <v>0.0</v>
      </c>
      <c r="BW11" s="245">
        <v>92114.13</v>
      </c>
      <c r="BX11" s="245">
        <v>334832.88</v>
      </c>
      <c r="BY11" s="245">
        <v>334832.88</v>
      </c>
      <c r="BZ11" s="245">
        <v>0.0</v>
      </c>
      <c r="CA11" s="245">
        <v>0.0</v>
      </c>
      <c r="CB11" s="245">
        <v>199.0</v>
      </c>
      <c r="CC11" s="245">
        <v>561.67</v>
      </c>
      <c r="CD11" s="245"/>
      <c r="CE11" s="245">
        <v>724488.44</v>
      </c>
      <c r="CF11" s="246">
        <v>0.0</v>
      </c>
      <c r="CG11" s="245">
        <v>397378.38</v>
      </c>
      <c r="CH11" s="245">
        <v>327110.06</v>
      </c>
      <c r="CI11" s="245">
        <v>327110.06</v>
      </c>
      <c r="CJ11" s="245">
        <v>0.0</v>
      </c>
      <c r="CK11" s="245">
        <v>0.0</v>
      </c>
      <c r="CL11" s="245">
        <v>1233.0</v>
      </c>
      <c r="CM11" s="245">
        <v>542.87</v>
      </c>
      <c r="CN11" s="245"/>
      <c r="CO11" s="246">
        <v>632911.21</v>
      </c>
      <c r="CP11" s="245">
        <v>0.0</v>
      </c>
      <c r="CQ11" s="245">
        <v>632911.21</v>
      </c>
      <c r="CR11" s="245">
        <v>0.0</v>
      </c>
      <c r="CS11" s="245">
        <v>0.0</v>
      </c>
      <c r="CT11" s="245">
        <v>0.0</v>
      </c>
      <c r="CU11" s="245">
        <v>0.0</v>
      </c>
      <c r="CV11" s="245">
        <v>1223.0</v>
      </c>
      <c r="CW11" s="245">
        <v>517.51</v>
      </c>
      <c r="CX11" s="245"/>
      <c r="CY11" s="245"/>
      <c r="CZ11" s="245"/>
      <c r="DA11" s="245"/>
      <c r="DB11" s="245"/>
      <c r="DC11" s="245"/>
      <c r="DD11" s="245"/>
      <c r="DE11" s="246"/>
      <c r="DF11" s="245"/>
      <c r="DG11" s="245"/>
      <c r="DH11" s="245">
        <v>1.690031E7</v>
      </c>
      <c r="DI11" s="245">
        <v>1.6323094E7</v>
      </c>
      <c r="DJ11" s="245">
        <v>463151.0</v>
      </c>
      <c r="DK11" s="245">
        <v>114065.0</v>
      </c>
      <c r="DL11" s="245">
        <v>1.6437159E7</v>
      </c>
      <c r="DM11" s="245">
        <v>5464.0</v>
      </c>
      <c r="DN11" s="245">
        <v>2988.39</v>
      </c>
      <c r="DO11" s="245">
        <v>361.0</v>
      </c>
      <c r="DP11" s="245">
        <v>1538.71</v>
      </c>
      <c r="DQ11" s="245"/>
      <c r="DR11" s="245">
        <v>401609.25</v>
      </c>
      <c r="DS11" s="245">
        <v>0.0</v>
      </c>
      <c r="DT11" s="245">
        <v>378919.25</v>
      </c>
      <c r="DU11" s="245">
        <v>22690.0</v>
      </c>
      <c r="DV11" s="245">
        <v>22690.0</v>
      </c>
      <c r="DW11" s="245">
        <v>0.0</v>
      </c>
      <c r="DX11" s="245">
        <v>0.0</v>
      </c>
      <c r="DY11" s="245">
        <v>402.0</v>
      </c>
      <c r="DZ11" s="245">
        <v>986.77</v>
      </c>
    </row>
    <row r="12" ht="15.75" customHeight="1">
      <c r="B12" s="231" t="s">
        <v>131</v>
      </c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>
        <v>45748.0</v>
      </c>
      <c r="N12" s="230">
        <v>45778.0</v>
      </c>
      <c r="O12" s="231"/>
      <c r="P12" s="231"/>
      <c r="Q12" s="231"/>
      <c r="R12" s="231"/>
      <c r="V12" s="235"/>
      <c r="W12" s="243"/>
      <c r="X12" s="244">
        <v>45689.0</v>
      </c>
      <c r="Y12" s="245">
        <v>4.686737918E7</v>
      </c>
      <c r="Z12" s="245">
        <v>3.615406625E7</v>
      </c>
      <c r="AA12" s="245">
        <v>8878440.76</v>
      </c>
      <c r="AB12" s="246">
        <v>1834872.17</v>
      </c>
      <c r="AC12" s="245">
        <v>20011.0</v>
      </c>
      <c r="AD12" s="246">
        <v>1807.71</v>
      </c>
      <c r="AE12" s="245">
        <v>10204.0</v>
      </c>
      <c r="AF12" s="245">
        <v>1064.82</v>
      </c>
      <c r="AG12" s="247"/>
      <c r="AH12" s="247" t="s">
        <v>132</v>
      </c>
      <c r="AI12" s="247" t="s">
        <v>133</v>
      </c>
      <c r="AJ12" s="247" t="s">
        <v>134</v>
      </c>
      <c r="AK12" s="247" t="s">
        <v>135</v>
      </c>
      <c r="AL12" s="248">
        <v>9878764.0</v>
      </c>
      <c r="AM12" s="247" t="s">
        <v>136</v>
      </c>
      <c r="AN12" s="247" t="s">
        <v>137</v>
      </c>
      <c r="AO12" s="245">
        <v>2116.0</v>
      </c>
      <c r="AP12" s="245">
        <v>1207.49</v>
      </c>
      <c r="AQ12" s="245"/>
      <c r="AR12" s="245">
        <v>1.058975149E7</v>
      </c>
      <c r="AS12" s="245">
        <v>8554300.0</v>
      </c>
      <c r="AT12" s="246">
        <v>1836480.49</v>
      </c>
      <c r="AU12" s="245">
        <v>198971.0</v>
      </c>
      <c r="AV12" s="249">
        <v>8753271.0</v>
      </c>
      <c r="AW12" s="245">
        <v>5556.0</v>
      </c>
      <c r="AX12" s="245">
        <v>1540.65</v>
      </c>
      <c r="AY12" s="245">
        <v>1615.0</v>
      </c>
      <c r="AZ12" s="245">
        <v>1307.1</v>
      </c>
      <c r="BA12" s="245"/>
      <c r="BB12" s="245">
        <v>6592019.92</v>
      </c>
      <c r="BC12" s="246">
        <v>3214963.75</v>
      </c>
      <c r="BD12" s="245">
        <v>2758945.17</v>
      </c>
      <c r="BE12" s="246">
        <v>618111.0</v>
      </c>
      <c r="BF12" s="245">
        <v>3833074.75</v>
      </c>
      <c r="BG12" s="245">
        <v>3752.0</v>
      </c>
      <c r="BH12" s="245">
        <v>857.87</v>
      </c>
      <c r="BI12" s="245">
        <v>2934.0</v>
      </c>
      <c r="BJ12" s="245">
        <v>1313.16</v>
      </c>
      <c r="BK12" s="245"/>
      <c r="BL12" s="245">
        <v>269505.12</v>
      </c>
      <c r="BM12" s="245">
        <v>0.0</v>
      </c>
      <c r="BN12" s="245">
        <v>269505.12</v>
      </c>
      <c r="BO12" s="245">
        <v>0.0</v>
      </c>
      <c r="BP12" s="245">
        <v>0.0</v>
      </c>
      <c r="BQ12" s="245">
        <v>0.0</v>
      </c>
      <c r="BR12" s="245">
        <v>512.0</v>
      </c>
      <c r="BS12" s="245">
        <v>526.38</v>
      </c>
      <c r="BT12" s="245"/>
      <c r="BU12" s="245">
        <v>331673.28</v>
      </c>
      <c r="BV12" s="245">
        <v>875.0</v>
      </c>
      <c r="BW12" s="245">
        <v>99092.53</v>
      </c>
      <c r="BX12" s="245">
        <v>231705.75</v>
      </c>
      <c r="BY12" s="245">
        <v>232580.75</v>
      </c>
      <c r="BZ12" s="245">
        <v>0.0</v>
      </c>
      <c r="CA12" s="245">
        <v>0.0</v>
      </c>
      <c r="CB12" s="245">
        <v>172.0</v>
      </c>
      <c r="CC12" s="245">
        <v>647.66</v>
      </c>
      <c r="CD12" s="245"/>
      <c r="CE12" s="245">
        <v>639315.59</v>
      </c>
      <c r="CF12" s="246">
        <v>0.0</v>
      </c>
      <c r="CG12" s="245">
        <v>362322.67</v>
      </c>
      <c r="CH12" s="245">
        <v>276992.92</v>
      </c>
      <c r="CI12" s="245">
        <v>276992.92</v>
      </c>
      <c r="CJ12" s="245">
        <v>0.0</v>
      </c>
      <c r="CK12" s="245">
        <v>0.0</v>
      </c>
      <c r="CL12" s="245">
        <v>1054.0</v>
      </c>
      <c r="CM12" s="245">
        <v>557.42</v>
      </c>
      <c r="CN12" s="245"/>
      <c r="CO12" s="246">
        <v>574735.73</v>
      </c>
      <c r="CP12" s="245">
        <v>0.0</v>
      </c>
      <c r="CQ12" s="245">
        <v>574735.73</v>
      </c>
      <c r="CR12" s="245">
        <v>0.0</v>
      </c>
      <c r="CS12" s="245">
        <v>0.0</v>
      </c>
      <c r="CT12" s="245">
        <v>0.0</v>
      </c>
      <c r="CU12" s="245">
        <v>0.0</v>
      </c>
      <c r="CV12" s="245">
        <v>1065.0</v>
      </c>
      <c r="CW12" s="245">
        <v>539.66</v>
      </c>
      <c r="CX12" s="245"/>
      <c r="CY12" s="245"/>
      <c r="CZ12" s="245"/>
      <c r="DA12" s="245"/>
      <c r="DB12" s="245"/>
      <c r="DC12" s="245"/>
      <c r="DD12" s="245"/>
      <c r="DE12" s="246"/>
      <c r="DF12" s="245"/>
      <c r="DG12" s="245"/>
      <c r="DH12" s="245">
        <v>1.5413399E7</v>
      </c>
      <c r="DI12" s="245">
        <v>1.483605E7</v>
      </c>
      <c r="DJ12" s="245">
        <v>432879.0</v>
      </c>
      <c r="DK12" s="245">
        <v>144470.0</v>
      </c>
      <c r="DL12" s="245">
        <v>1.498052E7</v>
      </c>
      <c r="DM12" s="245">
        <v>4880.0</v>
      </c>
      <c r="DN12" s="245">
        <v>3041.17</v>
      </c>
      <c r="DO12" s="245">
        <v>328.0</v>
      </c>
      <c r="DP12" s="245">
        <v>1621.27</v>
      </c>
      <c r="DQ12" s="245"/>
      <c r="DR12" s="245">
        <v>414393.84</v>
      </c>
      <c r="DS12" s="245">
        <v>0.0</v>
      </c>
      <c r="DT12" s="245">
        <v>380658.84</v>
      </c>
      <c r="DU12" s="245">
        <v>33735.0</v>
      </c>
      <c r="DV12" s="245">
        <v>33735.0</v>
      </c>
      <c r="DW12" s="245">
        <v>0.0</v>
      </c>
      <c r="DX12" s="245">
        <v>0.0</v>
      </c>
      <c r="DY12" s="245">
        <v>408.0</v>
      </c>
      <c r="DZ12" s="245">
        <v>968.6</v>
      </c>
    </row>
    <row r="13" ht="15.75" customHeight="1">
      <c r="B13" s="242" t="s">
        <v>76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32">
        <f>'Mg St LP'!D6</f>
        <v>4432</v>
      </c>
      <c r="N13" s="232" t="str">
        <f>'Mg St LP'!#REF!</f>
        <v>#ERROR!</v>
      </c>
      <c r="O13" s="229"/>
      <c r="P13" s="229"/>
      <c r="Q13" s="229"/>
      <c r="R13" s="229"/>
      <c r="V13" s="235"/>
      <c r="W13" s="243"/>
      <c r="X13" s="244">
        <v>45717.0</v>
      </c>
      <c r="Y13" s="245">
        <v>5.206536137E7</v>
      </c>
      <c r="Z13" s="245">
        <v>3.96680708E7</v>
      </c>
      <c r="AA13" s="245">
        <v>1.036686729E7</v>
      </c>
      <c r="AB13" s="246">
        <v>2030423.28</v>
      </c>
      <c r="AC13" s="245">
        <v>22339.0</v>
      </c>
      <c r="AD13" s="246">
        <v>1776.73</v>
      </c>
      <c r="AE13" s="245">
        <v>11503.0</v>
      </c>
      <c r="AF13" s="245">
        <v>1089.99</v>
      </c>
      <c r="AG13" s="247"/>
      <c r="AH13" s="247" t="s">
        <v>138</v>
      </c>
      <c r="AI13" s="247" t="s">
        <v>139</v>
      </c>
      <c r="AJ13" s="247" t="s">
        <v>140</v>
      </c>
      <c r="AK13" s="247" t="s">
        <v>141</v>
      </c>
      <c r="AL13" s="248">
        <v>1.1175554E7</v>
      </c>
      <c r="AM13" s="247" t="s">
        <v>142</v>
      </c>
      <c r="AN13" s="247" t="s">
        <v>143</v>
      </c>
      <c r="AO13" s="245">
        <v>2436.0</v>
      </c>
      <c r="AP13" s="245">
        <v>1243.69</v>
      </c>
      <c r="AQ13" s="245"/>
      <c r="AR13" s="245">
        <v>1.152719277E7</v>
      </c>
      <c r="AS13" s="245">
        <v>9107859.5</v>
      </c>
      <c r="AT13" s="246">
        <v>2136801.27</v>
      </c>
      <c r="AU13" s="245">
        <v>282532.0</v>
      </c>
      <c r="AV13" s="249">
        <v>9390391.5</v>
      </c>
      <c r="AW13" s="245">
        <v>5839.0</v>
      </c>
      <c r="AX13" s="245">
        <v>1560.83</v>
      </c>
      <c r="AY13" s="245">
        <v>1862.0</v>
      </c>
      <c r="AZ13" s="245">
        <v>1313.34</v>
      </c>
      <c r="BA13" s="245"/>
      <c r="BB13" s="245">
        <v>8007527.53</v>
      </c>
      <c r="BC13" s="246">
        <v>4084209.5</v>
      </c>
      <c r="BD13" s="245">
        <v>3200802.53</v>
      </c>
      <c r="BE13" s="246">
        <v>722515.5</v>
      </c>
      <c r="BF13" s="245">
        <v>4806725.0</v>
      </c>
      <c r="BG13" s="245">
        <v>4566.0</v>
      </c>
      <c r="BH13" s="245">
        <v>895.48</v>
      </c>
      <c r="BI13" s="245">
        <v>3335.0</v>
      </c>
      <c r="BJ13" s="245">
        <v>1329.79</v>
      </c>
      <c r="BK13" s="245"/>
      <c r="BL13" s="245">
        <v>236942.03</v>
      </c>
      <c r="BM13" s="245">
        <v>0.0</v>
      </c>
      <c r="BN13" s="245">
        <v>236942.03</v>
      </c>
      <c r="BO13" s="245">
        <v>0.0</v>
      </c>
      <c r="BP13" s="245">
        <v>0.0</v>
      </c>
      <c r="BQ13" s="245">
        <v>0.0</v>
      </c>
      <c r="BR13" s="245">
        <v>466.0</v>
      </c>
      <c r="BS13" s="245">
        <v>508.46</v>
      </c>
      <c r="BT13" s="245"/>
      <c r="BU13" s="245">
        <v>349931.53</v>
      </c>
      <c r="BV13" s="245">
        <v>0.0</v>
      </c>
      <c r="BW13" s="245">
        <v>71962.53</v>
      </c>
      <c r="BX13" s="245">
        <v>277969.0</v>
      </c>
      <c r="BY13" s="245">
        <v>277969.0</v>
      </c>
      <c r="BZ13" s="245">
        <v>0.0</v>
      </c>
      <c r="CA13" s="245">
        <v>0.0</v>
      </c>
      <c r="CB13" s="245">
        <v>166.0</v>
      </c>
      <c r="CC13" s="245">
        <v>525.27</v>
      </c>
      <c r="CD13" s="245"/>
      <c r="CE13" s="245">
        <v>640732.34</v>
      </c>
      <c r="CF13" s="246">
        <v>0.0</v>
      </c>
      <c r="CG13" s="245">
        <v>335894.56</v>
      </c>
      <c r="CH13" s="245">
        <v>304837.78</v>
      </c>
      <c r="CI13" s="245">
        <v>304837.78</v>
      </c>
      <c r="CJ13" s="245">
        <v>0.0</v>
      </c>
      <c r="CK13" s="245">
        <v>0.0</v>
      </c>
      <c r="CL13" s="245">
        <v>1074.0</v>
      </c>
      <c r="CM13" s="245">
        <v>515.18</v>
      </c>
      <c r="CN13" s="245"/>
      <c r="CO13" s="246">
        <v>629526.63</v>
      </c>
      <c r="CP13" s="245">
        <v>0.0</v>
      </c>
      <c r="CQ13" s="245">
        <v>629526.63</v>
      </c>
      <c r="CR13" s="245">
        <v>0.0</v>
      </c>
      <c r="CS13" s="245">
        <v>0.0</v>
      </c>
      <c r="CT13" s="245">
        <v>0.0</v>
      </c>
      <c r="CU13" s="245">
        <v>0.0</v>
      </c>
      <c r="CV13" s="245">
        <v>1194.0</v>
      </c>
      <c r="CW13" s="245">
        <v>527.24</v>
      </c>
      <c r="CX13" s="245"/>
      <c r="CY13" s="245"/>
      <c r="CZ13" s="245"/>
      <c r="DA13" s="245"/>
      <c r="DB13" s="245"/>
      <c r="DC13" s="245"/>
      <c r="DD13" s="245"/>
      <c r="DE13" s="246"/>
      <c r="DF13" s="245"/>
      <c r="DG13" s="245"/>
      <c r="DH13" s="245">
        <v>1.61418983E7</v>
      </c>
      <c r="DI13" s="245">
        <v>1.55628443E7</v>
      </c>
      <c r="DJ13" s="245">
        <v>461254.0</v>
      </c>
      <c r="DK13" s="245">
        <v>117800.0</v>
      </c>
      <c r="DL13" s="245">
        <v>1.56806443E7</v>
      </c>
      <c r="DM13" s="245">
        <v>5420.0</v>
      </c>
      <c r="DN13" s="245">
        <v>2872.37</v>
      </c>
      <c r="DO13" s="245">
        <v>338.0</v>
      </c>
      <c r="DP13" s="245">
        <v>1574.25</v>
      </c>
      <c r="DQ13" s="245"/>
      <c r="DR13" s="245">
        <v>703266.32</v>
      </c>
      <c r="DS13" s="245">
        <v>0.0</v>
      </c>
      <c r="DT13" s="245">
        <v>640893.82</v>
      </c>
      <c r="DU13" s="245">
        <v>62372.5</v>
      </c>
      <c r="DV13" s="245">
        <v>62372.5</v>
      </c>
      <c r="DW13" s="245">
        <v>0.0</v>
      </c>
      <c r="DX13" s="245">
        <v>0.0</v>
      </c>
      <c r="DY13" s="245">
        <v>632.0</v>
      </c>
      <c r="DZ13" s="245">
        <v>1064.61</v>
      </c>
    </row>
    <row r="14" ht="15.75" customHeight="1">
      <c r="B14" s="242" t="s">
        <v>83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32">
        <f>'Mg St LP'!D7</f>
        <v>2983</v>
      </c>
      <c r="N14" s="232" t="str">
        <f>'Mg St LP'!#REF!</f>
        <v>#ERROR!</v>
      </c>
      <c r="O14" s="229"/>
      <c r="P14" s="229"/>
      <c r="Q14" s="229"/>
      <c r="R14" s="229"/>
      <c r="V14" s="235"/>
      <c r="W14" s="243"/>
      <c r="X14" s="244">
        <v>45748.0</v>
      </c>
      <c r="Y14" s="245">
        <v>5.209594124E7</v>
      </c>
      <c r="Z14" s="245">
        <v>4.06311447E7</v>
      </c>
      <c r="AA14" s="245">
        <v>9610200.48</v>
      </c>
      <c r="AB14" s="246">
        <v>1854596.06</v>
      </c>
      <c r="AC14" s="245">
        <v>21929.0</v>
      </c>
      <c r="AD14" s="246">
        <v>1853.85</v>
      </c>
      <c r="AE14" s="245">
        <v>10600.0</v>
      </c>
      <c r="AF14" s="245">
        <v>1108.19</v>
      </c>
      <c r="AG14" s="247"/>
      <c r="AH14" s="247" t="s">
        <v>144</v>
      </c>
      <c r="AI14" s="247" t="s">
        <v>145</v>
      </c>
      <c r="AJ14" s="247" t="s">
        <v>146</v>
      </c>
      <c r="AK14" s="247" t="s">
        <v>147</v>
      </c>
      <c r="AL14" s="248">
        <v>1.286432E7</v>
      </c>
      <c r="AM14" s="247" t="s">
        <v>148</v>
      </c>
      <c r="AN14" s="247" t="s">
        <v>149</v>
      </c>
      <c r="AO14" s="245">
        <v>2241.0</v>
      </c>
      <c r="AP14" s="245">
        <v>1284.96</v>
      </c>
      <c r="AQ14" s="245"/>
      <c r="AR14" s="245">
        <v>1.127455453E7</v>
      </c>
      <c r="AS14" s="245">
        <v>9021174.25</v>
      </c>
      <c r="AT14" s="246">
        <v>2026403.28</v>
      </c>
      <c r="AU14" s="245">
        <v>226977.0</v>
      </c>
      <c r="AV14" s="249">
        <v>9248151.25</v>
      </c>
      <c r="AW14" s="245">
        <v>5434.0</v>
      </c>
      <c r="AX14" s="245">
        <v>1661.14</v>
      </c>
      <c r="AY14" s="245">
        <v>1706.0</v>
      </c>
      <c r="AZ14" s="245">
        <v>1323.58</v>
      </c>
      <c r="BA14" s="245"/>
      <c r="BB14" s="245">
        <v>7799625.92</v>
      </c>
      <c r="BC14" s="246">
        <v>4119225.0</v>
      </c>
      <c r="BD14" s="245">
        <v>3003393.42</v>
      </c>
      <c r="BE14" s="246">
        <v>677007.5</v>
      </c>
      <c r="BF14" s="245">
        <v>4796232.5</v>
      </c>
      <c r="BG14" s="245">
        <v>4432.0</v>
      </c>
      <c r="BH14" s="245">
        <v>930.43</v>
      </c>
      <c r="BI14" s="245">
        <v>2983.0</v>
      </c>
      <c r="BJ14" s="245">
        <v>1408.06</v>
      </c>
      <c r="BK14" s="245"/>
      <c r="BL14" s="245">
        <v>210736.64</v>
      </c>
      <c r="BM14" s="245">
        <v>0.0</v>
      </c>
      <c r="BN14" s="245">
        <v>210736.64</v>
      </c>
      <c r="BO14" s="245">
        <v>0.0</v>
      </c>
      <c r="BP14" s="245">
        <v>0.0</v>
      </c>
      <c r="BQ14" s="245">
        <v>0.0</v>
      </c>
      <c r="BR14" s="245">
        <v>419.0</v>
      </c>
      <c r="BS14" s="245">
        <v>502.95</v>
      </c>
      <c r="BT14" s="245"/>
      <c r="BU14" s="245">
        <v>285064.01</v>
      </c>
      <c r="BV14" s="245">
        <v>0.0</v>
      </c>
      <c r="BW14" s="245">
        <v>68163.01</v>
      </c>
      <c r="BX14" s="245">
        <v>216901.0</v>
      </c>
      <c r="BY14" s="245">
        <v>216901.0</v>
      </c>
      <c r="BZ14" s="245">
        <v>0.0</v>
      </c>
      <c r="CA14" s="245">
        <v>0.0</v>
      </c>
      <c r="CB14" s="245">
        <v>159.0</v>
      </c>
      <c r="CC14" s="245">
        <v>532.52</v>
      </c>
      <c r="CD14" s="245"/>
      <c r="CE14" s="245">
        <v>671198.18</v>
      </c>
      <c r="CF14" s="246">
        <v>0.0</v>
      </c>
      <c r="CG14" s="245">
        <v>343309.62</v>
      </c>
      <c r="CH14" s="245">
        <v>327888.56</v>
      </c>
      <c r="CI14" s="245">
        <v>327888.56</v>
      </c>
      <c r="CJ14" s="245">
        <v>0.0</v>
      </c>
      <c r="CK14" s="245">
        <v>0.0</v>
      </c>
      <c r="CL14" s="245">
        <v>1147.0</v>
      </c>
      <c r="CM14" s="245">
        <v>533.92</v>
      </c>
      <c r="CN14" s="245"/>
      <c r="CO14" s="246">
        <v>521785.14</v>
      </c>
      <c r="CP14" s="245">
        <v>0.0</v>
      </c>
      <c r="CQ14" s="245">
        <v>521785.14</v>
      </c>
      <c r="CR14" s="245">
        <v>0.0</v>
      </c>
      <c r="CS14" s="245">
        <v>0.0</v>
      </c>
      <c r="CT14" s="245">
        <v>0.0</v>
      </c>
      <c r="CU14" s="245">
        <v>0.0</v>
      </c>
      <c r="CV14" s="245">
        <v>1015.0</v>
      </c>
      <c r="CW14" s="245">
        <v>514.07</v>
      </c>
      <c r="CX14" s="245"/>
      <c r="CY14" s="245">
        <v>44479.59</v>
      </c>
      <c r="CZ14" s="245">
        <v>0.0</v>
      </c>
      <c r="DA14" s="245">
        <v>44479.59</v>
      </c>
      <c r="DB14" s="245">
        <v>0.0</v>
      </c>
      <c r="DC14" s="245">
        <v>0.0</v>
      </c>
      <c r="DD14" s="245">
        <v>0.0</v>
      </c>
      <c r="DE14" s="246">
        <v>83.0</v>
      </c>
      <c r="DF14" s="245">
        <v>535.9</v>
      </c>
      <c r="DG14" s="245"/>
      <c r="DH14" s="245">
        <v>1.549488045E7</v>
      </c>
      <c r="DI14" s="245">
        <v>1.490983745E7</v>
      </c>
      <c r="DJ14" s="245">
        <v>486848.0</v>
      </c>
      <c r="DK14" s="245">
        <v>98195.0</v>
      </c>
      <c r="DL14" s="245">
        <v>1.500803245E7</v>
      </c>
      <c r="DM14" s="245">
        <v>4700.0</v>
      </c>
      <c r="DN14" s="245">
        <v>3173.31</v>
      </c>
      <c r="DO14" s="245">
        <v>348.0</v>
      </c>
      <c r="DP14" s="245">
        <v>1606.76</v>
      </c>
      <c r="DQ14" s="245"/>
      <c r="DR14" s="245">
        <v>432613.72</v>
      </c>
      <c r="DS14" s="245">
        <v>0.0</v>
      </c>
      <c r="DT14" s="245">
        <v>408398.72</v>
      </c>
      <c r="DU14" s="245">
        <v>24215.0</v>
      </c>
      <c r="DV14" s="245">
        <v>24215.0</v>
      </c>
      <c r="DW14" s="245">
        <v>0.0</v>
      </c>
      <c r="DX14" s="245">
        <v>0.0</v>
      </c>
      <c r="DY14" s="245">
        <v>499.0</v>
      </c>
      <c r="DZ14" s="245">
        <v>861.6</v>
      </c>
    </row>
    <row r="15" ht="15.75" customHeight="1">
      <c r="B15" s="242" t="s">
        <v>90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32">
        <f>'Mg St LP'!D8</f>
        <v>4144195.05</v>
      </c>
      <c r="N15" s="232" t="str">
        <f>'Mg St LP'!#REF!</f>
        <v>#ERROR!</v>
      </c>
      <c r="O15" s="229"/>
      <c r="P15" s="229"/>
      <c r="Q15" s="229"/>
      <c r="R15" s="229"/>
      <c r="V15" s="235"/>
      <c r="W15" s="243"/>
      <c r="X15" s="244">
        <v>45778.0</v>
      </c>
      <c r="Y15" s="245">
        <v>5.48729403E7</v>
      </c>
      <c r="Z15" s="245">
        <v>4.150214825E7</v>
      </c>
      <c r="AA15" s="245">
        <v>1.155251543E7</v>
      </c>
      <c r="AB15" s="246">
        <v>1818276.62</v>
      </c>
      <c r="AC15" s="245">
        <v>22639.0</v>
      </c>
      <c r="AD15" s="246">
        <v>1834.21</v>
      </c>
      <c r="AE15" s="245">
        <v>13029.0</v>
      </c>
      <c r="AF15" s="245">
        <v>1030.46</v>
      </c>
      <c r="AG15" s="247"/>
      <c r="AH15" s="247" t="s">
        <v>150</v>
      </c>
      <c r="AI15" s="247" t="s">
        <v>151</v>
      </c>
      <c r="AJ15" s="247" t="s">
        <v>152</v>
      </c>
      <c r="AK15" s="247" t="s">
        <v>153</v>
      </c>
      <c r="AL15" s="248">
        <v>1.3069572E7</v>
      </c>
      <c r="AM15" s="247" t="s">
        <v>154</v>
      </c>
      <c r="AN15" s="247" t="s">
        <v>155</v>
      </c>
      <c r="AO15" s="245">
        <v>2613.0</v>
      </c>
      <c r="AP15" s="245">
        <v>1303.56</v>
      </c>
      <c r="AQ15" s="245"/>
      <c r="AR15" s="245">
        <v>1.193111727E7</v>
      </c>
      <c r="AS15" s="245">
        <v>9415520.25</v>
      </c>
      <c r="AT15" s="246">
        <v>2359371.02</v>
      </c>
      <c r="AU15" s="245">
        <v>156226.0</v>
      </c>
      <c r="AV15" s="249">
        <v>9571746.25</v>
      </c>
      <c r="AW15" s="245">
        <v>5738.0</v>
      </c>
      <c r="AX15" s="245">
        <v>1641.91</v>
      </c>
      <c r="AY15" s="245">
        <v>1956.0</v>
      </c>
      <c r="AZ15" s="245">
        <v>1297.07</v>
      </c>
      <c r="BA15" s="245"/>
      <c r="BB15" s="245">
        <v>8814733.83</v>
      </c>
      <c r="BC15" s="246">
        <v>4677508.0</v>
      </c>
      <c r="BD15" s="245">
        <v>3496559.83</v>
      </c>
      <c r="BE15" s="246">
        <v>640666.0</v>
      </c>
      <c r="BF15" s="245">
        <v>5318174.0</v>
      </c>
      <c r="BG15" s="245">
        <v>4850.0</v>
      </c>
      <c r="BH15" s="245">
        <v>965.43</v>
      </c>
      <c r="BI15" s="245">
        <v>3547.0</v>
      </c>
      <c r="BJ15" s="245">
        <v>1303.71</v>
      </c>
      <c r="BK15" s="245"/>
      <c r="BL15" s="245">
        <v>269945.41</v>
      </c>
      <c r="BM15" s="245">
        <v>0.0</v>
      </c>
      <c r="BN15" s="245">
        <v>269945.41</v>
      </c>
      <c r="BO15" s="245">
        <v>0.0</v>
      </c>
      <c r="BP15" s="245">
        <v>0.0</v>
      </c>
      <c r="BQ15" s="245">
        <v>0.0</v>
      </c>
      <c r="BR15" s="245">
        <v>599.0</v>
      </c>
      <c r="BS15" s="245">
        <v>450.66</v>
      </c>
      <c r="BT15" s="245"/>
      <c r="BU15" s="245">
        <v>333501.82</v>
      </c>
      <c r="BV15" s="245">
        <v>0.0</v>
      </c>
      <c r="BW15" s="245">
        <v>103864.57</v>
      </c>
      <c r="BX15" s="245">
        <v>229637.25</v>
      </c>
      <c r="BY15" s="245">
        <v>229637.25</v>
      </c>
      <c r="BZ15" s="245">
        <v>0.0</v>
      </c>
      <c r="CA15" s="245">
        <v>0.0</v>
      </c>
      <c r="CB15" s="245">
        <v>248.0</v>
      </c>
      <c r="CC15" s="245">
        <v>487.63</v>
      </c>
      <c r="CD15" s="245"/>
      <c r="CE15" s="245">
        <v>670011.57</v>
      </c>
      <c r="CF15" s="246">
        <v>0.0</v>
      </c>
      <c r="CG15" s="245">
        <v>401899.2</v>
      </c>
      <c r="CH15" s="245">
        <v>268112.37</v>
      </c>
      <c r="CI15" s="245">
        <v>268112.37</v>
      </c>
      <c r="CJ15" s="245">
        <v>0.0</v>
      </c>
      <c r="CK15" s="245">
        <v>0.0</v>
      </c>
      <c r="CL15" s="245">
        <v>1154.0</v>
      </c>
      <c r="CM15" s="245">
        <v>521.27</v>
      </c>
      <c r="CN15" s="245"/>
      <c r="CO15" s="246">
        <v>610855.05</v>
      </c>
      <c r="CP15" s="245">
        <v>0.0</v>
      </c>
      <c r="CQ15" s="245">
        <v>610855.05</v>
      </c>
      <c r="CR15" s="245">
        <v>0.0</v>
      </c>
      <c r="CS15" s="245">
        <v>0.0</v>
      </c>
      <c r="CT15" s="245">
        <v>0.0</v>
      </c>
      <c r="CU15" s="245">
        <v>0.0</v>
      </c>
      <c r="CV15" s="245">
        <v>1203.0</v>
      </c>
      <c r="CW15" s="245">
        <v>507.78</v>
      </c>
      <c r="CX15" s="245"/>
      <c r="CY15" s="245">
        <v>404859.4</v>
      </c>
      <c r="CZ15" s="245">
        <v>0.0</v>
      </c>
      <c r="DA15" s="245">
        <v>404859.4</v>
      </c>
      <c r="DB15" s="245">
        <v>0.0</v>
      </c>
      <c r="DC15" s="245">
        <v>0.0</v>
      </c>
      <c r="DD15" s="245">
        <v>0.0</v>
      </c>
      <c r="DE15" s="246">
        <v>859.0</v>
      </c>
      <c r="DF15" s="245">
        <v>471.31</v>
      </c>
      <c r="DG15" s="245"/>
      <c r="DH15" s="245">
        <v>1.5236383E7</v>
      </c>
      <c r="DI15" s="245">
        <v>1.4660248E7</v>
      </c>
      <c r="DJ15" s="245">
        <v>444905.0</v>
      </c>
      <c r="DK15" s="245">
        <v>131230.0</v>
      </c>
      <c r="DL15" s="245">
        <v>1.4791478E7</v>
      </c>
      <c r="DM15" s="245">
        <v>4719.0</v>
      </c>
      <c r="DN15" s="245">
        <v>3107.64</v>
      </c>
      <c r="DO15" s="245">
        <v>349.0</v>
      </c>
      <c r="DP15" s="245">
        <v>1508.15</v>
      </c>
      <c r="DQ15" s="245"/>
      <c r="DR15" s="245">
        <v>541603.11</v>
      </c>
      <c r="DS15" s="245">
        <v>0.0</v>
      </c>
      <c r="DT15" s="245">
        <v>469898.11</v>
      </c>
      <c r="DU15" s="245">
        <v>71705.0</v>
      </c>
      <c r="DV15" s="245">
        <v>71705.0</v>
      </c>
      <c r="DW15" s="245">
        <v>0.0</v>
      </c>
      <c r="DX15" s="245">
        <v>0.0</v>
      </c>
      <c r="DY15" s="245">
        <v>501.0</v>
      </c>
      <c r="DZ15" s="245">
        <v>987.18</v>
      </c>
    </row>
    <row r="16" ht="15.75" customHeight="1">
      <c r="B16" s="242" t="s">
        <v>97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32">
        <f>'Mg St LP'!D9</f>
        <v>5688107.9</v>
      </c>
      <c r="N16" s="232" t="str">
        <f>'Mg St LP'!#REF!</f>
        <v>#ERROR!</v>
      </c>
      <c r="O16" s="229"/>
      <c r="P16" s="229"/>
      <c r="Q16" s="229"/>
      <c r="R16" s="2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</row>
    <row r="17" ht="15.75" customHeight="1">
      <c r="B17" s="242" t="s">
        <v>104</v>
      </c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32">
        <f>'Mg St LP'!D10</f>
        <v>-0.000000001862645149</v>
      </c>
      <c r="N17" s="232" t="str">
        <f>'Mg St LP'!#REF!</f>
        <v>#ERROR!</v>
      </c>
      <c r="O17" s="229"/>
      <c r="P17" s="229"/>
      <c r="Q17" s="229"/>
      <c r="R17" s="2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  <c r="AH17" s="3"/>
      <c r="AI17" s="3"/>
      <c r="AJ17" s="3"/>
      <c r="AK17" s="2"/>
      <c r="AL17" s="2"/>
      <c r="AM17" s="2"/>
      <c r="AN17" s="252">
        <f>(AN15-AN4)/AN4</f>
        <v>0.1663828589</v>
      </c>
      <c r="AO17" s="2"/>
      <c r="AP17" s="252">
        <f>(AP15-AP4)/AP4</f>
        <v>-0.05278302572</v>
      </c>
      <c r="AQ17" s="3"/>
      <c r="AR17" s="3"/>
      <c r="AS17" s="3"/>
      <c r="AT17" s="2"/>
      <c r="AU17" s="2"/>
      <c r="AV17" s="2"/>
      <c r="AW17" s="2"/>
      <c r="AX17" s="252">
        <f>(AX15-AX4)/AX4</f>
        <v>0.1144286374</v>
      </c>
      <c r="AY17" s="2"/>
      <c r="AZ17" s="252">
        <f>(AZ15-AZ4)/AZ4</f>
        <v>-0.09115305922</v>
      </c>
      <c r="BA17" s="3"/>
      <c r="BB17" s="3"/>
      <c r="BC17" s="2"/>
      <c r="BD17" s="2"/>
      <c r="BE17" s="2"/>
      <c r="BF17" s="2"/>
      <c r="BG17" s="2"/>
      <c r="BH17" s="252">
        <f>(BH15-BH4)/BH4</f>
        <v>0.05533389447</v>
      </c>
      <c r="BI17" s="2"/>
      <c r="BJ17" s="252">
        <f>(BJ15-BJ4)/BJ4</f>
        <v>-0.1173913927</v>
      </c>
      <c r="BK17" s="3"/>
      <c r="BL17" s="2"/>
      <c r="BM17" s="2"/>
      <c r="BN17" s="2"/>
      <c r="BO17" s="2"/>
      <c r="BP17" s="2"/>
      <c r="BQ17" s="3"/>
      <c r="BR17" s="3"/>
      <c r="BS17" s="3"/>
      <c r="BT17" s="3"/>
      <c r="BU17" s="2"/>
      <c r="BV17" s="2"/>
      <c r="BW17" s="2"/>
      <c r="BX17" s="2"/>
      <c r="BY17" s="2"/>
      <c r="BZ17" s="3"/>
      <c r="CA17" s="3"/>
      <c r="CB17" s="3"/>
      <c r="CC17" s="3"/>
      <c r="CD17" s="2"/>
      <c r="CE17" s="2"/>
      <c r="CF17" s="2"/>
      <c r="CG17" s="2"/>
      <c r="CH17" s="2"/>
      <c r="CI17" s="3"/>
      <c r="CJ17" s="3"/>
      <c r="CK17" s="3"/>
      <c r="CL17" s="3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3"/>
      <c r="DB17" s="3"/>
      <c r="DC17" s="3"/>
      <c r="DD17" s="3"/>
      <c r="DE17" s="2"/>
      <c r="DF17" s="2"/>
      <c r="DG17" s="2"/>
      <c r="DH17" s="2"/>
      <c r="DI17" s="2"/>
      <c r="DJ17" s="3"/>
      <c r="DK17" s="3"/>
      <c r="DL17" s="3"/>
      <c r="DM17" s="3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</row>
    <row r="18" ht="15.75" customHeight="1">
      <c r="B18" s="242" t="s">
        <v>111</v>
      </c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32">
        <f>'Mg St LP'!D11</f>
        <v>935.06206</v>
      </c>
      <c r="N18" s="232" t="str">
        <f>'Mg St LP'!#REF!</f>
        <v>#ERROR!</v>
      </c>
      <c r="O18" s="229"/>
      <c r="P18" s="229"/>
      <c r="Q18" s="229"/>
      <c r="R18" s="2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53"/>
      <c r="AH18" s="235"/>
      <c r="AI18" s="235"/>
      <c r="AJ18" s="235"/>
      <c r="AK18" s="2"/>
      <c r="AL18" s="2"/>
      <c r="AM18" s="2"/>
      <c r="AN18" s="2"/>
      <c r="AO18" s="2"/>
      <c r="AP18" s="253"/>
      <c r="AQ18" s="235"/>
      <c r="AR18" s="235"/>
      <c r="AS18" s="235"/>
      <c r="AT18" s="2"/>
      <c r="AV18" s="2"/>
      <c r="AW18" s="2"/>
      <c r="AX18" s="2"/>
      <c r="AY18" s="253"/>
      <c r="AZ18" s="235"/>
      <c r="BA18" s="235"/>
      <c r="BB18" s="235"/>
      <c r="BC18" s="2"/>
      <c r="BE18" s="2"/>
      <c r="BF18" s="2"/>
      <c r="BG18" s="2"/>
      <c r="BH18" s="253"/>
      <c r="BI18" s="235"/>
      <c r="BJ18" s="235"/>
      <c r="BK18" s="235"/>
      <c r="BL18" s="2"/>
      <c r="BM18" s="2"/>
      <c r="BN18" s="2"/>
      <c r="BO18" s="2"/>
      <c r="BP18" s="2"/>
      <c r="BQ18" s="253"/>
      <c r="BR18" s="235"/>
      <c r="BS18" s="235"/>
      <c r="BT18" s="235"/>
      <c r="BU18" s="2"/>
      <c r="BW18" s="2"/>
      <c r="BX18" s="2"/>
      <c r="BY18" s="2"/>
      <c r="BZ18" s="253"/>
      <c r="CA18" s="235"/>
      <c r="CB18" s="235"/>
      <c r="CC18" s="235"/>
      <c r="CD18" s="2"/>
      <c r="CE18" s="2"/>
      <c r="CF18" s="2"/>
      <c r="CG18" s="2"/>
      <c r="CH18" s="2"/>
      <c r="CI18" s="253"/>
      <c r="CJ18" s="235"/>
      <c r="CK18" s="235"/>
      <c r="CL18" s="235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53"/>
      <c r="DB18" s="235"/>
      <c r="DC18" s="235"/>
      <c r="DD18" s="235"/>
      <c r="DE18" s="2"/>
      <c r="DF18" s="2"/>
      <c r="DG18" s="2"/>
      <c r="DH18" s="2"/>
      <c r="DI18" s="2"/>
      <c r="DJ18" s="253"/>
      <c r="DK18" s="235"/>
      <c r="DL18" s="235"/>
      <c r="DM18" s="235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</row>
    <row r="19" ht="15.75" customHeight="1">
      <c r="B19" s="242" t="s">
        <v>118</v>
      </c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32">
        <f>'Mg St LP'!D12</f>
        <v>1906.841401</v>
      </c>
      <c r="N19" s="232" t="str">
        <f>'Mg St LP'!#REF!</f>
        <v>#ERROR!</v>
      </c>
      <c r="O19" s="229"/>
      <c r="P19" s="229"/>
      <c r="Q19" s="229"/>
      <c r="R19" s="2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53"/>
      <c r="AH19" s="253"/>
      <c r="AI19" s="253"/>
      <c r="AJ19" s="253"/>
      <c r="AK19" s="2"/>
      <c r="AL19" s="2"/>
      <c r="AM19" s="2"/>
      <c r="AN19" s="2"/>
      <c r="AO19" s="2"/>
      <c r="AP19" s="253"/>
      <c r="AQ19" s="253"/>
      <c r="AR19" s="253"/>
      <c r="AS19" s="253"/>
      <c r="AT19" s="2"/>
      <c r="AU19" s="2"/>
      <c r="AV19" s="2"/>
      <c r="AW19" s="2"/>
      <c r="AX19" s="2"/>
      <c r="AY19" s="253"/>
      <c r="AZ19" s="253"/>
      <c r="BA19" s="253"/>
      <c r="BB19" s="253"/>
      <c r="BC19" s="2"/>
      <c r="BD19" s="2"/>
      <c r="BE19" s="2"/>
      <c r="BF19" s="2"/>
      <c r="BG19" s="2"/>
      <c r="BH19" s="253"/>
      <c r="BI19" s="253"/>
      <c r="BJ19" s="253"/>
      <c r="BK19" s="253"/>
      <c r="BL19" s="2"/>
      <c r="BM19" s="2"/>
      <c r="BN19" s="2"/>
      <c r="BO19" s="2"/>
      <c r="BP19" s="2"/>
      <c r="BQ19" s="253"/>
      <c r="BR19" s="253"/>
      <c r="BS19" s="253"/>
      <c r="BT19" s="253"/>
      <c r="BU19" s="2"/>
      <c r="BV19" s="2"/>
      <c r="BW19" s="2"/>
      <c r="BX19" s="2"/>
      <c r="BY19" s="2"/>
      <c r="BZ19" s="253"/>
      <c r="CA19" s="253"/>
      <c r="CB19" s="253"/>
      <c r="CC19" s="253"/>
      <c r="CD19" s="2"/>
      <c r="CE19" s="2"/>
      <c r="CF19" s="2"/>
      <c r="CG19" s="2"/>
      <c r="CH19" s="2"/>
      <c r="CI19" s="253"/>
      <c r="CJ19" s="253"/>
      <c r="CK19" s="253"/>
      <c r="CL19" s="253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53"/>
      <c r="DB19" s="253"/>
      <c r="DC19" s="253"/>
      <c r="DD19" s="253"/>
      <c r="DE19" s="2"/>
      <c r="DF19" s="2"/>
      <c r="DG19" s="2"/>
      <c r="DH19" s="2"/>
      <c r="DI19" s="2"/>
      <c r="DJ19" s="253"/>
      <c r="DK19" s="253"/>
      <c r="DL19" s="253"/>
      <c r="DM19" s="253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</row>
    <row r="20" ht="15.75" customHeight="1"/>
    <row r="21" ht="15.75" customHeight="1">
      <c r="B21" s="231" t="s">
        <v>156</v>
      </c>
      <c r="C21" s="230">
        <v>45444.0</v>
      </c>
      <c r="D21" s="230">
        <v>45474.0</v>
      </c>
      <c r="E21" s="230">
        <v>45505.0</v>
      </c>
      <c r="F21" s="231" t="s">
        <v>65</v>
      </c>
      <c r="G21" s="230">
        <v>45566.0</v>
      </c>
      <c r="H21" s="230">
        <v>45597.0</v>
      </c>
      <c r="I21" s="230">
        <v>45627.0</v>
      </c>
      <c r="J21" s="230">
        <v>45658.0</v>
      </c>
      <c r="K21" s="230">
        <v>45689.0</v>
      </c>
      <c r="L21" s="230">
        <v>45717.0</v>
      </c>
      <c r="M21" s="230">
        <v>45748.0</v>
      </c>
      <c r="N21" s="230">
        <v>45778.0</v>
      </c>
      <c r="O21" s="231"/>
      <c r="P21" s="231"/>
      <c r="Q21" s="231"/>
      <c r="R21" s="231"/>
    </row>
    <row r="22" ht="15.75" customHeight="1">
      <c r="B22" s="242" t="s">
        <v>76</v>
      </c>
      <c r="C22" s="232">
        <v>7526.0</v>
      </c>
      <c r="D22" s="232">
        <v>7144.0</v>
      </c>
      <c r="E22" s="232">
        <v>7634.0</v>
      </c>
      <c r="F22" s="232">
        <v>6608.0</v>
      </c>
      <c r="G22" s="232">
        <v>6633.0</v>
      </c>
      <c r="H22" s="232">
        <v>6458.0</v>
      </c>
      <c r="I22" s="232">
        <v>7370.0</v>
      </c>
      <c r="J22" s="232">
        <v>6551.0</v>
      </c>
      <c r="K22" s="232">
        <v>5823.0</v>
      </c>
      <c r="L22" s="232">
        <v>6514.0</v>
      </c>
      <c r="M22" s="232">
        <f>'Mg St Bandra'!D6</f>
        <v>7363</v>
      </c>
      <c r="N22" s="232" t="str">
        <f>'Mg St Bandra'!#REF!</f>
        <v>#ERROR!</v>
      </c>
      <c r="O22" s="229"/>
      <c r="P22" s="229"/>
      <c r="Q22" s="229"/>
      <c r="R22" s="229"/>
    </row>
    <row r="23" ht="15.75" customHeight="1">
      <c r="B23" s="242" t="s">
        <v>83</v>
      </c>
      <c r="C23" s="232">
        <v>1229.0</v>
      </c>
      <c r="D23" s="232">
        <v>1332.0</v>
      </c>
      <c r="E23" s="232">
        <v>1601.0</v>
      </c>
      <c r="F23" s="232">
        <v>1772.0</v>
      </c>
      <c r="G23" s="232">
        <v>1837.0</v>
      </c>
      <c r="H23" s="232">
        <v>1962.0</v>
      </c>
      <c r="I23" s="232">
        <v>2057.0</v>
      </c>
      <c r="J23" s="232">
        <v>1952.0</v>
      </c>
      <c r="K23" s="232">
        <v>2116.0</v>
      </c>
      <c r="L23" s="232">
        <v>2436.0</v>
      </c>
      <c r="M23" s="232">
        <f>'Mg St Bandra'!D7</f>
        <v>2241</v>
      </c>
      <c r="N23" s="232" t="str">
        <f>'Mg St Bandra'!#REF!</f>
        <v>#ERROR!</v>
      </c>
      <c r="O23" s="229"/>
      <c r="P23" s="229"/>
      <c r="Q23" s="229"/>
      <c r="R23" s="229"/>
    </row>
    <row r="24" ht="15.75" customHeight="1">
      <c r="B24" s="242" t="s">
        <v>90</v>
      </c>
      <c r="C24" s="232">
        <v>1.146578075E7</v>
      </c>
      <c r="D24" s="254">
        <v>1.08495985E7</v>
      </c>
      <c r="E24" s="254">
        <v>1.232067425E7</v>
      </c>
      <c r="F24" s="254">
        <v>1.145224E7</v>
      </c>
      <c r="G24" s="254">
        <v>1.15120215E7</v>
      </c>
      <c r="H24" s="254">
        <v>1.10224485E7</v>
      </c>
      <c r="I24" s="254">
        <v>1.2872772E7</v>
      </c>
      <c r="J24" s="254">
        <v>1.14433195E7</v>
      </c>
      <c r="K24" s="254">
        <v>9878764.0</v>
      </c>
      <c r="L24" s="254">
        <v>1.1175554E7</v>
      </c>
      <c r="M24" s="254">
        <v>1.286432E7</v>
      </c>
      <c r="N24" s="254">
        <v>1.3069572E7</v>
      </c>
      <c r="O24" s="229"/>
      <c r="P24" s="229"/>
      <c r="Q24" s="229"/>
      <c r="R24" s="229"/>
    </row>
    <row r="25" ht="15.75" customHeight="1">
      <c r="B25" s="242" t="s">
        <v>97</v>
      </c>
      <c r="C25" s="232">
        <v>1314270.0</v>
      </c>
      <c r="D25" s="254">
        <v>1431076.0</v>
      </c>
      <c r="E25" s="254">
        <v>1645414.0</v>
      </c>
      <c r="F25" s="254">
        <v>1977000.0</v>
      </c>
      <c r="G25" s="254">
        <v>1984707.12</v>
      </c>
      <c r="H25" s="254">
        <v>2039306.95</v>
      </c>
      <c r="I25" s="254">
        <v>2151840.69</v>
      </c>
      <c r="J25" s="254">
        <v>2056592.58</v>
      </c>
      <c r="K25" s="254">
        <v>2163821.21</v>
      </c>
      <c r="L25" s="254">
        <v>2652789.92</v>
      </c>
      <c r="M25" s="254">
        <v>2496683.06</v>
      </c>
      <c r="N25" s="254">
        <v>2990357.84</v>
      </c>
      <c r="O25" s="229"/>
      <c r="P25" s="229"/>
      <c r="Q25" s="229"/>
      <c r="R25" s="229"/>
    </row>
    <row r="26" ht="15.75" customHeight="1">
      <c r="B26" s="242" t="s">
        <v>104</v>
      </c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2">
        <f>'Mg St Bandra'!D10</f>
        <v>0</v>
      </c>
      <c r="N26" s="232" t="str">
        <f>'Mg St Bandra'!#REF!</f>
        <v>#ERROR!</v>
      </c>
      <c r="O26" s="229"/>
      <c r="P26" s="229"/>
      <c r="Q26" s="229"/>
      <c r="R26" s="229"/>
    </row>
    <row r="27" ht="15.75" customHeight="1">
      <c r="B27" s="242" t="s">
        <v>111</v>
      </c>
      <c r="C27" s="232">
        <f t="shared" ref="C27:L27" si="1">C24/C22</f>
        <v>1523.489337</v>
      </c>
      <c r="D27" s="232">
        <f t="shared" si="1"/>
        <v>1518.700798</v>
      </c>
      <c r="E27" s="232">
        <f t="shared" si="1"/>
        <v>1613.921175</v>
      </c>
      <c r="F27" s="232">
        <f t="shared" si="1"/>
        <v>1733.087167</v>
      </c>
      <c r="G27" s="232">
        <f t="shared" si="1"/>
        <v>1735.567843</v>
      </c>
      <c r="H27" s="232">
        <f t="shared" si="1"/>
        <v>1706.789796</v>
      </c>
      <c r="I27" s="232">
        <f t="shared" si="1"/>
        <v>1746.644776</v>
      </c>
      <c r="J27" s="232">
        <f t="shared" si="1"/>
        <v>1746.804992</v>
      </c>
      <c r="K27" s="232">
        <f t="shared" si="1"/>
        <v>1696.507642</v>
      </c>
      <c r="L27" s="232">
        <f t="shared" si="1"/>
        <v>1715.620817</v>
      </c>
      <c r="M27" s="232">
        <f>'Mg St Bandra'!D11</f>
        <v>1689.752547</v>
      </c>
      <c r="N27" s="232" t="str">
        <f>'Mg St Bandra'!#REF!</f>
        <v>#ERROR!</v>
      </c>
      <c r="O27" s="229"/>
      <c r="P27" s="229"/>
      <c r="Q27" s="229"/>
      <c r="R27" s="229"/>
    </row>
    <row r="28" ht="15.75" customHeight="1">
      <c r="B28" s="242" t="s">
        <v>118</v>
      </c>
      <c r="C28" s="232">
        <f t="shared" ref="C28:L28" si="2">C25/C23</f>
        <v>1069.381611</v>
      </c>
      <c r="D28" s="232">
        <f t="shared" si="2"/>
        <v>1074.381381</v>
      </c>
      <c r="E28" s="232">
        <f t="shared" si="2"/>
        <v>1027.741412</v>
      </c>
      <c r="F28" s="232">
        <f t="shared" si="2"/>
        <v>1115.688488</v>
      </c>
      <c r="G28" s="232">
        <f t="shared" si="2"/>
        <v>1080.406707</v>
      </c>
      <c r="H28" s="232">
        <f t="shared" si="2"/>
        <v>1039.402115</v>
      </c>
      <c r="I28" s="232">
        <f t="shared" si="2"/>
        <v>1046.106315</v>
      </c>
      <c r="J28" s="232">
        <f t="shared" si="2"/>
        <v>1053.582264</v>
      </c>
      <c r="K28" s="232">
        <f t="shared" si="2"/>
        <v>1022.599816</v>
      </c>
      <c r="L28" s="232">
        <f t="shared" si="2"/>
        <v>1088.99422</v>
      </c>
      <c r="M28" s="232">
        <f>'Mg St Bandra'!D12</f>
        <v>2188.537818</v>
      </c>
      <c r="N28" s="232" t="str">
        <f>'Mg St Bandra'!#REF!</f>
        <v>#ERROR!</v>
      </c>
      <c r="O28" s="229"/>
      <c r="P28" s="229"/>
      <c r="Q28" s="229"/>
      <c r="R28" s="229"/>
    </row>
    <row r="29" ht="15.75" customHeight="1"/>
    <row r="30" ht="15.75" customHeight="1">
      <c r="B30" s="231" t="s">
        <v>157</v>
      </c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>
        <v>45748.0</v>
      </c>
      <c r="N30" s="230">
        <v>45778.0</v>
      </c>
      <c r="O30" s="231"/>
      <c r="P30" s="231"/>
      <c r="Q30" s="231"/>
      <c r="R30" s="231"/>
    </row>
    <row r="31" ht="15.75" customHeight="1">
      <c r="B31" s="242" t="s">
        <v>76</v>
      </c>
      <c r="C31" s="229"/>
      <c r="D31" s="229"/>
      <c r="E31" s="229"/>
      <c r="F31" s="229"/>
      <c r="G31" s="229"/>
      <c r="H31" s="229"/>
      <c r="I31" s="229"/>
      <c r="J31" s="229"/>
      <c r="K31" s="229"/>
      <c r="L31" s="229"/>
      <c r="M31" s="232">
        <f>'The Table'!D6</f>
        <v>4700</v>
      </c>
      <c r="N31" s="232" t="str">
        <f>'The Table'!#REF!</f>
        <v>#ERROR!</v>
      </c>
      <c r="O31" s="229"/>
      <c r="P31" s="229"/>
      <c r="Q31" s="229"/>
      <c r="R31" s="229"/>
    </row>
    <row r="32" ht="15.75" customHeight="1">
      <c r="B32" s="242" t="s">
        <v>83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32">
        <f>'The Table'!D7</f>
        <v>348</v>
      </c>
      <c r="N32" s="232" t="str">
        <f>'The Table'!#REF!</f>
        <v>#ERROR!</v>
      </c>
      <c r="O32" s="229"/>
      <c r="P32" s="229"/>
      <c r="Q32" s="229"/>
      <c r="R32" s="229"/>
    </row>
    <row r="33" ht="15.75" customHeight="1">
      <c r="B33" s="242" t="s">
        <v>90</v>
      </c>
      <c r="C33" s="229"/>
      <c r="D33" s="229"/>
      <c r="E33" s="229"/>
      <c r="F33" s="229"/>
      <c r="G33" s="229"/>
      <c r="H33" s="229"/>
      <c r="I33" s="229"/>
      <c r="J33" s="229"/>
      <c r="K33" s="229"/>
      <c r="L33" s="229"/>
      <c r="M33" s="232">
        <f>'The Table'!D8</f>
        <v>19734167.61</v>
      </c>
      <c r="N33" s="232" t="str">
        <f>'The Table'!#REF!</f>
        <v>#ERROR!</v>
      </c>
      <c r="O33" s="229"/>
      <c r="P33" s="229"/>
      <c r="Q33" s="229"/>
      <c r="R33" s="229"/>
    </row>
    <row r="34" ht="15.75" customHeight="1">
      <c r="B34" s="242" t="s">
        <v>97</v>
      </c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32">
        <f>'The Table'!D9</f>
        <v>792545.26</v>
      </c>
      <c r="N34" s="232" t="str">
        <f>'The Table'!#REF!</f>
        <v>#ERROR!</v>
      </c>
      <c r="O34" s="229"/>
      <c r="P34" s="229"/>
      <c r="Q34" s="229"/>
      <c r="R34" s="229"/>
    </row>
    <row r="35" ht="15.75" customHeight="1">
      <c r="B35" s="242" t="s">
        <v>104</v>
      </c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32">
        <f>'The Table'!D10</f>
        <v>0.000000003725290298</v>
      </c>
      <c r="N35" s="232" t="str">
        <f>'The Table'!#REF!</f>
        <v>#ERROR!</v>
      </c>
      <c r="O35" s="229"/>
      <c r="P35" s="229"/>
      <c r="Q35" s="229"/>
      <c r="R35" s="229"/>
    </row>
    <row r="36" ht="15.75" customHeight="1">
      <c r="B36" s="242" t="s">
        <v>158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32">
        <f>'The Table'!D11</f>
        <v>4198.759066</v>
      </c>
      <c r="N36" s="232" t="str">
        <f>'The Table'!#REF!</f>
        <v>#ERROR!</v>
      </c>
      <c r="O36" s="229"/>
      <c r="P36" s="229"/>
      <c r="Q36" s="229"/>
      <c r="R36" s="229"/>
    </row>
    <row r="37" ht="15.75" customHeight="1">
      <c r="B37" s="242" t="s">
        <v>118</v>
      </c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32">
        <f>'The Table'!D12</f>
        <v>2277.428908</v>
      </c>
      <c r="N37" s="232" t="str">
        <f>'The Table'!#REF!</f>
        <v>#ERROR!</v>
      </c>
      <c r="O37" s="229"/>
      <c r="P37" s="229"/>
      <c r="Q37" s="229"/>
      <c r="R37" s="229"/>
    </row>
    <row r="38" ht="15.75" customHeight="1"/>
    <row r="39" ht="15.75" customHeight="1"/>
    <row r="40" ht="15.75" customHeight="1">
      <c r="N40" s="255" t="str">
        <f>6%*(N33+N34)</f>
        <v>#ERROR!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12">
    <mergeCell ref="CY2:CZ2"/>
    <mergeCell ref="DH2:DI2"/>
    <mergeCell ref="AT18:AU18"/>
    <mergeCell ref="BC18:BD18"/>
    <mergeCell ref="BU18:BV18"/>
    <mergeCell ref="AH2:AI2"/>
    <mergeCell ref="AR2:AS2"/>
    <mergeCell ref="BB2:BC2"/>
    <mergeCell ref="BL2:BM2"/>
    <mergeCell ref="BU2:BV2"/>
    <mergeCell ref="CE2:CF2"/>
    <mergeCell ref="CO2:CQ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27" t="s">
        <v>0</v>
      </c>
      <c r="O1" s="124"/>
      <c r="S1" s="124"/>
      <c r="W1" s="124"/>
      <c r="AA1" s="124"/>
      <c r="AE1" s="124" t="str">
        <f>AE12/$K$12</f>
        <v>#DIV/0!</v>
      </c>
      <c r="BC1" s="124" t="s">
        <v>159</v>
      </c>
      <c r="BG1" s="124" t="s">
        <v>159</v>
      </c>
    </row>
    <row r="2" ht="15.75" customHeight="1">
      <c r="A2" s="124" t="s">
        <v>160</v>
      </c>
    </row>
    <row r="3" ht="15.75" customHeight="1">
      <c r="B3" s="4"/>
      <c r="C3" s="131" t="s">
        <v>46</v>
      </c>
      <c r="D3" s="10"/>
      <c r="E3" s="10"/>
      <c r="F3" s="12"/>
      <c r="G3" s="131" t="s">
        <v>3</v>
      </c>
      <c r="H3" s="10"/>
      <c r="I3" s="10"/>
      <c r="J3" s="12"/>
      <c r="K3" s="131" t="s">
        <v>4</v>
      </c>
      <c r="L3" s="10"/>
      <c r="M3" s="10"/>
      <c r="N3" s="12"/>
      <c r="O3" s="131" t="s">
        <v>5</v>
      </c>
      <c r="P3" s="10"/>
      <c r="Q3" s="10"/>
      <c r="R3" s="12"/>
      <c r="S3" s="131" t="s">
        <v>6</v>
      </c>
      <c r="T3" s="10"/>
      <c r="U3" s="10"/>
      <c r="V3" s="12"/>
      <c r="W3" s="131" t="s">
        <v>7</v>
      </c>
      <c r="X3" s="10"/>
      <c r="Y3" s="10"/>
      <c r="Z3" s="12"/>
      <c r="AA3" s="131" t="s">
        <v>8</v>
      </c>
      <c r="AB3" s="10"/>
      <c r="AC3" s="10"/>
      <c r="AD3" s="12"/>
      <c r="AE3" s="131" t="s">
        <v>9</v>
      </c>
      <c r="AF3" s="10"/>
      <c r="AG3" s="10"/>
      <c r="AH3" s="12"/>
      <c r="AI3" s="131" t="s">
        <v>10</v>
      </c>
      <c r="AJ3" s="10"/>
      <c r="AK3" s="10"/>
      <c r="AL3" s="12"/>
      <c r="AM3" s="131" t="s">
        <v>11</v>
      </c>
      <c r="AN3" s="10"/>
      <c r="AO3" s="10"/>
      <c r="AP3" s="12"/>
      <c r="AQ3" s="131" t="s">
        <v>12</v>
      </c>
      <c r="AR3" s="10"/>
      <c r="AS3" s="10"/>
      <c r="AT3" s="12"/>
      <c r="AU3" s="131" t="s">
        <v>13</v>
      </c>
      <c r="AV3" s="10"/>
      <c r="AW3" s="10"/>
      <c r="AX3" s="12"/>
      <c r="AY3" s="131" t="s">
        <v>14</v>
      </c>
      <c r="AZ3" s="10"/>
      <c r="BA3" s="10"/>
      <c r="BB3" s="12"/>
      <c r="BC3" s="131" t="s">
        <v>161</v>
      </c>
      <c r="BD3" s="10"/>
      <c r="BE3" s="10"/>
      <c r="BF3" s="12"/>
      <c r="BG3" s="131" t="s">
        <v>47</v>
      </c>
      <c r="BH3" s="10"/>
      <c r="BI3" s="10"/>
      <c r="BJ3" s="12"/>
    </row>
    <row r="4" ht="15.75" customHeight="1">
      <c r="A4" s="256"/>
      <c r="B4" s="13"/>
      <c r="C4" s="257" t="s">
        <v>20</v>
      </c>
      <c r="D4" s="257" t="s">
        <v>18</v>
      </c>
      <c r="E4" s="257" t="s">
        <v>19</v>
      </c>
      <c r="F4" s="257" t="s">
        <v>18</v>
      </c>
      <c r="G4" s="257" t="s">
        <v>20</v>
      </c>
      <c r="H4" s="257" t="s">
        <v>18</v>
      </c>
      <c r="I4" s="257" t="s">
        <v>19</v>
      </c>
      <c r="J4" s="257" t="s">
        <v>18</v>
      </c>
      <c r="K4" s="257" t="s">
        <v>20</v>
      </c>
      <c r="L4" s="257" t="s">
        <v>18</v>
      </c>
      <c r="M4" s="257" t="s">
        <v>19</v>
      </c>
      <c r="N4" s="257" t="s">
        <v>18</v>
      </c>
      <c r="O4" s="257" t="s">
        <v>20</v>
      </c>
      <c r="P4" s="257" t="s">
        <v>18</v>
      </c>
      <c r="Q4" s="257" t="s">
        <v>19</v>
      </c>
      <c r="R4" s="257" t="s">
        <v>18</v>
      </c>
      <c r="S4" s="257" t="s">
        <v>20</v>
      </c>
      <c r="T4" s="257" t="s">
        <v>18</v>
      </c>
      <c r="U4" s="257" t="s">
        <v>19</v>
      </c>
      <c r="V4" s="257" t="s">
        <v>18</v>
      </c>
      <c r="W4" s="257" t="s">
        <v>20</v>
      </c>
      <c r="X4" s="257" t="s">
        <v>18</v>
      </c>
      <c r="Y4" s="257" t="s">
        <v>19</v>
      </c>
      <c r="Z4" s="257" t="s">
        <v>18</v>
      </c>
      <c r="AA4" s="257" t="s">
        <v>20</v>
      </c>
      <c r="AB4" s="257" t="s">
        <v>18</v>
      </c>
      <c r="AC4" s="257" t="s">
        <v>19</v>
      </c>
      <c r="AD4" s="257" t="s">
        <v>18</v>
      </c>
      <c r="AE4" s="257" t="s">
        <v>20</v>
      </c>
      <c r="AF4" s="257" t="s">
        <v>18</v>
      </c>
      <c r="AG4" s="257" t="s">
        <v>19</v>
      </c>
      <c r="AH4" s="257" t="s">
        <v>18</v>
      </c>
      <c r="AI4" s="257" t="s">
        <v>20</v>
      </c>
      <c r="AJ4" s="257" t="s">
        <v>18</v>
      </c>
      <c r="AK4" s="257" t="s">
        <v>19</v>
      </c>
      <c r="AL4" s="257" t="s">
        <v>18</v>
      </c>
      <c r="AM4" s="257" t="s">
        <v>20</v>
      </c>
      <c r="AN4" s="257" t="s">
        <v>18</v>
      </c>
      <c r="AO4" s="257" t="s">
        <v>19</v>
      </c>
      <c r="AP4" s="257" t="s">
        <v>18</v>
      </c>
      <c r="AQ4" s="257" t="s">
        <v>20</v>
      </c>
      <c r="AR4" s="257" t="s">
        <v>18</v>
      </c>
      <c r="AS4" s="257" t="s">
        <v>19</v>
      </c>
      <c r="AT4" s="257" t="s">
        <v>18</v>
      </c>
      <c r="AU4" s="257" t="s">
        <v>17</v>
      </c>
      <c r="AV4" s="257" t="s">
        <v>18</v>
      </c>
      <c r="AW4" s="257" t="s">
        <v>19</v>
      </c>
      <c r="AX4" s="257" t="s">
        <v>18</v>
      </c>
      <c r="AY4" s="257" t="s">
        <v>17</v>
      </c>
      <c r="AZ4" s="257" t="s">
        <v>18</v>
      </c>
      <c r="BA4" s="257" t="s">
        <v>19</v>
      </c>
      <c r="BB4" s="257" t="s">
        <v>18</v>
      </c>
      <c r="BC4" s="257" t="s">
        <v>17</v>
      </c>
      <c r="BD4" s="257" t="s">
        <v>18</v>
      </c>
      <c r="BE4" s="257" t="s">
        <v>19</v>
      </c>
      <c r="BF4" s="257" t="s">
        <v>18</v>
      </c>
      <c r="BG4" s="257" t="s">
        <v>17</v>
      </c>
      <c r="BH4" s="257" t="s">
        <v>18</v>
      </c>
      <c r="BI4" s="257" t="s">
        <v>19</v>
      </c>
      <c r="BJ4" s="257" t="s">
        <v>18</v>
      </c>
    </row>
    <row r="5" ht="15.75" customHeight="1">
      <c r="B5" s="258" t="s">
        <v>21</v>
      </c>
      <c r="C5" s="259">
        <f t="shared" ref="C5:C9" si="1">G5+K5</f>
        <v>0</v>
      </c>
      <c r="D5" s="260" t="str">
        <f t="shared" ref="D5:D10" si="2">C5/C$10</f>
        <v>#DIV/0!</v>
      </c>
      <c r="E5" s="261">
        <f t="shared" ref="E5:E9" si="3">I5+M5</f>
        <v>0</v>
      </c>
      <c r="F5" s="262" t="str">
        <f t="shared" ref="F5:F10" si="4">E5/E$10</f>
        <v>#DIV/0!</v>
      </c>
      <c r="G5" s="263">
        <f>HO!P14</f>
        <v>0</v>
      </c>
      <c r="H5" s="264"/>
      <c r="I5" s="265" t="str">
        <f>HO!R14</f>
        <v/>
      </c>
      <c r="J5" s="266"/>
      <c r="K5" s="267">
        <f t="shared" ref="K5:K9" si="5">O5+S5+W5+AA5+AE5+AI5+AM5+AQ5+AU5+AY5+BC5+BG5</f>
        <v>0</v>
      </c>
      <c r="L5" s="260" t="str">
        <f t="shared" ref="L5:L10" si="6">K5/K$10</f>
        <v>#DIV/0!</v>
      </c>
      <c r="M5" s="261">
        <f t="shared" ref="M5:M9" si="7">Q5+U5+Y5+AC5+AG5+AK5+AO5+AS5+AW5+BA5+BE5+BI5</f>
        <v>0</v>
      </c>
      <c r="N5" s="262" t="str">
        <f t="shared" ref="N5:N10" si="8">M5/M$10</f>
        <v>#DIV/0!</v>
      </c>
      <c r="O5" s="268" t="str">
        <f>'The Table'!P24</f>
        <v/>
      </c>
      <c r="P5" s="269" t="str">
        <f t="shared" ref="P5:P8" si="9">O5/O$10</f>
        <v>#DIV/0!</v>
      </c>
      <c r="Q5" s="270" t="str">
        <f>'The Table'!R24</f>
        <v/>
      </c>
      <c r="R5" s="271" t="str">
        <f t="shared" ref="R5:R8" si="10">Q5/Q$10</f>
        <v>#DIV/0!</v>
      </c>
      <c r="S5" s="268" t="str">
        <f>Iktara!P24</f>
        <v/>
      </c>
      <c r="T5" s="269" t="str">
        <f t="shared" ref="T5:T8" si="11">S5/S$10</f>
        <v>#DIV/0!</v>
      </c>
      <c r="U5" s="270" t="str">
        <f>Iktara!R24</f>
        <v/>
      </c>
      <c r="V5" s="271" t="str">
        <f t="shared" ref="V5:V8" si="12">U5/U$10</f>
        <v>#DIV/0!</v>
      </c>
      <c r="W5" s="268" t="str">
        <f>'Mg St Colaba'!P24</f>
        <v/>
      </c>
      <c r="X5" s="269" t="str">
        <f t="shared" ref="X5:X8" si="13">W5/W$10</f>
        <v>#DIV/0!</v>
      </c>
      <c r="Y5" s="270" t="str">
        <f>'Mg St Colaba'!R24</f>
        <v/>
      </c>
      <c r="Z5" s="271" t="str">
        <f t="shared" ref="Z5:Z8" si="14">Y5/Y$10</f>
        <v>#DIV/0!</v>
      </c>
      <c r="AA5" s="268" t="str">
        <f>'Mg St LP'!P24</f>
        <v/>
      </c>
      <c r="AB5" s="269" t="str">
        <f t="shared" ref="AB5:AB8" si="15">AA5/AA$10</f>
        <v>#DIV/0!</v>
      </c>
      <c r="AC5" s="270" t="str">
        <f>'Mg St LP'!R24</f>
        <v/>
      </c>
      <c r="AD5" s="271" t="str">
        <f t="shared" ref="AD5:AD8" si="16">AC5/AC$10</f>
        <v>#DIV/0!</v>
      </c>
      <c r="AE5" s="268" t="str">
        <f>'Mg St Bandra'!P24</f>
        <v/>
      </c>
      <c r="AF5" s="269" t="str">
        <f t="shared" ref="AF5:AF8" si="17">AE5/AE$10</f>
        <v>#DIV/0!</v>
      </c>
      <c r="AG5" s="270" t="str">
        <f>'Mg St Bandra'!R24</f>
        <v/>
      </c>
      <c r="AH5" s="272" t="str">
        <f t="shared" ref="AH5:AH8" si="18">AG5/AG$10</f>
        <v>#DIV/0!</v>
      </c>
      <c r="AI5" s="273" t="str">
        <f>'MSK Events'!P24</f>
        <v/>
      </c>
      <c r="AJ5" s="269" t="str">
        <f t="shared" ref="AJ5:AJ8" si="19">AI5/AI$10</f>
        <v>#DIV/0!</v>
      </c>
      <c r="AK5" s="270" t="str">
        <f>'MSK Events'!R24</f>
        <v/>
      </c>
      <c r="AL5" s="266"/>
      <c r="AM5" s="268" t="str">
        <f>MSBC!P24</f>
        <v/>
      </c>
      <c r="AN5" s="269" t="str">
        <f t="shared" ref="AN5:AN8" si="20">AM5/AM$10</f>
        <v>#DIV/0!</v>
      </c>
      <c r="AO5" s="270">
        <f>MSBC!R24</f>
        <v>0</v>
      </c>
      <c r="AP5" s="271" t="str">
        <f t="shared" ref="AP5:AP8" si="21">AO5/AO$10</f>
        <v>#DIV/0!</v>
      </c>
      <c r="AQ5" s="268" t="str">
        <f>Kaspers!P24</f>
        <v/>
      </c>
      <c r="AR5" s="269"/>
      <c r="AS5" s="270" t="str">
        <f>Kaspers!R24</f>
        <v/>
      </c>
      <c r="AT5" s="266"/>
      <c r="AU5" s="268">
        <f>'MSBC Andheri'!P24</f>
        <v>0</v>
      </c>
      <c r="AV5" s="264"/>
      <c r="AW5" s="270" t="str">
        <f>'MSBC Andheri'!R24</f>
        <v/>
      </c>
      <c r="AX5" s="266"/>
      <c r="AY5" s="268" t="str">
        <f>'MSBC Dahisar'!P22</f>
        <v/>
      </c>
      <c r="AZ5" s="264"/>
      <c r="BA5" s="270" t="str">
        <f>'MSBC Dahisar'!R22</f>
        <v/>
      </c>
      <c r="BB5" s="266"/>
      <c r="BC5" s="268" t="str">
        <f>'MSBC Juhu  Goregoan'!P22</f>
        <v/>
      </c>
      <c r="BD5" s="264"/>
      <c r="BE5" s="270">
        <f>'MSBC Juhu  Goregoan'!R22</f>
        <v>0</v>
      </c>
      <c r="BF5" s="266"/>
      <c r="BG5" s="268" t="str">
        <f>'LOUD MOUTH'!P24</f>
        <v/>
      </c>
      <c r="BH5" s="264"/>
      <c r="BI5" s="270" t="str">
        <f>'LOUD MOUTH'!R24</f>
        <v/>
      </c>
      <c r="BJ5" s="266"/>
    </row>
    <row r="6" ht="15.75" customHeight="1">
      <c r="B6" s="274" t="s">
        <v>22</v>
      </c>
      <c r="C6" s="275">
        <f t="shared" si="1"/>
        <v>0</v>
      </c>
      <c r="D6" s="276" t="str">
        <f t="shared" si="2"/>
        <v>#DIV/0!</v>
      </c>
      <c r="E6" s="277">
        <f t="shared" si="3"/>
        <v>0</v>
      </c>
      <c r="F6" s="278" t="str">
        <f t="shared" si="4"/>
        <v>#DIV/0!</v>
      </c>
      <c r="G6" s="279">
        <f>HO!P15</f>
        <v>0</v>
      </c>
      <c r="H6" s="229"/>
      <c r="I6" s="280" t="str">
        <f>HO!R15</f>
        <v/>
      </c>
      <c r="J6" s="281"/>
      <c r="K6" s="282">
        <f t="shared" si="5"/>
        <v>0</v>
      </c>
      <c r="L6" s="276" t="str">
        <f t="shared" si="6"/>
        <v>#DIV/0!</v>
      </c>
      <c r="M6" s="277">
        <f t="shared" si="7"/>
        <v>0</v>
      </c>
      <c r="N6" s="278" t="str">
        <f t="shared" si="8"/>
        <v>#DIV/0!</v>
      </c>
      <c r="O6" s="283" t="str">
        <f>'The Table'!P25</f>
        <v/>
      </c>
      <c r="P6" s="284" t="str">
        <f t="shared" si="9"/>
        <v>#DIV/0!</v>
      </c>
      <c r="Q6" s="232" t="str">
        <f>'The Table'!R25</f>
        <v/>
      </c>
      <c r="R6" s="285" t="str">
        <f t="shared" si="10"/>
        <v>#DIV/0!</v>
      </c>
      <c r="S6" s="283" t="str">
        <f>Iktara!P25</f>
        <v/>
      </c>
      <c r="T6" s="284" t="str">
        <f t="shared" si="11"/>
        <v>#DIV/0!</v>
      </c>
      <c r="U6" s="232" t="str">
        <f>Iktara!R25</f>
        <v/>
      </c>
      <c r="V6" s="285" t="str">
        <f t="shared" si="12"/>
        <v>#DIV/0!</v>
      </c>
      <c r="W6" s="283" t="str">
        <f>'Mg St Colaba'!P25</f>
        <v/>
      </c>
      <c r="X6" s="284" t="str">
        <f t="shared" si="13"/>
        <v>#DIV/0!</v>
      </c>
      <c r="Y6" s="232" t="str">
        <f>'Mg St Colaba'!R25</f>
        <v/>
      </c>
      <c r="Z6" s="285" t="str">
        <f t="shared" si="14"/>
        <v>#DIV/0!</v>
      </c>
      <c r="AA6" s="283" t="str">
        <f>'Mg St LP'!P25</f>
        <v/>
      </c>
      <c r="AB6" s="284" t="str">
        <f t="shared" si="15"/>
        <v>#DIV/0!</v>
      </c>
      <c r="AC6" s="232" t="str">
        <f>'Mg St LP'!R25</f>
        <v/>
      </c>
      <c r="AD6" s="285" t="str">
        <f t="shared" si="16"/>
        <v>#DIV/0!</v>
      </c>
      <c r="AE6" s="283" t="str">
        <f>'Mg St Bandra'!P25</f>
        <v/>
      </c>
      <c r="AF6" s="284" t="str">
        <f t="shared" si="17"/>
        <v>#DIV/0!</v>
      </c>
      <c r="AG6" s="232" t="str">
        <f>'Mg St Bandra'!R25</f>
        <v/>
      </c>
      <c r="AH6" s="286" t="str">
        <f t="shared" si="18"/>
        <v>#DIV/0!</v>
      </c>
      <c r="AI6" s="287" t="str">
        <f>'MSK Events'!P25</f>
        <v/>
      </c>
      <c r="AJ6" s="284" t="str">
        <f t="shared" si="19"/>
        <v>#DIV/0!</v>
      </c>
      <c r="AK6" s="232" t="str">
        <f>'MSK Events'!R25</f>
        <v/>
      </c>
      <c r="AL6" s="281"/>
      <c r="AM6" s="283" t="str">
        <f>MSBC!P25</f>
        <v/>
      </c>
      <c r="AN6" s="284" t="str">
        <f t="shared" si="20"/>
        <v>#DIV/0!</v>
      </c>
      <c r="AO6" s="232">
        <f>MSBC!R25</f>
        <v>0</v>
      </c>
      <c r="AP6" s="285" t="str">
        <f t="shared" si="21"/>
        <v>#DIV/0!</v>
      </c>
      <c r="AQ6" s="283" t="str">
        <f>Kaspers!P25</f>
        <v/>
      </c>
      <c r="AR6" s="284"/>
      <c r="AS6" s="232" t="str">
        <f>Kaspers!R25</f>
        <v/>
      </c>
      <c r="AT6" s="281"/>
      <c r="AU6" s="283">
        <f>'MSBC Andheri'!P25</f>
        <v>0</v>
      </c>
      <c r="AV6" s="229"/>
      <c r="AW6" s="232" t="str">
        <f>'MSBC Andheri'!R25</f>
        <v/>
      </c>
      <c r="AX6" s="281"/>
      <c r="AY6" s="283" t="str">
        <f>'MSBC Dahisar'!P23</f>
        <v/>
      </c>
      <c r="AZ6" s="229"/>
      <c r="BA6" s="232" t="str">
        <f>'MSBC Dahisar'!R23</f>
        <v/>
      </c>
      <c r="BB6" s="281"/>
      <c r="BC6" s="283" t="str">
        <f>'MSBC Juhu  Goregoan'!P23</f>
        <v/>
      </c>
      <c r="BD6" s="229"/>
      <c r="BE6" s="232">
        <f>'MSBC Juhu  Goregoan'!R23</f>
        <v>0</v>
      </c>
      <c r="BF6" s="281"/>
      <c r="BG6" s="283" t="str">
        <f>'LOUD MOUTH'!P25</f>
        <v/>
      </c>
      <c r="BH6" s="229"/>
      <c r="BI6" s="232" t="str">
        <f>'LOUD MOUTH'!R25</f>
        <v/>
      </c>
      <c r="BJ6" s="281"/>
    </row>
    <row r="7" ht="15.75" customHeight="1">
      <c r="B7" s="274" t="s">
        <v>23</v>
      </c>
      <c r="C7" s="275">
        <f t="shared" si="1"/>
        <v>0</v>
      </c>
      <c r="D7" s="276" t="str">
        <f t="shared" si="2"/>
        <v>#DIV/0!</v>
      </c>
      <c r="E7" s="277">
        <f t="shared" si="3"/>
        <v>0</v>
      </c>
      <c r="F7" s="278" t="str">
        <f t="shared" si="4"/>
        <v>#DIV/0!</v>
      </c>
      <c r="G7" s="279">
        <f>HO!P16</f>
        <v>0</v>
      </c>
      <c r="H7" s="229"/>
      <c r="I7" s="280" t="str">
        <f>HO!R16</f>
        <v/>
      </c>
      <c r="J7" s="281"/>
      <c r="K7" s="282">
        <f t="shared" si="5"/>
        <v>0</v>
      </c>
      <c r="L7" s="276" t="str">
        <f t="shared" si="6"/>
        <v>#DIV/0!</v>
      </c>
      <c r="M7" s="277">
        <f t="shared" si="7"/>
        <v>0</v>
      </c>
      <c r="N7" s="278" t="str">
        <f t="shared" si="8"/>
        <v>#DIV/0!</v>
      </c>
      <c r="O7" s="283" t="str">
        <f>'The Table'!P26</f>
        <v/>
      </c>
      <c r="P7" s="284" t="str">
        <f t="shared" si="9"/>
        <v>#DIV/0!</v>
      </c>
      <c r="Q7" s="232" t="str">
        <f>'The Table'!R26</f>
        <v/>
      </c>
      <c r="R7" s="285" t="str">
        <f t="shared" si="10"/>
        <v>#DIV/0!</v>
      </c>
      <c r="S7" s="283" t="str">
        <f>Iktara!P26</f>
        <v/>
      </c>
      <c r="T7" s="284" t="str">
        <f t="shared" si="11"/>
        <v>#DIV/0!</v>
      </c>
      <c r="U7" s="232" t="str">
        <f>Iktara!R26</f>
        <v/>
      </c>
      <c r="V7" s="285" t="str">
        <f t="shared" si="12"/>
        <v>#DIV/0!</v>
      </c>
      <c r="W7" s="283" t="str">
        <f>'Mg St Colaba'!P26</f>
        <v/>
      </c>
      <c r="X7" s="284" t="str">
        <f t="shared" si="13"/>
        <v>#DIV/0!</v>
      </c>
      <c r="Y7" s="232" t="str">
        <f>'Mg St Colaba'!R26</f>
        <v/>
      </c>
      <c r="Z7" s="285" t="str">
        <f t="shared" si="14"/>
        <v>#DIV/0!</v>
      </c>
      <c r="AA7" s="283" t="str">
        <f>'Mg St LP'!P26</f>
        <v/>
      </c>
      <c r="AB7" s="284" t="str">
        <f t="shared" si="15"/>
        <v>#DIV/0!</v>
      </c>
      <c r="AC7" s="232" t="str">
        <f>'Mg St LP'!R26</f>
        <v/>
      </c>
      <c r="AD7" s="285" t="str">
        <f t="shared" si="16"/>
        <v>#DIV/0!</v>
      </c>
      <c r="AE7" s="283" t="str">
        <f>'Mg St Bandra'!P26</f>
        <v/>
      </c>
      <c r="AF7" s="284" t="str">
        <f t="shared" si="17"/>
        <v>#DIV/0!</v>
      </c>
      <c r="AG7" s="232" t="str">
        <f>'Mg St Bandra'!R26</f>
        <v/>
      </c>
      <c r="AH7" s="286" t="str">
        <f t="shared" si="18"/>
        <v>#DIV/0!</v>
      </c>
      <c r="AI7" s="287" t="str">
        <f>'MSK Events'!P26</f>
        <v/>
      </c>
      <c r="AJ7" s="284" t="str">
        <f t="shared" si="19"/>
        <v>#DIV/0!</v>
      </c>
      <c r="AK7" s="232" t="str">
        <f>'MSK Events'!R26</f>
        <v/>
      </c>
      <c r="AL7" s="281"/>
      <c r="AM7" s="283" t="str">
        <f>MSBC!P26</f>
        <v/>
      </c>
      <c r="AN7" s="284" t="str">
        <f t="shared" si="20"/>
        <v>#DIV/0!</v>
      </c>
      <c r="AO7" s="232">
        <f>MSBC!R26</f>
        <v>0</v>
      </c>
      <c r="AP7" s="285" t="str">
        <f t="shared" si="21"/>
        <v>#DIV/0!</v>
      </c>
      <c r="AQ7" s="283" t="str">
        <f>Kaspers!P26</f>
        <v/>
      </c>
      <c r="AR7" s="284"/>
      <c r="AS7" s="232">
        <f>Kaspers!R26</f>
        <v>0</v>
      </c>
      <c r="AT7" s="281"/>
      <c r="AU7" s="283">
        <f>'MSBC Andheri'!P26</f>
        <v>0</v>
      </c>
      <c r="AV7" s="229"/>
      <c r="AW7" s="232" t="str">
        <f>'MSBC Andheri'!R26</f>
        <v/>
      </c>
      <c r="AX7" s="281"/>
      <c r="AY7" s="283" t="str">
        <f>'MSBC Dahisar'!P24</f>
        <v/>
      </c>
      <c r="AZ7" s="229"/>
      <c r="BA7" s="232" t="str">
        <f>'MSBC Dahisar'!R24</f>
        <v/>
      </c>
      <c r="BB7" s="281"/>
      <c r="BC7" s="283" t="str">
        <f>'MSBC Juhu  Goregoan'!P24</f>
        <v/>
      </c>
      <c r="BD7" s="229"/>
      <c r="BE7" s="232">
        <f>'MSBC Juhu  Goregoan'!R24</f>
        <v>0</v>
      </c>
      <c r="BF7" s="281"/>
      <c r="BG7" s="283">
        <f>'LOUD MOUTH'!P26</f>
        <v>0</v>
      </c>
      <c r="BH7" s="229"/>
      <c r="BI7" s="232" t="str">
        <f>'LOUD MOUTH'!R26</f>
        <v/>
      </c>
      <c r="BJ7" s="281"/>
    </row>
    <row r="8" ht="15.75" customHeight="1">
      <c r="B8" s="274" t="s">
        <v>24</v>
      </c>
      <c r="C8" s="275">
        <f t="shared" si="1"/>
        <v>0</v>
      </c>
      <c r="D8" s="276" t="str">
        <f t="shared" si="2"/>
        <v>#DIV/0!</v>
      </c>
      <c r="E8" s="277">
        <f t="shared" si="3"/>
        <v>0</v>
      </c>
      <c r="F8" s="278" t="str">
        <f t="shared" si="4"/>
        <v>#DIV/0!</v>
      </c>
      <c r="G8" s="279">
        <f>HO!P18</f>
        <v>0</v>
      </c>
      <c r="H8" s="229"/>
      <c r="I8" s="280" t="str">
        <f>HO!R18</f>
        <v/>
      </c>
      <c r="J8" s="281"/>
      <c r="K8" s="282">
        <f t="shared" si="5"/>
        <v>0</v>
      </c>
      <c r="L8" s="276" t="str">
        <f t="shared" si="6"/>
        <v>#DIV/0!</v>
      </c>
      <c r="M8" s="277">
        <f t="shared" si="7"/>
        <v>0</v>
      </c>
      <c r="N8" s="278" t="str">
        <f t="shared" si="8"/>
        <v>#DIV/0!</v>
      </c>
      <c r="O8" s="283" t="str">
        <f>'The Table'!P28</f>
        <v/>
      </c>
      <c r="P8" s="284" t="str">
        <f t="shared" si="9"/>
        <v>#DIV/0!</v>
      </c>
      <c r="Q8" s="232" t="str">
        <f>'The Table'!R28</f>
        <v/>
      </c>
      <c r="R8" s="285" t="str">
        <f t="shared" si="10"/>
        <v>#DIV/0!</v>
      </c>
      <c r="S8" s="279" t="str">
        <f>Iktara!P28</f>
        <v/>
      </c>
      <c r="T8" s="284" t="str">
        <f t="shared" si="11"/>
        <v>#DIV/0!</v>
      </c>
      <c r="U8" s="280">
        <f>Iktara!R28</f>
        <v>0</v>
      </c>
      <c r="V8" s="285" t="str">
        <f t="shared" si="12"/>
        <v>#DIV/0!</v>
      </c>
      <c r="W8" s="283" t="str">
        <f>'Mg St Colaba'!P27</f>
        <v/>
      </c>
      <c r="X8" s="284" t="str">
        <f t="shared" si="13"/>
        <v>#DIV/0!</v>
      </c>
      <c r="Y8" s="232" t="str">
        <f>'Mg St Colaba'!R27</f>
        <v/>
      </c>
      <c r="Z8" s="285" t="str">
        <f t="shared" si="14"/>
        <v>#DIV/0!</v>
      </c>
      <c r="AA8" s="283" t="str">
        <f>'Mg St LP'!P28</f>
        <v/>
      </c>
      <c r="AB8" s="284" t="str">
        <f t="shared" si="15"/>
        <v>#DIV/0!</v>
      </c>
      <c r="AC8" s="232" t="str">
        <f>'Mg St LP'!R28</f>
        <v/>
      </c>
      <c r="AD8" s="285" t="str">
        <f t="shared" si="16"/>
        <v>#DIV/0!</v>
      </c>
      <c r="AE8" s="283" t="str">
        <f>'Mg St Bandra'!P28</f>
        <v/>
      </c>
      <c r="AF8" s="284" t="str">
        <f t="shared" si="17"/>
        <v>#DIV/0!</v>
      </c>
      <c r="AG8" s="232">
        <f>'Mg St Bandra'!R28</f>
        <v>0</v>
      </c>
      <c r="AH8" s="286" t="str">
        <f t="shared" si="18"/>
        <v>#DIV/0!</v>
      </c>
      <c r="AI8" s="288" t="str">
        <f>'MSK Events'!P28</f>
        <v/>
      </c>
      <c r="AJ8" s="284" t="str">
        <f t="shared" si="19"/>
        <v>#DIV/0!</v>
      </c>
      <c r="AK8" s="280" t="str">
        <f>'MSK Events'!R28</f>
        <v/>
      </c>
      <c r="AL8" s="281"/>
      <c r="AM8" s="283" t="str">
        <f>MSBC!P28</f>
        <v/>
      </c>
      <c r="AN8" s="284" t="str">
        <f t="shared" si="20"/>
        <v>#DIV/0!</v>
      </c>
      <c r="AO8" s="232" t="str">
        <f>MSBC!R28</f>
        <v/>
      </c>
      <c r="AP8" s="285" t="str">
        <f t="shared" si="21"/>
        <v>#DIV/0!</v>
      </c>
      <c r="AQ8" s="283" t="str">
        <f>Kaspers!P28</f>
        <v/>
      </c>
      <c r="AR8" s="284"/>
      <c r="AS8" s="232" t="str">
        <f>Kaspers!R28</f>
        <v/>
      </c>
      <c r="AT8" s="281"/>
      <c r="AU8" s="283" t="str">
        <f>'MSBC Andheri'!P28</f>
        <v/>
      </c>
      <c r="AV8" s="229"/>
      <c r="AW8" s="232" t="str">
        <f>'MSBC Andheri'!R28</f>
        <v/>
      </c>
      <c r="AX8" s="281"/>
      <c r="AY8" s="283" t="str">
        <f>'MSBC Dahisar'!P25</f>
        <v/>
      </c>
      <c r="AZ8" s="229"/>
      <c r="BA8" s="232"/>
      <c r="BB8" s="281"/>
      <c r="BC8" s="283"/>
      <c r="BD8" s="229"/>
      <c r="BE8" s="232"/>
      <c r="BF8" s="281"/>
      <c r="BG8" s="283" t="str">
        <f>'LOUD MOUTH'!P28</f>
        <v/>
      </c>
      <c r="BH8" s="229"/>
      <c r="BI8" s="232" t="str">
        <f>'LOUD MOUTH'!R28</f>
        <v/>
      </c>
      <c r="BJ8" s="281"/>
    </row>
    <row r="9" ht="15.75" customHeight="1">
      <c r="B9" s="289" t="s">
        <v>162</v>
      </c>
      <c r="C9" s="290">
        <f t="shared" si="1"/>
        <v>0</v>
      </c>
      <c r="D9" s="291" t="str">
        <f t="shared" si="2"/>
        <v>#DIV/0!</v>
      </c>
      <c r="E9" s="292">
        <f t="shared" si="3"/>
        <v>0</v>
      </c>
      <c r="F9" s="293" t="str">
        <f t="shared" si="4"/>
        <v>#DIV/0!</v>
      </c>
      <c r="G9" s="294"/>
      <c r="H9" s="229"/>
      <c r="I9" s="229"/>
      <c r="J9" s="281"/>
      <c r="K9" s="282">
        <f t="shared" si="5"/>
        <v>0</v>
      </c>
      <c r="L9" s="291" t="str">
        <f t="shared" si="6"/>
        <v>#DIV/0!</v>
      </c>
      <c r="M9" s="277">
        <f t="shared" si="7"/>
        <v>0</v>
      </c>
      <c r="N9" s="293" t="str">
        <f t="shared" si="8"/>
        <v>#DIV/0!</v>
      </c>
      <c r="O9" s="283" t="str">
        <f>'The Table'!P22</f>
        <v/>
      </c>
      <c r="P9" s="295"/>
      <c r="Q9" s="232" t="str">
        <f>'The Table'!R22</f>
        <v/>
      </c>
      <c r="R9" s="296"/>
      <c r="S9" s="279" t="str">
        <f>Iktara!P22</f>
        <v/>
      </c>
      <c r="T9" s="295"/>
      <c r="U9" s="280" t="str">
        <f>Iktara!R22</f>
        <v/>
      </c>
      <c r="V9" s="296"/>
      <c r="W9" s="283" t="str">
        <f>'Mg St Colaba'!P22</f>
        <v/>
      </c>
      <c r="X9" s="295"/>
      <c r="Y9" s="232" t="str">
        <f>'Mg St Colaba'!R22</f>
        <v/>
      </c>
      <c r="Z9" s="296"/>
      <c r="AA9" s="297" t="str">
        <f>'Mg St LP'!P22</f>
        <v/>
      </c>
      <c r="AB9" s="295"/>
      <c r="AC9" s="295" t="str">
        <f>'Mg St LP'!R22</f>
        <v/>
      </c>
      <c r="AD9" s="296"/>
      <c r="AE9" s="297" t="str">
        <f>'Mg St Bandra'!P22</f>
        <v/>
      </c>
      <c r="AF9" s="295"/>
      <c r="AG9" s="295" t="str">
        <f>'Mg St Bandra'!R22</f>
        <v/>
      </c>
      <c r="AH9" s="298"/>
      <c r="AI9" s="288" t="str">
        <f>'MSK Events'!P22</f>
        <v/>
      </c>
      <c r="AJ9" s="295"/>
      <c r="AK9" s="280" t="str">
        <f>'MSK Events'!R22</f>
        <v/>
      </c>
      <c r="AL9" s="296"/>
      <c r="AM9" s="283" t="str">
        <f>MSBC!P22</f>
        <v/>
      </c>
      <c r="AN9" s="295"/>
      <c r="AO9" s="232" t="str">
        <f>MSBC!R22</f>
        <v/>
      </c>
      <c r="AP9" s="296"/>
      <c r="AQ9" s="297" t="str">
        <f>Kaspers!P22</f>
        <v/>
      </c>
      <c r="AR9" s="295"/>
      <c r="AS9" s="295" t="str">
        <f>Kaspers!R22</f>
        <v/>
      </c>
      <c r="AT9" s="296"/>
      <c r="AU9" s="283" t="str">
        <f>'MSBC Andheri'!P22</f>
        <v/>
      </c>
      <c r="AV9" s="295"/>
      <c r="AW9" s="232" t="str">
        <f>'MSBC Andheri'!R22</f>
        <v/>
      </c>
      <c r="AX9" s="296"/>
      <c r="AY9" s="283" t="str">
        <f>'MSBC Dahisar'!P20</f>
        <v/>
      </c>
      <c r="AZ9" s="295"/>
      <c r="BA9" s="232" t="str">
        <f>'MSBC Dahisar'!R20</f>
        <v/>
      </c>
      <c r="BB9" s="296"/>
      <c r="BC9" s="283" t="str">
        <f>'MSBC Juhu  Goregoan'!P20</f>
        <v/>
      </c>
      <c r="BD9" s="295"/>
      <c r="BE9" s="232" t="str">
        <f>'MSBC Juhu  Goregoan'!R20</f>
        <v/>
      </c>
      <c r="BF9" s="296"/>
      <c r="BG9" s="283" t="str">
        <f>'LOUD MOUTH'!P22</f>
        <v/>
      </c>
      <c r="BH9" s="295"/>
      <c r="BI9" s="232" t="str">
        <f>'LOUD MOUTH'!R22</f>
        <v/>
      </c>
      <c r="BJ9" s="296"/>
    </row>
    <row r="10" ht="15.75" customHeight="1">
      <c r="B10" s="299" t="s">
        <v>26</v>
      </c>
      <c r="C10" s="164">
        <f>SUM(C5:C9)</f>
        <v>0</v>
      </c>
      <c r="D10" s="300" t="str">
        <f t="shared" si="2"/>
        <v>#DIV/0!</v>
      </c>
      <c r="E10" s="161">
        <f>SUM(E5:E9)</f>
        <v>0</v>
      </c>
      <c r="F10" s="301" t="str">
        <f t="shared" si="4"/>
        <v>#DIV/0!</v>
      </c>
      <c r="G10" s="302">
        <f>SUM(G5:G9)</f>
        <v>0</v>
      </c>
      <c r="H10" s="303"/>
      <c r="I10" s="161">
        <f>SUM(I5:I9)</f>
        <v>0</v>
      </c>
      <c r="J10" s="304"/>
      <c r="K10" s="302">
        <f>SUM(K5:K9)</f>
        <v>0</v>
      </c>
      <c r="L10" s="300" t="str">
        <f t="shared" si="6"/>
        <v>#DIV/0!</v>
      </c>
      <c r="M10" s="161">
        <f>SUM(M5:M9)</f>
        <v>0</v>
      </c>
      <c r="N10" s="301" t="str">
        <f t="shared" si="8"/>
        <v>#DIV/0!</v>
      </c>
      <c r="O10" s="302">
        <f>SUM(O5:O9)</f>
        <v>0</v>
      </c>
      <c r="P10" s="303"/>
      <c r="Q10" s="161">
        <f>SUM(Q5:Q9)</f>
        <v>0</v>
      </c>
      <c r="R10" s="304"/>
      <c r="S10" s="302">
        <f>SUM(S5:S9)</f>
        <v>0</v>
      </c>
      <c r="T10" s="303"/>
      <c r="U10" s="161">
        <f>SUM(U5:U9)</f>
        <v>0</v>
      </c>
      <c r="V10" s="304"/>
      <c r="W10" s="302">
        <f>SUM(W5:W9)</f>
        <v>0</v>
      </c>
      <c r="X10" s="303"/>
      <c r="Y10" s="161">
        <f>SUM(Y5:Y9)</f>
        <v>0</v>
      </c>
      <c r="Z10" s="304"/>
      <c r="AA10" s="302">
        <f>SUM(AA5:AA9)</f>
        <v>0</v>
      </c>
      <c r="AB10" s="303"/>
      <c r="AC10" s="161">
        <f>SUM(AC5:AC9)</f>
        <v>0</v>
      </c>
      <c r="AD10" s="304"/>
      <c r="AE10" s="302">
        <f>SUM(AE5:AE9)</f>
        <v>0</v>
      </c>
      <c r="AF10" s="303"/>
      <c r="AG10" s="161">
        <f>SUM(AG5:AG9)</f>
        <v>0</v>
      </c>
      <c r="AH10" s="305"/>
      <c r="AI10" s="164">
        <f>SUM(AI5:AI9)</f>
        <v>0</v>
      </c>
      <c r="AJ10" s="303"/>
      <c r="AK10" s="161">
        <f>SUM(AK5:AK9)</f>
        <v>0</v>
      </c>
      <c r="AL10" s="304"/>
      <c r="AM10" s="302">
        <f>SUM(AM5:AM9)</f>
        <v>0</v>
      </c>
      <c r="AN10" s="303"/>
      <c r="AO10" s="161">
        <f>SUM(AO5:AO9)</f>
        <v>0</v>
      </c>
      <c r="AP10" s="304"/>
      <c r="AQ10" s="302">
        <f>SUM(AQ5:AQ9)</f>
        <v>0</v>
      </c>
      <c r="AR10" s="303"/>
      <c r="AS10" s="161">
        <f>SUM(AS5:AS9)</f>
        <v>0</v>
      </c>
      <c r="AT10" s="304"/>
      <c r="AU10" s="302">
        <f>SUM(AU5:AU9)</f>
        <v>0</v>
      </c>
      <c r="AV10" s="303"/>
      <c r="AW10" s="161">
        <f>SUM(AW5:AW9)</f>
        <v>0</v>
      </c>
      <c r="AX10" s="304"/>
      <c r="AY10" s="302">
        <f>SUM(AY5:AY9)</f>
        <v>0</v>
      </c>
      <c r="AZ10" s="303"/>
      <c r="BA10" s="161">
        <f>SUM(BA5:BA9)</f>
        <v>0</v>
      </c>
      <c r="BB10" s="304"/>
      <c r="BC10" s="302">
        <f>SUM(BC5:BC9)</f>
        <v>0</v>
      </c>
      <c r="BD10" s="303"/>
      <c r="BE10" s="161">
        <f>SUM(BE5:BE9)</f>
        <v>0</v>
      </c>
      <c r="BF10" s="304"/>
      <c r="BG10" s="302">
        <f>SUM(BG5:BG9)</f>
        <v>0</v>
      </c>
      <c r="BH10" s="303"/>
      <c r="BI10" s="161">
        <f>SUM(BI5:BI9)</f>
        <v>0</v>
      </c>
      <c r="BJ10" s="304"/>
    </row>
    <row r="11" ht="15.75" customHeight="1">
      <c r="B11" s="306"/>
      <c r="C11" s="307"/>
      <c r="D11" s="308"/>
      <c r="E11" s="308"/>
      <c r="F11" s="309"/>
      <c r="G11" s="310"/>
      <c r="H11" s="311"/>
      <c r="I11" s="312"/>
      <c r="J11" s="313"/>
      <c r="K11" s="314"/>
      <c r="L11" s="308"/>
      <c r="M11" s="315"/>
      <c r="N11" s="309"/>
      <c r="O11" s="310"/>
      <c r="P11" s="311"/>
      <c r="Q11" s="311"/>
      <c r="R11" s="313"/>
      <c r="S11" s="310"/>
      <c r="T11" s="311"/>
      <c r="U11" s="311"/>
      <c r="V11" s="313"/>
      <c r="W11" s="310"/>
      <c r="X11" s="311"/>
      <c r="Y11" s="311"/>
      <c r="Z11" s="313"/>
      <c r="AA11" s="310"/>
      <c r="AB11" s="311"/>
      <c r="AC11" s="311"/>
      <c r="AD11" s="313"/>
      <c r="AE11" s="310"/>
      <c r="AF11" s="311"/>
      <c r="AG11" s="311"/>
      <c r="AH11" s="316"/>
      <c r="AI11" s="317"/>
      <c r="AJ11" s="311"/>
      <c r="AK11" s="311"/>
      <c r="AL11" s="313"/>
      <c r="AM11" s="310"/>
      <c r="AN11" s="311"/>
      <c r="AO11" s="311"/>
      <c r="AP11" s="313"/>
      <c r="AQ11" s="310"/>
      <c r="AR11" s="311"/>
      <c r="AS11" s="311"/>
      <c r="AT11" s="313"/>
      <c r="AU11" s="310"/>
      <c r="AV11" s="311"/>
      <c r="AW11" s="311"/>
      <c r="AX11" s="313"/>
      <c r="AY11" s="310"/>
      <c r="AZ11" s="311"/>
      <c r="BA11" s="311"/>
      <c r="BB11" s="313"/>
      <c r="BC11" s="310"/>
      <c r="BD11" s="311"/>
      <c r="BE11" s="311"/>
      <c r="BF11" s="313"/>
      <c r="BG11" s="310"/>
      <c r="BH11" s="311"/>
      <c r="BI11" s="311"/>
      <c r="BJ11" s="313"/>
    </row>
    <row r="12" ht="15.75" customHeight="1">
      <c r="B12" s="299" t="s">
        <v>28</v>
      </c>
      <c r="C12" s="318">
        <f t="shared" ref="C12:C14" si="22">G12+K12</f>
        <v>0</v>
      </c>
      <c r="D12" s="300" t="str">
        <f t="shared" ref="D12:D14" si="23">C12/C$10</f>
        <v>#DIV/0!</v>
      </c>
      <c r="E12" s="319">
        <f t="shared" ref="E12:E13" si="24">I12+M12</f>
        <v>0</v>
      </c>
      <c r="F12" s="301" t="str">
        <f t="shared" ref="F12:F13" si="25">E12/E$10</f>
        <v>#DIV/0!</v>
      </c>
      <c r="G12" s="320">
        <f>HO!P32</f>
        <v>0</v>
      </c>
      <c r="H12" s="321"/>
      <c r="I12" s="322" t="str">
        <f>HO!R32</f>
        <v/>
      </c>
      <c r="J12" s="323"/>
      <c r="K12" s="324">
        <f t="shared" ref="K12:K14" si="26">O12+S12+W12+AA12+AE12+AI12+AM12+AQ12+AU12+AY12+BC12+BG12</f>
        <v>0</v>
      </c>
      <c r="L12" s="300" t="str">
        <f t="shared" ref="L12:L13" si="27">K12/K$10</f>
        <v>#DIV/0!</v>
      </c>
      <c r="M12" s="319">
        <f t="shared" ref="M12:M14" si="28">Q12+U12+Y12+AC12+AG12+AK12+AO12+AS12+AW12+BA12+BE12+BI12</f>
        <v>0</v>
      </c>
      <c r="N12" s="301" t="str">
        <f t="shared" ref="N12:N13" si="29">M12/M$10</f>
        <v>#DIV/0!</v>
      </c>
      <c r="O12" s="325">
        <f>'The Table'!P39</f>
        <v>0</v>
      </c>
      <c r="P12" s="326" t="str">
        <f t="shared" ref="P12:P13" si="30">O12/O$10</f>
        <v>#DIV/0!</v>
      </c>
      <c r="Q12" s="327">
        <f>'The Table'!R39</f>
        <v>0</v>
      </c>
      <c r="R12" s="328" t="str">
        <f t="shared" ref="R12:R13" si="31">Q12/Q$10</f>
        <v>#DIV/0!</v>
      </c>
      <c r="S12" s="325">
        <f>Iktara!P40</f>
        <v>0</v>
      </c>
      <c r="T12" s="326" t="str">
        <f t="shared" ref="T12:T13" si="32">S12/S$10</f>
        <v>#DIV/0!</v>
      </c>
      <c r="U12" s="327">
        <f>Iktara!R40</f>
        <v>0</v>
      </c>
      <c r="V12" s="328" t="str">
        <f t="shared" ref="V12:V13" si="33">U12/U$10</f>
        <v>#DIV/0!</v>
      </c>
      <c r="W12" s="325">
        <f>'Mg St Colaba'!P47</f>
        <v>0</v>
      </c>
      <c r="X12" s="326" t="str">
        <f t="shared" ref="X12:X13" si="34">W12/W$10</f>
        <v>#DIV/0!</v>
      </c>
      <c r="Y12" s="327" t="str">
        <f>'Mg St Colaba'!R47</f>
        <v/>
      </c>
      <c r="Z12" s="328" t="str">
        <f t="shared" ref="Z12:Z13" si="35">Y12/Y$10</f>
        <v>#DIV/0!</v>
      </c>
      <c r="AA12" s="325">
        <f>'Mg St LP'!P49</f>
        <v>0</v>
      </c>
      <c r="AB12" s="326" t="str">
        <f t="shared" ref="AB12:AB13" si="36">AA12/AA$10</f>
        <v>#DIV/0!</v>
      </c>
      <c r="AC12" s="327" t="str">
        <f>'Mg St LP'!R49</f>
        <v/>
      </c>
      <c r="AD12" s="328" t="str">
        <f t="shared" ref="AD12:AD13" si="37">AC12/AC$10</f>
        <v>#DIV/0!</v>
      </c>
      <c r="AE12" s="325">
        <f>'Mg St Bandra'!P47</f>
        <v>0</v>
      </c>
      <c r="AF12" s="326" t="str">
        <f t="shared" ref="AF12:AF13" si="38">AE12/AE$10</f>
        <v>#DIV/0!</v>
      </c>
      <c r="AG12" s="327">
        <f>'Mg St Bandra'!R47</f>
        <v>0</v>
      </c>
      <c r="AH12" s="329" t="str">
        <f t="shared" ref="AH12:AH13" si="39">AG12/AG$10</f>
        <v>#DIV/0!</v>
      </c>
      <c r="AI12" s="330">
        <f>'MSK Events'!P47</f>
        <v>0</v>
      </c>
      <c r="AJ12" s="326" t="str">
        <f>AI12/AI$10</f>
        <v>#DIV/0!</v>
      </c>
      <c r="AK12" s="322">
        <f>'MSK Events'!R47</f>
        <v>0</v>
      </c>
      <c r="AL12" s="323"/>
      <c r="AM12" s="325">
        <f>MSBC!P47</f>
        <v>0</v>
      </c>
      <c r="AN12" s="321"/>
      <c r="AO12" s="327">
        <f>MSBC!R47</f>
        <v>0</v>
      </c>
      <c r="AP12" s="323"/>
      <c r="AQ12" s="325">
        <f>Kaspers!P47</f>
        <v>0</v>
      </c>
      <c r="AR12" s="321"/>
      <c r="AS12" s="327">
        <f>Kaspers!R47</f>
        <v>0</v>
      </c>
      <c r="AT12" s="323"/>
      <c r="AU12" s="325" t="str">
        <f>'MSBC Andheri'!P46</f>
        <v/>
      </c>
      <c r="AV12" s="321"/>
      <c r="AW12" s="327">
        <f>'MSBC Andheri'!R46</f>
        <v>0</v>
      </c>
      <c r="AX12" s="323"/>
      <c r="AY12" s="325" t="str">
        <f>'MSBC Dahisar'!P44</f>
        <v/>
      </c>
      <c r="AZ12" s="321"/>
      <c r="BA12" s="327">
        <f>'MSBC Dahisar'!R44</f>
        <v>0</v>
      </c>
      <c r="BB12" s="323"/>
      <c r="BC12" s="325" t="str">
        <f>'MSBC Juhu  Goregoan'!P37</f>
        <v/>
      </c>
      <c r="BD12" s="321"/>
      <c r="BE12" s="327">
        <f>'MSBC Juhu  Goregoan'!R37</f>
        <v>0</v>
      </c>
      <c r="BF12" s="323"/>
      <c r="BG12" s="325">
        <f>'LOUD MOUTH'!P39</f>
        <v>0</v>
      </c>
      <c r="BH12" s="321"/>
      <c r="BI12" s="327" t="str">
        <f>'LOUD MOUTH'!R39</f>
        <v/>
      </c>
      <c r="BJ12" s="323"/>
    </row>
    <row r="13" ht="15.75" customHeight="1">
      <c r="B13" s="299" t="s">
        <v>29</v>
      </c>
      <c r="C13" s="318">
        <f t="shared" si="22"/>
        <v>0</v>
      </c>
      <c r="D13" s="300" t="str">
        <f t="shared" si="23"/>
        <v>#DIV/0!</v>
      </c>
      <c r="E13" s="319">
        <f t="shared" si="24"/>
        <v>0</v>
      </c>
      <c r="F13" s="301" t="str">
        <f t="shared" si="25"/>
        <v>#DIV/0!</v>
      </c>
      <c r="G13" s="320" t="str">
        <f>HO!P33</f>
        <v/>
      </c>
      <c r="H13" s="321"/>
      <c r="I13" s="331" t="str">
        <f>HO!R33</f>
        <v/>
      </c>
      <c r="J13" s="323"/>
      <c r="K13" s="324">
        <f t="shared" si="26"/>
        <v>0</v>
      </c>
      <c r="L13" s="300" t="str">
        <f t="shared" si="27"/>
        <v>#DIV/0!</v>
      </c>
      <c r="M13" s="319">
        <f t="shared" si="28"/>
        <v>0</v>
      </c>
      <c r="N13" s="301" t="str">
        <f t="shared" si="29"/>
        <v>#DIV/0!</v>
      </c>
      <c r="O13" s="325" t="str">
        <f>'The Table'!P40</f>
        <v/>
      </c>
      <c r="P13" s="326" t="str">
        <f t="shared" si="30"/>
        <v>#DIV/0!</v>
      </c>
      <c r="Q13" s="327">
        <f>'The Table'!R40</f>
        <v>0</v>
      </c>
      <c r="R13" s="328" t="str">
        <f t="shared" si="31"/>
        <v>#DIV/0!</v>
      </c>
      <c r="S13" s="325" t="str">
        <f>Iktara!P41</f>
        <v/>
      </c>
      <c r="T13" s="326" t="str">
        <f t="shared" si="32"/>
        <v>#DIV/0!</v>
      </c>
      <c r="U13" s="327" t="str">
        <f>Iktara!R41</f>
        <v/>
      </c>
      <c r="V13" s="328" t="str">
        <f t="shared" si="33"/>
        <v>#DIV/0!</v>
      </c>
      <c r="W13" s="325" t="str">
        <f>'Mg St Colaba'!P48</f>
        <v/>
      </c>
      <c r="X13" s="326" t="str">
        <f t="shared" si="34"/>
        <v>#DIV/0!</v>
      </c>
      <c r="Y13" s="327" t="str">
        <f>'Mg St Colaba'!R48</f>
        <v/>
      </c>
      <c r="Z13" s="328" t="str">
        <f t="shared" si="35"/>
        <v>#DIV/0!</v>
      </c>
      <c r="AA13" s="325" t="str">
        <f>'Mg St LP'!P50</f>
        <v/>
      </c>
      <c r="AB13" s="326" t="str">
        <f t="shared" si="36"/>
        <v>#DIV/0!</v>
      </c>
      <c r="AC13" s="327" t="str">
        <f>'Mg St LP'!R50</f>
        <v/>
      </c>
      <c r="AD13" s="328" t="str">
        <f t="shared" si="37"/>
        <v>#DIV/0!</v>
      </c>
      <c r="AE13" s="325" t="str">
        <f>'Mg St Bandra'!P48</f>
        <v/>
      </c>
      <c r="AF13" s="326" t="str">
        <f t="shared" si="38"/>
        <v>#DIV/0!</v>
      </c>
      <c r="AG13" s="327" t="str">
        <f>'Mg St Bandra'!R48</f>
        <v/>
      </c>
      <c r="AH13" s="329" t="str">
        <f t="shared" si="39"/>
        <v>#DIV/0!</v>
      </c>
      <c r="AI13" s="330" t="str">
        <f>'MSK Events'!P48</f>
        <v/>
      </c>
      <c r="AJ13" s="321"/>
      <c r="AK13" s="322" t="str">
        <f>'MSK Events'!R48</f>
        <v/>
      </c>
      <c r="AL13" s="323"/>
      <c r="AM13" s="325" t="str">
        <f>MSBC!P48</f>
        <v/>
      </c>
      <c r="AN13" s="321"/>
      <c r="AO13" s="327" t="str">
        <f>MSBC!R48</f>
        <v/>
      </c>
      <c r="AP13" s="323"/>
      <c r="AQ13" s="325" t="str">
        <f>Kaspers!P48</f>
        <v/>
      </c>
      <c r="AR13" s="321"/>
      <c r="AS13" s="327">
        <f>Kaspers!R48</f>
        <v>0</v>
      </c>
      <c r="AT13" s="323"/>
      <c r="AU13" s="325" t="str">
        <f>'MSBC Andheri'!P47</f>
        <v/>
      </c>
      <c r="AV13" s="321"/>
      <c r="AW13" s="327" t="str">
        <f>'MSBC Andheri'!R47</f>
        <v/>
      </c>
      <c r="AX13" s="323"/>
      <c r="AY13" s="325" t="str">
        <f>'MSBC Dahisar'!P45</f>
        <v/>
      </c>
      <c r="AZ13" s="321"/>
      <c r="BA13" s="327" t="str">
        <f>'MSBC Dahisar'!R45</f>
        <v/>
      </c>
      <c r="BB13" s="323"/>
      <c r="BC13" s="325" t="str">
        <f>'MSBC Juhu  Goregoan'!P38</f>
        <v/>
      </c>
      <c r="BD13" s="321"/>
      <c r="BE13" s="327" t="str">
        <f>'MSBC Juhu  Goregoan'!R38</f>
        <v/>
      </c>
      <c r="BF13" s="323"/>
      <c r="BG13" s="325" t="str">
        <f>'LOUD MOUTH'!P40</f>
        <v/>
      </c>
      <c r="BH13" s="321"/>
      <c r="BI13" s="327" t="str">
        <f>'LOUD MOUTH'!R40</f>
        <v/>
      </c>
      <c r="BJ13" s="323"/>
    </row>
    <row r="14" ht="15.75" customHeight="1">
      <c r="B14" s="299" t="s">
        <v>163</v>
      </c>
      <c r="C14" s="332">
        <f t="shared" si="22"/>
        <v>0</v>
      </c>
      <c r="D14" s="333" t="str">
        <f t="shared" si="23"/>
        <v>#DIV/0!</v>
      </c>
      <c r="E14" s="334"/>
      <c r="F14" s="335"/>
      <c r="G14" s="320"/>
      <c r="H14" s="320"/>
      <c r="I14" s="320"/>
      <c r="J14" s="320"/>
      <c r="K14" s="324">
        <f t="shared" si="26"/>
        <v>0</v>
      </c>
      <c r="L14" s="333"/>
      <c r="M14" s="319">
        <f t="shared" si="28"/>
        <v>0</v>
      </c>
      <c r="N14" s="335"/>
      <c r="O14" s="325"/>
      <c r="P14" s="326"/>
      <c r="Q14" s="327"/>
      <c r="R14" s="328"/>
      <c r="S14" s="325"/>
      <c r="T14" s="326"/>
      <c r="U14" s="321"/>
      <c r="V14" s="328"/>
      <c r="W14" s="325"/>
      <c r="X14" s="326"/>
      <c r="Y14" s="321"/>
      <c r="Z14" s="328"/>
      <c r="AA14" s="325"/>
      <c r="AB14" s="326"/>
      <c r="AC14" s="327"/>
      <c r="AD14" s="328"/>
      <c r="AE14" s="325"/>
      <c r="AF14" s="326"/>
      <c r="AG14" s="321"/>
      <c r="AH14" s="329"/>
      <c r="AI14" s="336"/>
      <c r="AJ14" s="321"/>
      <c r="AK14" s="321"/>
      <c r="AL14" s="323"/>
      <c r="AM14" s="325"/>
      <c r="AN14" s="321"/>
      <c r="AO14" s="321"/>
      <c r="AP14" s="323"/>
      <c r="AQ14" s="337"/>
      <c r="AR14" s="321"/>
      <c r="AS14" s="327"/>
      <c r="AT14" s="323"/>
      <c r="AU14" s="338"/>
      <c r="AV14" s="339"/>
      <c r="AW14" s="339"/>
      <c r="AX14" s="340"/>
      <c r="AY14" s="338"/>
      <c r="AZ14" s="339"/>
      <c r="BA14" s="339"/>
      <c r="BB14" s="340"/>
      <c r="BC14" s="338"/>
      <c r="BD14" s="339"/>
      <c r="BE14" s="339"/>
      <c r="BF14" s="340"/>
      <c r="BG14" s="338"/>
      <c r="BH14" s="339"/>
      <c r="BI14" s="339"/>
      <c r="BJ14" s="340"/>
    </row>
    <row r="15" ht="15.75" customHeight="1">
      <c r="B15" s="299" t="s">
        <v>30</v>
      </c>
      <c r="C15" s="164">
        <f t="shared" ref="C15:AM15" si="40">SUM(C12:C14)</f>
        <v>0</v>
      </c>
      <c r="D15" s="341" t="str">
        <f t="shared" si="40"/>
        <v>#DIV/0!</v>
      </c>
      <c r="E15" s="161">
        <f t="shared" si="40"/>
        <v>0</v>
      </c>
      <c r="F15" s="342" t="str">
        <f t="shared" si="40"/>
        <v>#DIV/0!</v>
      </c>
      <c r="G15" s="343">
        <f t="shared" si="40"/>
        <v>0</v>
      </c>
      <c r="H15" s="303">
        <f t="shared" si="40"/>
        <v>0</v>
      </c>
      <c r="I15" s="344">
        <f t="shared" si="40"/>
        <v>0</v>
      </c>
      <c r="J15" s="304">
        <f t="shared" si="40"/>
        <v>0</v>
      </c>
      <c r="K15" s="302">
        <f t="shared" si="40"/>
        <v>0</v>
      </c>
      <c r="L15" s="341" t="str">
        <f t="shared" si="40"/>
        <v>#DIV/0!</v>
      </c>
      <c r="M15" s="161">
        <f t="shared" si="40"/>
        <v>0</v>
      </c>
      <c r="N15" s="342" t="str">
        <f t="shared" si="40"/>
        <v>#DIV/0!</v>
      </c>
      <c r="O15" s="302">
        <f t="shared" si="40"/>
        <v>0</v>
      </c>
      <c r="P15" s="341" t="str">
        <f t="shared" si="40"/>
        <v>#DIV/0!</v>
      </c>
      <c r="Q15" s="161">
        <f t="shared" si="40"/>
        <v>0</v>
      </c>
      <c r="R15" s="342" t="str">
        <f t="shared" si="40"/>
        <v>#DIV/0!</v>
      </c>
      <c r="S15" s="302">
        <f t="shared" si="40"/>
        <v>0</v>
      </c>
      <c r="T15" s="341" t="str">
        <f t="shared" si="40"/>
        <v>#DIV/0!</v>
      </c>
      <c r="U15" s="161">
        <f t="shared" si="40"/>
        <v>0</v>
      </c>
      <c r="V15" s="342" t="str">
        <f t="shared" si="40"/>
        <v>#DIV/0!</v>
      </c>
      <c r="W15" s="302">
        <f t="shared" si="40"/>
        <v>0</v>
      </c>
      <c r="X15" s="341" t="str">
        <f t="shared" si="40"/>
        <v>#DIV/0!</v>
      </c>
      <c r="Y15" s="161">
        <f t="shared" si="40"/>
        <v>0</v>
      </c>
      <c r="Z15" s="342" t="str">
        <f t="shared" si="40"/>
        <v>#DIV/0!</v>
      </c>
      <c r="AA15" s="302">
        <f t="shared" si="40"/>
        <v>0</v>
      </c>
      <c r="AB15" s="341" t="str">
        <f t="shared" si="40"/>
        <v>#DIV/0!</v>
      </c>
      <c r="AC15" s="161">
        <f t="shared" si="40"/>
        <v>0</v>
      </c>
      <c r="AD15" s="342" t="str">
        <f t="shared" si="40"/>
        <v>#DIV/0!</v>
      </c>
      <c r="AE15" s="302">
        <f t="shared" si="40"/>
        <v>0</v>
      </c>
      <c r="AF15" s="341" t="str">
        <f t="shared" si="40"/>
        <v>#DIV/0!</v>
      </c>
      <c r="AG15" s="161">
        <f t="shared" si="40"/>
        <v>0</v>
      </c>
      <c r="AH15" s="345" t="str">
        <f t="shared" si="40"/>
        <v>#DIV/0!</v>
      </c>
      <c r="AI15" s="346">
        <f t="shared" si="40"/>
        <v>0</v>
      </c>
      <c r="AJ15" s="341" t="str">
        <f t="shared" si="40"/>
        <v>#DIV/0!</v>
      </c>
      <c r="AK15" s="344">
        <f t="shared" si="40"/>
        <v>0</v>
      </c>
      <c r="AL15" s="304">
        <f t="shared" si="40"/>
        <v>0</v>
      </c>
      <c r="AM15" s="302">
        <f t="shared" si="40"/>
        <v>0</v>
      </c>
      <c r="AN15" s="303"/>
      <c r="AO15" s="344">
        <f>SUM(AO12:AO14)</f>
        <v>0</v>
      </c>
      <c r="AP15" s="304"/>
      <c r="AQ15" s="302">
        <f>SUM(AQ12:AQ13)</f>
        <v>0</v>
      </c>
      <c r="AR15" s="303"/>
      <c r="AS15" s="161">
        <f>SUM(AS12:AS14)</f>
        <v>0</v>
      </c>
      <c r="AT15" s="304"/>
      <c r="AU15" s="302">
        <f t="shared" ref="AU15:BJ15" si="41">SUM(AU12:AU14)</f>
        <v>0</v>
      </c>
      <c r="AV15" s="161">
        <f t="shared" si="41"/>
        <v>0</v>
      </c>
      <c r="AW15" s="161">
        <f t="shared" si="41"/>
        <v>0</v>
      </c>
      <c r="AX15" s="347">
        <f t="shared" si="41"/>
        <v>0</v>
      </c>
      <c r="AY15" s="302">
        <f t="shared" si="41"/>
        <v>0</v>
      </c>
      <c r="AZ15" s="161">
        <f t="shared" si="41"/>
        <v>0</v>
      </c>
      <c r="BA15" s="161">
        <f t="shared" si="41"/>
        <v>0</v>
      </c>
      <c r="BB15" s="347">
        <f t="shared" si="41"/>
        <v>0</v>
      </c>
      <c r="BC15" s="302">
        <f t="shared" si="41"/>
        <v>0</v>
      </c>
      <c r="BD15" s="161">
        <f t="shared" si="41"/>
        <v>0</v>
      </c>
      <c r="BE15" s="161">
        <f t="shared" si="41"/>
        <v>0</v>
      </c>
      <c r="BF15" s="347">
        <f t="shared" si="41"/>
        <v>0</v>
      </c>
      <c r="BG15" s="302">
        <f t="shared" si="41"/>
        <v>0</v>
      </c>
      <c r="BH15" s="161">
        <f t="shared" si="41"/>
        <v>0</v>
      </c>
      <c r="BI15" s="161">
        <f t="shared" si="41"/>
        <v>0</v>
      </c>
      <c r="BJ15" s="347">
        <f t="shared" si="41"/>
        <v>0</v>
      </c>
    </row>
    <row r="16" ht="15.75" customHeight="1">
      <c r="B16" s="348"/>
      <c r="C16" s="349"/>
      <c r="D16" s="350"/>
      <c r="E16" s="350"/>
      <c r="F16" s="351"/>
      <c r="G16" s="310"/>
      <c r="H16" s="311"/>
      <c r="I16" s="312"/>
      <c r="J16" s="313"/>
      <c r="K16" s="352"/>
      <c r="L16" s="350"/>
      <c r="M16" s="353"/>
      <c r="N16" s="351"/>
      <c r="O16" s="310"/>
      <c r="P16" s="311"/>
      <c r="Q16" s="311"/>
      <c r="R16" s="313"/>
      <c r="S16" s="310"/>
      <c r="T16" s="311"/>
      <c r="U16" s="311"/>
      <c r="V16" s="313"/>
      <c r="W16" s="310"/>
      <c r="X16" s="311"/>
      <c r="Y16" s="311"/>
      <c r="Z16" s="313"/>
      <c r="AA16" s="310"/>
      <c r="AB16" s="311"/>
      <c r="AC16" s="311"/>
      <c r="AD16" s="313"/>
      <c r="AE16" s="310"/>
      <c r="AF16" s="311"/>
      <c r="AG16" s="311"/>
      <c r="AH16" s="316"/>
      <c r="AI16" s="317"/>
      <c r="AJ16" s="311"/>
      <c r="AK16" s="311"/>
      <c r="AL16" s="313"/>
      <c r="AM16" s="310"/>
      <c r="AN16" s="311"/>
      <c r="AO16" s="311"/>
      <c r="AP16" s="313"/>
      <c r="AQ16" s="310"/>
      <c r="AR16" s="311"/>
      <c r="AS16" s="311"/>
      <c r="AT16" s="313"/>
      <c r="AU16" s="310"/>
      <c r="AV16" s="311"/>
      <c r="AW16" s="311"/>
      <c r="AX16" s="313"/>
      <c r="AY16" s="310"/>
      <c r="AZ16" s="311"/>
      <c r="BA16" s="311"/>
      <c r="BB16" s="313"/>
      <c r="BC16" s="310"/>
      <c r="BD16" s="311"/>
      <c r="BE16" s="311"/>
      <c r="BF16" s="313"/>
      <c r="BG16" s="310"/>
      <c r="BH16" s="311"/>
      <c r="BI16" s="311"/>
      <c r="BJ16" s="313"/>
    </row>
    <row r="17" ht="15.75" customHeight="1">
      <c r="A17" s="354"/>
      <c r="B17" s="299" t="s">
        <v>32</v>
      </c>
      <c r="C17" s="164">
        <f>C10-C15</f>
        <v>0</v>
      </c>
      <c r="D17" s="341" t="str">
        <f>C17/C$10</f>
        <v>#DIV/0!</v>
      </c>
      <c r="E17" s="161">
        <f>E10-E15</f>
        <v>0</v>
      </c>
      <c r="F17" s="342" t="str">
        <f>E17/E$10</f>
        <v>#DIV/0!</v>
      </c>
      <c r="G17" s="302">
        <f>G10-G15</f>
        <v>0</v>
      </c>
      <c r="H17" s="303"/>
      <c r="I17" s="161">
        <f>I10-I15</f>
        <v>0</v>
      </c>
      <c r="J17" s="304"/>
      <c r="K17" s="302">
        <f>K10-K15</f>
        <v>0</v>
      </c>
      <c r="L17" s="341" t="str">
        <f>K17/K$10</f>
        <v>#DIV/0!</v>
      </c>
      <c r="M17" s="161">
        <f>Q17+U17+Y17+AC17+AG17+AK17+AO17+AS17+AW17+BA17+BE17+BI17</f>
        <v>0</v>
      </c>
      <c r="N17" s="342" t="str">
        <f>M17/M$10</f>
        <v>#DIV/0!</v>
      </c>
      <c r="O17" s="302">
        <f>O10-O15</f>
        <v>0</v>
      </c>
      <c r="P17" s="341" t="str">
        <f>O17/O$10</f>
        <v>#DIV/0!</v>
      </c>
      <c r="Q17" s="161">
        <f>Q10-Q15</f>
        <v>0</v>
      </c>
      <c r="R17" s="342" t="str">
        <f>Q17/Q$10</f>
        <v>#DIV/0!</v>
      </c>
      <c r="S17" s="302">
        <f>S10-S15</f>
        <v>0</v>
      </c>
      <c r="T17" s="341" t="str">
        <f>S17/S$10</f>
        <v>#DIV/0!</v>
      </c>
      <c r="U17" s="161">
        <f>U10-U15</f>
        <v>0</v>
      </c>
      <c r="V17" s="342" t="str">
        <f>U17/U$10</f>
        <v>#DIV/0!</v>
      </c>
      <c r="W17" s="302">
        <f>W10-W15</f>
        <v>0</v>
      </c>
      <c r="X17" s="341" t="str">
        <f>W17/W$10</f>
        <v>#DIV/0!</v>
      </c>
      <c r="Y17" s="161">
        <f>Y10-Y15</f>
        <v>0</v>
      </c>
      <c r="Z17" s="342" t="str">
        <f>Y17/Y$10</f>
        <v>#DIV/0!</v>
      </c>
      <c r="AA17" s="302">
        <f>AA10-AA15</f>
        <v>0</v>
      </c>
      <c r="AB17" s="341" t="str">
        <f>AA17/AA$10</f>
        <v>#DIV/0!</v>
      </c>
      <c r="AC17" s="161">
        <f>AC10-AC15</f>
        <v>0</v>
      </c>
      <c r="AD17" s="342" t="str">
        <f>AC17/AC$10</f>
        <v>#DIV/0!</v>
      </c>
      <c r="AE17" s="302">
        <f>AE10-AE15</f>
        <v>0</v>
      </c>
      <c r="AF17" s="341" t="str">
        <f>AE17/AE$10</f>
        <v>#DIV/0!</v>
      </c>
      <c r="AG17" s="161">
        <f>AG10-AG15</f>
        <v>0</v>
      </c>
      <c r="AH17" s="345" t="str">
        <f>AG17/AG$10</f>
        <v>#DIV/0!</v>
      </c>
      <c r="AI17" s="164">
        <f>AI10-AI15</f>
        <v>0</v>
      </c>
      <c r="AJ17" s="341" t="str">
        <f>AI17/AI$10</f>
        <v>#DIV/0!</v>
      </c>
      <c r="AK17" s="161">
        <f>AK10-AK15</f>
        <v>0</v>
      </c>
      <c r="AL17" s="304"/>
      <c r="AM17" s="302">
        <f>AM10-AM15</f>
        <v>0</v>
      </c>
      <c r="AN17" s="303"/>
      <c r="AO17" s="161">
        <f>AO10-AO15</f>
        <v>0</v>
      </c>
      <c r="AP17" s="304"/>
      <c r="AQ17" s="302">
        <f>AQ10-AQ15</f>
        <v>0</v>
      </c>
      <c r="AR17" s="303"/>
      <c r="AS17" s="161">
        <f>AS10-AS15</f>
        <v>0</v>
      </c>
      <c r="AT17" s="304"/>
      <c r="AU17" s="302">
        <f t="shared" ref="AU17:BJ17" si="42">AU10-AU15</f>
        <v>0</v>
      </c>
      <c r="AV17" s="161">
        <f t="shared" si="42"/>
        <v>0</v>
      </c>
      <c r="AW17" s="161">
        <f t="shared" si="42"/>
        <v>0</v>
      </c>
      <c r="AX17" s="347">
        <f t="shared" si="42"/>
        <v>0</v>
      </c>
      <c r="AY17" s="302">
        <f t="shared" si="42"/>
        <v>0</v>
      </c>
      <c r="AZ17" s="161">
        <f t="shared" si="42"/>
        <v>0</v>
      </c>
      <c r="BA17" s="161">
        <f t="shared" si="42"/>
        <v>0</v>
      </c>
      <c r="BB17" s="347">
        <f t="shared" si="42"/>
        <v>0</v>
      </c>
      <c r="BC17" s="302">
        <f t="shared" si="42"/>
        <v>0</v>
      </c>
      <c r="BD17" s="161">
        <f t="shared" si="42"/>
        <v>0</v>
      </c>
      <c r="BE17" s="161">
        <f t="shared" si="42"/>
        <v>0</v>
      </c>
      <c r="BF17" s="347">
        <f t="shared" si="42"/>
        <v>0</v>
      </c>
      <c r="BG17" s="302">
        <f t="shared" si="42"/>
        <v>0</v>
      </c>
      <c r="BH17" s="161">
        <f t="shared" si="42"/>
        <v>0</v>
      </c>
      <c r="BI17" s="161">
        <f t="shared" si="42"/>
        <v>0</v>
      </c>
      <c r="BJ17" s="347">
        <f t="shared" si="42"/>
        <v>0</v>
      </c>
    </row>
    <row r="18" ht="15.75" customHeight="1">
      <c r="B18" s="355"/>
      <c r="C18" s="356"/>
      <c r="D18" s="357"/>
      <c r="E18" s="357"/>
      <c r="F18" s="358"/>
      <c r="G18" s="359"/>
      <c r="H18" s="264"/>
      <c r="I18" s="270"/>
      <c r="J18" s="266"/>
      <c r="K18" s="360"/>
      <c r="L18" s="357"/>
      <c r="M18" s="361"/>
      <c r="N18" s="358"/>
      <c r="O18" s="268"/>
      <c r="P18" s="264"/>
      <c r="Q18" s="264"/>
      <c r="R18" s="266"/>
      <c r="S18" s="359"/>
      <c r="T18" s="264"/>
      <c r="U18" s="264"/>
      <c r="V18" s="266"/>
      <c r="W18" s="359"/>
      <c r="X18" s="264"/>
      <c r="Y18" s="264"/>
      <c r="Z18" s="266"/>
      <c r="AA18" s="359"/>
      <c r="AB18" s="264"/>
      <c r="AC18" s="264"/>
      <c r="AD18" s="266"/>
      <c r="AE18" s="359"/>
      <c r="AF18" s="264"/>
      <c r="AG18" s="264"/>
      <c r="AH18" s="362"/>
      <c r="AI18" s="363"/>
      <c r="AJ18" s="264"/>
      <c r="AK18" s="264"/>
      <c r="AL18" s="266"/>
      <c r="AM18" s="268"/>
      <c r="AN18" s="264"/>
      <c r="AO18" s="264"/>
      <c r="AP18" s="266"/>
      <c r="AQ18" s="359"/>
      <c r="AR18" s="264"/>
      <c r="AS18" s="264"/>
      <c r="AT18" s="266"/>
      <c r="AU18" s="359"/>
      <c r="AV18" s="264"/>
      <c r="AW18" s="264"/>
      <c r="AX18" s="266"/>
      <c r="AY18" s="359"/>
      <c r="AZ18" s="264"/>
      <c r="BA18" s="264"/>
      <c r="BB18" s="266"/>
      <c r="BC18" s="359"/>
      <c r="BD18" s="264"/>
      <c r="BE18" s="264"/>
      <c r="BF18" s="266"/>
      <c r="BG18" s="359"/>
      <c r="BH18" s="264"/>
      <c r="BI18" s="264"/>
      <c r="BJ18" s="266"/>
    </row>
    <row r="19" ht="15.75" customHeight="1">
      <c r="B19" s="274" t="s">
        <v>33</v>
      </c>
      <c r="C19" s="275">
        <f t="shared" ref="C19:C28" si="43">G19+K19</f>
        <v>0</v>
      </c>
      <c r="D19" s="276" t="str">
        <f t="shared" ref="D19:D29" si="44">C19/C$10</f>
        <v>#DIV/0!</v>
      </c>
      <c r="E19" s="277">
        <f t="shared" ref="E19:E29" si="45">I19+M19</f>
        <v>0</v>
      </c>
      <c r="F19" s="278" t="str">
        <f t="shared" ref="F19:F29" si="46">E19/E$10</f>
        <v>#DIV/0!</v>
      </c>
      <c r="G19" s="283">
        <f>HO!P43</f>
        <v>0</v>
      </c>
      <c r="H19" s="229"/>
      <c r="I19" s="232" t="str">
        <f>HO!R43</f>
        <v/>
      </c>
      <c r="J19" s="281"/>
      <c r="K19" s="282">
        <f t="shared" ref="K19:K28" si="47">O19+S19+W19+AA19+AE19+AI19+AM19+AQ19+AU19+AY19+BC19+BG19</f>
        <v>0</v>
      </c>
      <c r="L19" s="276" t="str">
        <f t="shared" ref="L19:L29" si="48">K19/K$10</f>
        <v>#DIV/0!</v>
      </c>
      <c r="M19" s="277">
        <f t="shared" ref="M19:M28" si="49">Q19+U19+Y19+AC19+AG19+AK19+AO19+AS19+AW19+BA19+BE19+BI19</f>
        <v>0</v>
      </c>
      <c r="N19" s="278" t="str">
        <f t="shared" ref="N19:N29" si="50">M19/M$10</f>
        <v>#DIV/0!</v>
      </c>
      <c r="O19" s="283">
        <f>'The Table'!P51</f>
        <v>0</v>
      </c>
      <c r="P19" s="284" t="str">
        <f t="shared" ref="P19:P29" si="51">O19/O$10</f>
        <v>#DIV/0!</v>
      </c>
      <c r="Q19" s="232">
        <f>'The Table'!R51</f>
        <v>0</v>
      </c>
      <c r="R19" s="285" t="str">
        <f t="shared" ref="R19:R29" si="52">Q19/Q$10</f>
        <v>#DIV/0!</v>
      </c>
      <c r="S19" s="283">
        <f>Iktara!P52</f>
        <v>0</v>
      </c>
      <c r="T19" s="284" t="str">
        <f t="shared" ref="T19:T29" si="53">S19/S$10</f>
        <v>#DIV/0!</v>
      </c>
      <c r="U19" s="232">
        <f>Iktara!R52</f>
        <v>0</v>
      </c>
      <c r="V19" s="285" t="str">
        <f t="shared" ref="V19:V29" si="54">U19/U$10</f>
        <v>#DIV/0!</v>
      </c>
      <c r="W19" s="283">
        <f>'Mg St Colaba'!P60</f>
        <v>0</v>
      </c>
      <c r="X19" s="284" t="str">
        <f t="shared" ref="X19:X29" si="55">W19/W$10</f>
        <v>#DIV/0!</v>
      </c>
      <c r="Y19" s="232">
        <f>'Mg St Colaba'!R60</f>
        <v>0</v>
      </c>
      <c r="Z19" s="285" t="str">
        <f t="shared" ref="Z19:Z29" si="56">Y19/Y$10</f>
        <v>#DIV/0!</v>
      </c>
      <c r="AA19" s="283">
        <f>'Mg St LP'!P61</f>
        <v>0</v>
      </c>
      <c r="AB19" s="284" t="str">
        <f t="shared" ref="AB19:AB29" si="57">AA19/AA$10</f>
        <v>#DIV/0!</v>
      </c>
      <c r="AC19" s="232">
        <f>'Mg St LP'!R61</f>
        <v>0</v>
      </c>
      <c r="AD19" s="285" t="str">
        <f t="shared" ref="AD19:AD29" si="58">AC19/AC$10</f>
        <v>#DIV/0!</v>
      </c>
      <c r="AE19" s="283">
        <f>'Mg St Bandra'!P58</f>
        <v>0</v>
      </c>
      <c r="AF19" s="284" t="str">
        <f t="shared" ref="AF19:AF29" si="59">AE19/AE$10</f>
        <v>#DIV/0!</v>
      </c>
      <c r="AG19" s="232">
        <f>'Mg St Bandra'!R58</f>
        <v>0</v>
      </c>
      <c r="AH19" s="286" t="str">
        <f t="shared" ref="AH19:AH29" si="60">AG19/AG$10</f>
        <v>#DIV/0!</v>
      </c>
      <c r="AI19" s="287">
        <f>'MSK Events'!P59</f>
        <v>0</v>
      </c>
      <c r="AJ19" s="284" t="str">
        <f t="shared" ref="AJ19:AJ28" si="61">AI19/AI$10</f>
        <v>#DIV/0!</v>
      </c>
      <c r="AK19" s="232">
        <f>'MSK Events'!R59</f>
        <v>0</v>
      </c>
      <c r="AL19" s="285" t="str">
        <f t="shared" ref="AL19:AL28" si="62">AK19/AK$10</f>
        <v>#DIV/0!</v>
      </c>
      <c r="AM19" s="283">
        <f>MSBC!P59</f>
        <v>0</v>
      </c>
      <c r="AN19" s="284" t="str">
        <f t="shared" ref="AN19:AN29" si="63">AM19/AM$10</f>
        <v>#DIV/0!</v>
      </c>
      <c r="AO19" s="232">
        <f>MSBC!R59</f>
        <v>0</v>
      </c>
      <c r="AP19" s="285" t="str">
        <f t="shared" ref="AP19:AP29" si="64">AO19/AO$10</f>
        <v>#DIV/0!</v>
      </c>
      <c r="AQ19" s="283">
        <f>Kaspers!P62</f>
        <v>0</v>
      </c>
      <c r="AR19" s="229"/>
      <c r="AS19" s="232">
        <f>Kaspers!R62</f>
        <v>0</v>
      </c>
      <c r="AT19" s="281"/>
      <c r="AU19" s="283">
        <f>'MSBC Andheri'!P58</f>
        <v>0</v>
      </c>
      <c r="AV19" s="229"/>
      <c r="AW19" s="232">
        <f>'MSBC Andheri'!R58</f>
        <v>0</v>
      </c>
      <c r="AX19" s="281"/>
      <c r="AY19" s="283">
        <f>'MSBC Dahisar'!P55</f>
        <v>0</v>
      </c>
      <c r="AZ19" s="229"/>
      <c r="BA19" s="232">
        <f>'MSBC Dahisar'!R55</f>
        <v>0</v>
      </c>
      <c r="BB19" s="281"/>
      <c r="BC19" s="283">
        <f>'MSBC Juhu  Goregoan'!P60</f>
        <v>0</v>
      </c>
      <c r="BD19" s="229"/>
      <c r="BE19" s="232">
        <f>'MSBC Juhu  Goregoan'!R60</f>
        <v>0</v>
      </c>
      <c r="BF19" s="281"/>
      <c r="BG19" s="283">
        <f>'LOUD MOUTH'!P51</f>
        <v>0</v>
      </c>
      <c r="BH19" s="229"/>
      <c r="BI19" s="232">
        <f>'LOUD MOUTH'!R51</f>
        <v>0</v>
      </c>
      <c r="BJ19" s="281"/>
    </row>
    <row r="20" ht="15.75" customHeight="1">
      <c r="B20" s="274" t="s">
        <v>34</v>
      </c>
      <c r="C20" s="275">
        <f t="shared" si="43"/>
        <v>0</v>
      </c>
      <c r="D20" s="276" t="str">
        <f t="shared" si="44"/>
        <v>#DIV/0!</v>
      </c>
      <c r="E20" s="277">
        <f t="shared" si="45"/>
        <v>0</v>
      </c>
      <c r="F20" s="278" t="str">
        <f t="shared" si="46"/>
        <v>#DIV/0!</v>
      </c>
      <c r="G20" s="283">
        <f>HO!P52</f>
        <v>0</v>
      </c>
      <c r="H20" s="229"/>
      <c r="I20" s="232">
        <f>HO!R52</f>
        <v>0</v>
      </c>
      <c r="J20" s="281"/>
      <c r="K20" s="282">
        <f t="shared" si="47"/>
        <v>0</v>
      </c>
      <c r="L20" s="276" t="str">
        <f t="shared" si="48"/>
        <v>#DIV/0!</v>
      </c>
      <c r="M20" s="277">
        <f t="shared" si="49"/>
        <v>0</v>
      </c>
      <c r="N20" s="278" t="str">
        <f t="shared" si="50"/>
        <v>#DIV/0!</v>
      </c>
      <c r="O20" s="283">
        <f>'The Table'!P60</f>
        <v>0</v>
      </c>
      <c r="P20" s="284" t="str">
        <f t="shared" si="51"/>
        <v>#DIV/0!</v>
      </c>
      <c r="Q20" s="232">
        <f>'The Table'!R60</f>
        <v>0</v>
      </c>
      <c r="R20" s="285" t="str">
        <f t="shared" si="52"/>
        <v>#DIV/0!</v>
      </c>
      <c r="S20" s="283">
        <f>Iktara!P54</f>
        <v>0</v>
      </c>
      <c r="T20" s="284" t="str">
        <f t="shared" si="53"/>
        <v>#DIV/0!</v>
      </c>
      <c r="U20" s="232">
        <f>Iktara!R54</f>
        <v>0</v>
      </c>
      <c r="V20" s="285" t="str">
        <f t="shared" si="54"/>
        <v>#DIV/0!</v>
      </c>
      <c r="W20" s="283">
        <f>'Mg St Colaba'!P69</f>
        <v>0</v>
      </c>
      <c r="X20" s="284" t="str">
        <f t="shared" si="55"/>
        <v>#DIV/0!</v>
      </c>
      <c r="Y20" s="232">
        <f>'Mg St Colaba'!R69</f>
        <v>0</v>
      </c>
      <c r="Z20" s="285" t="str">
        <f t="shared" si="56"/>
        <v>#DIV/0!</v>
      </c>
      <c r="AA20" s="283">
        <f>'Mg St LP'!P70</f>
        <v>0</v>
      </c>
      <c r="AB20" s="284" t="str">
        <f t="shared" si="57"/>
        <v>#DIV/0!</v>
      </c>
      <c r="AC20" s="232">
        <f>'Mg St LP'!R70</f>
        <v>0</v>
      </c>
      <c r="AD20" s="285" t="str">
        <f t="shared" si="58"/>
        <v>#DIV/0!</v>
      </c>
      <c r="AE20" s="283">
        <f>'Mg St Bandra'!P70</f>
        <v>0</v>
      </c>
      <c r="AF20" s="284" t="str">
        <f t="shared" si="59"/>
        <v>#DIV/0!</v>
      </c>
      <c r="AG20" s="232">
        <f>'Mg St Bandra'!R70</f>
        <v>0</v>
      </c>
      <c r="AH20" s="286" t="str">
        <f t="shared" si="60"/>
        <v>#DIV/0!</v>
      </c>
      <c r="AI20" s="287">
        <f>'MSK Events'!P70</f>
        <v>0</v>
      </c>
      <c r="AJ20" s="284" t="str">
        <f t="shared" si="61"/>
        <v>#DIV/0!</v>
      </c>
      <c r="AK20" s="232">
        <f>'MSK Events'!R70</f>
        <v>0</v>
      </c>
      <c r="AL20" s="285" t="str">
        <f t="shared" si="62"/>
        <v>#DIV/0!</v>
      </c>
      <c r="AM20" s="283">
        <f>MSBC!P61</f>
        <v>0</v>
      </c>
      <c r="AN20" s="284" t="str">
        <f t="shared" si="63"/>
        <v>#DIV/0!</v>
      </c>
      <c r="AO20" s="232">
        <f>MSBC!R61</f>
        <v>0</v>
      </c>
      <c r="AP20" s="285" t="str">
        <f t="shared" si="64"/>
        <v>#DIV/0!</v>
      </c>
      <c r="AQ20" s="283">
        <f>Kaspers!P65</f>
        <v>0</v>
      </c>
      <c r="AR20" s="229"/>
      <c r="AS20" s="232">
        <f>Kaspers!R65</f>
        <v>0</v>
      </c>
      <c r="AT20" s="281"/>
      <c r="AU20" s="283">
        <f>'MSBC Andheri'!P70</f>
        <v>0</v>
      </c>
      <c r="AV20" s="229"/>
      <c r="AW20" s="232">
        <f>'MSBC Andheri'!R70</f>
        <v>0</v>
      </c>
      <c r="AX20" s="281"/>
      <c r="AY20" s="283">
        <f>'MSBC Dahisar'!P57</f>
        <v>0</v>
      </c>
      <c r="AZ20" s="229"/>
      <c r="BA20" s="232">
        <f>'MSBC Dahisar'!R57</f>
        <v>0</v>
      </c>
      <c r="BB20" s="281"/>
      <c r="BC20" s="283">
        <f>'MSBC Juhu  Goregoan'!P72</f>
        <v>0</v>
      </c>
      <c r="BD20" s="229"/>
      <c r="BE20" s="232">
        <f>'MSBC Juhu  Goregoan'!R72</f>
        <v>0</v>
      </c>
      <c r="BF20" s="281"/>
      <c r="BG20" s="283">
        <f>'LOUD MOUTH'!P54</f>
        <v>0</v>
      </c>
      <c r="BH20" s="229"/>
      <c r="BI20" s="232">
        <f>'LOUD MOUTH'!R54</f>
        <v>0</v>
      </c>
      <c r="BJ20" s="281"/>
    </row>
    <row r="21" ht="15.75" customHeight="1">
      <c r="B21" s="274" t="s">
        <v>35</v>
      </c>
      <c r="C21" s="275">
        <f t="shared" si="43"/>
        <v>0</v>
      </c>
      <c r="D21" s="276" t="str">
        <f t="shared" si="44"/>
        <v>#DIV/0!</v>
      </c>
      <c r="E21" s="277" t="str">
        <f t="shared" si="45"/>
        <v>#REF!</v>
      </c>
      <c r="F21" s="278" t="str">
        <f t="shared" si="46"/>
        <v>#REF!</v>
      </c>
      <c r="G21" s="283">
        <f>HO!P63</f>
        <v>0</v>
      </c>
      <c r="H21" s="229"/>
      <c r="I21" s="232">
        <f>HO!R63</f>
        <v>0</v>
      </c>
      <c r="J21" s="281"/>
      <c r="K21" s="282">
        <f t="shared" si="47"/>
        <v>0</v>
      </c>
      <c r="L21" s="276" t="str">
        <f t="shared" si="48"/>
        <v>#DIV/0!</v>
      </c>
      <c r="M21" s="277" t="str">
        <f t="shared" si="49"/>
        <v>#REF!</v>
      </c>
      <c r="N21" s="278" t="str">
        <f t="shared" si="50"/>
        <v>#REF!</v>
      </c>
      <c r="O21" s="283">
        <f>'The Table'!P69</f>
        <v>0</v>
      </c>
      <c r="P21" s="284" t="str">
        <f t="shared" si="51"/>
        <v>#DIV/0!</v>
      </c>
      <c r="Q21" s="232">
        <f>'The Table'!R69</f>
        <v>0</v>
      </c>
      <c r="R21" s="285" t="str">
        <f t="shared" si="52"/>
        <v>#DIV/0!</v>
      </c>
      <c r="S21" s="283">
        <f>Iktara!P64</f>
        <v>0</v>
      </c>
      <c r="T21" s="284" t="str">
        <f t="shared" si="53"/>
        <v>#DIV/0!</v>
      </c>
      <c r="U21" s="232" t="str">
        <f>Iktara!R64</f>
        <v/>
      </c>
      <c r="V21" s="285" t="str">
        <f t="shared" si="54"/>
        <v>#DIV/0!</v>
      </c>
      <c r="W21" s="283">
        <f>'Mg St Colaba'!P81</f>
        <v>0</v>
      </c>
      <c r="X21" s="284" t="str">
        <f t="shared" si="55"/>
        <v>#DIV/0!</v>
      </c>
      <c r="Y21" s="232" t="str">
        <f>'Mg St Colaba'!R81</f>
        <v>#REF!</v>
      </c>
      <c r="Z21" s="285" t="str">
        <f t="shared" si="56"/>
        <v>#REF!</v>
      </c>
      <c r="AA21" s="283">
        <f>'Mg St LP'!P83</f>
        <v>0</v>
      </c>
      <c r="AB21" s="284" t="str">
        <f t="shared" si="57"/>
        <v>#DIV/0!</v>
      </c>
      <c r="AC21" s="232">
        <f>'Mg St LP'!R83</f>
        <v>0</v>
      </c>
      <c r="AD21" s="285" t="str">
        <f t="shared" si="58"/>
        <v>#DIV/0!</v>
      </c>
      <c r="AE21" s="283">
        <f>'Mg St Bandra'!P81</f>
        <v>0</v>
      </c>
      <c r="AF21" s="284" t="str">
        <f t="shared" si="59"/>
        <v>#DIV/0!</v>
      </c>
      <c r="AG21" s="232">
        <f>'Mg St Bandra'!R81</f>
        <v>0</v>
      </c>
      <c r="AH21" s="286" t="str">
        <f t="shared" si="60"/>
        <v>#DIV/0!</v>
      </c>
      <c r="AI21" s="287">
        <f>'MSK Events'!P77</f>
        <v>0</v>
      </c>
      <c r="AJ21" s="284" t="str">
        <f t="shared" si="61"/>
        <v>#DIV/0!</v>
      </c>
      <c r="AK21" s="232">
        <f>'MSK Events'!R77</f>
        <v>0</v>
      </c>
      <c r="AL21" s="285" t="str">
        <f t="shared" si="62"/>
        <v>#DIV/0!</v>
      </c>
      <c r="AM21" s="283">
        <f>MSBC!P69</f>
        <v>0</v>
      </c>
      <c r="AN21" s="284" t="str">
        <f t="shared" si="63"/>
        <v>#DIV/0!</v>
      </c>
      <c r="AO21" s="232">
        <f>MSBC!R69</f>
        <v>0</v>
      </c>
      <c r="AP21" s="285" t="str">
        <f t="shared" si="64"/>
        <v>#DIV/0!</v>
      </c>
      <c r="AQ21" s="283">
        <f>Kaspers!P73</f>
        <v>0</v>
      </c>
      <c r="AR21" s="229"/>
      <c r="AS21" s="232">
        <f>Kaspers!R73</f>
        <v>0</v>
      </c>
      <c r="AT21" s="281"/>
      <c r="AU21" s="283">
        <f>'MSBC Andheri'!P78</f>
        <v>0</v>
      </c>
      <c r="AV21" s="229"/>
      <c r="AW21" s="232">
        <f>'MSBC Andheri'!R78</f>
        <v>0</v>
      </c>
      <c r="AX21" s="281"/>
      <c r="AY21" s="283">
        <f>'MSBC Dahisar'!P65</f>
        <v>0</v>
      </c>
      <c r="AZ21" s="229"/>
      <c r="BA21" s="232">
        <f>'MSBC Dahisar'!R65</f>
        <v>0</v>
      </c>
      <c r="BB21" s="281"/>
      <c r="BC21" s="283">
        <f>'MSBC Juhu  Goregoan'!P80</f>
        <v>0</v>
      </c>
      <c r="BD21" s="229"/>
      <c r="BE21" s="232">
        <f>'MSBC Juhu  Goregoan'!R80</f>
        <v>0</v>
      </c>
      <c r="BF21" s="281"/>
      <c r="BG21" s="283">
        <f>'LOUD MOUTH'!P63</f>
        <v>0</v>
      </c>
      <c r="BH21" s="229"/>
      <c r="BI21" s="232">
        <f>'LOUD MOUTH'!R63</f>
        <v>0</v>
      </c>
      <c r="BJ21" s="281"/>
    </row>
    <row r="22" ht="15.75" customHeight="1">
      <c r="B22" s="274" t="s">
        <v>36</v>
      </c>
      <c r="C22" s="275">
        <f t="shared" si="43"/>
        <v>0</v>
      </c>
      <c r="D22" s="276" t="str">
        <f t="shared" si="44"/>
        <v>#DIV/0!</v>
      </c>
      <c r="E22" s="277">
        <f t="shared" si="45"/>
        <v>0</v>
      </c>
      <c r="F22" s="278" t="str">
        <f t="shared" si="46"/>
        <v>#DIV/0!</v>
      </c>
      <c r="G22" s="283">
        <f>HO!P70</f>
        <v>0</v>
      </c>
      <c r="H22" s="229"/>
      <c r="I22" s="232">
        <f>HO!R70</f>
        <v>0</v>
      </c>
      <c r="J22" s="281"/>
      <c r="K22" s="282">
        <f t="shared" si="47"/>
        <v>0</v>
      </c>
      <c r="L22" s="276" t="str">
        <f t="shared" si="48"/>
        <v>#DIV/0!</v>
      </c>
      <c r="M22" s="277">
        <f t="shared" si="49"/>
        <v>0</v>
      </c>
      <c r="N22" s="278" t="str">
        <f t="shared" si="50"/>
        <v>#DIV/0!</v>
      </c>
      <c r="O22" s="283">
        <f>'The Table'!P75</f>
        <v>0</v>
      </c>
      <c r="P22" s="284" t="str">
        <f t="shared" si="51"/>
        <v>#DIV/0!</v>
      </c>
      <c r="Q22" s="232">
        <f>'The Table'!R75</f>
        <v>0</v>
      </c>
      <c r="R22" s="285" t="str">
        <f t="shared" si="52"/>
        <v>#DIV/0!</v>
      </c>
      <c r="S22" s="283">
        <f>Iktara!P70</f>
        <v>0</v>
      </c>
      <c r="T22" s="284" t="str">
        <f t="shared" si="53"/>
        <v>#DIV/0!</v>
      </c>
      <c r="U22" s="232" t="str">
        <f>Iktara!R70</f>
        <v/>
      </c>
      <c r="V22" s="285" t="str">
        <f t="shared" si="54"/>
        <v>#DIV/0!</v>
      </c>
      <c r="W22" s="283">
        <f>'Mg St Colaba'!P88</f>
        <v>0</v>
      </c>
      <c r="X22" s="284" t="str">
        <f t="shared" si="55"/>
        <v>#DIV/0!</v>
      </c>
      <c r="Y22" s="232">
        <f>'Mg St Colaba'!R88</f>
        <v>0</v>
      </c>
      <c r="Z22" s="285" t="str">
        <f t="shared" si="56"/>
        <v>#DIV/0!</v>
      </c>
      <c r="AA22" s="283">
        <f>'Mg St LP'!P90</f>
        <v>0</v>
      </c>
      <c r="AB22" s="284" t="str">
        <f t="shared" si="57"/>
        <v>#DIV/0!</v>
      </c>
      <c r="AC22" s="232">
        <f>'Mg St LP'!R90</f>
        <v>0</v>
      </c>
      <c r="AD22" s="285" t="str">
        <f t="shared" si="58"/>
        <v>#DIV/0!</v>
      </c>
      <c r="AE22" s="283">
        <f>'Mg St Bandra'!P88</f>
        <v>0</v>
      </c>
      <c r="AF22" s="284" t="str">
        <f t="shared" si="59"/>
        <v>#DIV/0!</v>
      </c>
      <c r="AG22" s="232">
        <f>'Mg St Bandra'!R88</f>
        <v>0</v>
      </c>
      <c r="AH22" s="286" t="str">
        <f t="shared" si="60"/>
        <v>#DIV/0!</v>
      </c>
      <c r="AI22" s="287">
        <f>'MSK Events'!P84</f>
        <v>0</v>
      </c>
      <c r="AJ22" s="284" t="str">
        <f t="shared" si="61"/>
        <v>#DIV/0!</v>
      </c>
      <c r="AK22" s="232">
        <f>'MSK Events'!R84</f>
        <v>0</v>
      </c>
      <c r="AL22" s="285" t="str">
        <f t="shared" si="62"/>
        <v>#DIV/0!</v>
      </c>
      <c r="AM22" s="283">
        <f>MSBC!P75</f>
        <v>0</v>
      </c>
      <c r="AN22" s="284" t="str">
        <f t="shared" si="63"/>
        <v>#DIV/0!</v>
      </c>
      <c r="AO22" s="232">
        <f>MSBC!R75</f>
        <v>0</v>
      </c>
      <c r="AP22" s="285" t="str">
        <f t="shared" si="64"/>
        <v>#DIV/0!</v>
      </c>
      <c r="AQ22" s="283">
        <f>Kaspers!P80</f>
        <v>0</v>
      </c>
      <c r="AR22" s="229"/>
      <c r="AS22" s="232">
        <f>Kaspers!R80</f>
        <v>0</v>
      </c>
      <c r="AT22" s="281"/>
      <c r="AU22" s="283">
        <f>'MSBC Andheri'!P87</f>
        <v>0</v>
      </c>
      <c r="AV22" s="229"/>
      <c r="AW22" s="232">
        <f>'MSBC Andheri'!R87</f>
        <v>0</v>
      </c>
      <c r="AX22" s="281"/>
      <c r="AY22" s="283">
        <f>'MSBC Dahisar'!P74</f>
        <v>0</v>
      </c>
      <c r="AZ22" s="229"/>
      <c r="BA22" s="232">
        <f>'MSBC Dahisar'!R74</f>
        <v>0</v>
      </c>
      <c r="BB22" s="281"/>
      <c r="BC22" s="283">
        <f>'MSBC Juhu  Goregoan'!P87</f>
        <v>0</v>
      </c>
      <c r="BD22" s="229"/>
      <c r="BE22" s="232">
        <v>0.0</v>
      </c>
      <c r="BF22" s="281"/>
      <c r="BG22" s="283">
        <f>'LOUD MOUTH'!P70</f>
        <v>0</v>
      </c>
      <c r="BH22" s="229"/>
      <c r="BI22" s="232">
        <f>'LOUD MOUTH'!R70</f>
        <v>0</v>
      </c>
      <c r="BJ22" s="281"/>
    </row>
    <row r="23" ht="15.75" customHeight="1">
      <c r="B23" s="274" t="s">
        <v>37</v>
      </c>
      <c r="C23" s="275">
        <f t="shared" si="43"/>
        <v>0</v>
      </c>
      <c r="D23" s="276" t="str">
        <f t="shared" si="44"/>
        <v>#DIV/0!</v>
      </c>
      <c r="E23" s="277">
        <f t="shared" si="45"/>
        <v>0</v>
      </c>
      <c r="F23" s="278" t="str">
        <f t="shared" si="46"/>
        <v>#DIV/0!</v>
      </c>
      <c r="G23" s="283">
        <f>HO!P76</f>
        <v>0</v>
      </c>
      <c r="H23" s="229"/>
      <c r="I23" s="232">
        <f>HO!R76</f>
        <v>0</v>
      </c>
      <c r="J23" s="281"/>
      <c r="K23" s="282">
        <f t="shared" si="47"/>
        <v>0</v>
      </c>
      <c r="L23" s="276" t="str">
        <f t="shared" si="48"/>
        <v>#DIV/0!</v>
      </c>
      <c r="M23" s="277">
        <f t="shared" si="49"/>
        <v>0</v>
      </c>
      <c r="N23" s="278" t="str">
        <f t="shared" si="50"/>
        <v>#DIV/0!</v>
      </c>
      <c r="O23" s="283">
        <f>'The Table'!P81</f>
        <v>0</v>
      </c>
      <c r="P23" s="284" t="str">
        <f t="shared" si="51"/>
        <v>#DIV/0!</v>
      </c>
      <c r="Q23" s="232">
        <f>'The Table'!R81</f>
        <v>0</v>
      </c>
      <c r="R23" s="285" t="str">
        <f t="shared" si="52"/>
        <v>#DIV/0!</v>
      </c>
      <c r="S23" s="283">
        <f>Iktara!P76</f>
        <v>0</v>
      </c>
      <c r="T23" s="284" t="str">
        <f t="shared" si="53"/>
        <v>#DIV/0!</v>
      </c>
      <c r="U23" s="232">
        <f>Iktara!R76</f>
        <v>0</v>
      </c>
      <c r="V23" s="285" t="str">
        <f t="shared" si="54"/>
        <v>#DIV/0!</v>
      </c>
      <c r="W23" s="283">
        <f>'Mg St Colaba'!P94</f>
        <v>0</v>
      </c>
      <c r="X23" s="284" t="str">
        <f t="shared" si="55"/>
        <v>#DIV/0!</v>
      </c>
      <c r="Y23" s="232">
        <f>'Mg St Colaba'!R94</f>
        <v>0</v>
      </c>
      <c r="Z23" s="285" t="str">
        <f t="shared" si="56"/>
        <v>#DIV/0!</v>
      </c>
      <c r="AA23" s="283">
        <f>'Mg St LP'!P97</f>
        <v>0</v>
      </c>
      <c r="AB23" s="284" t="str">
        <f t="shared" si="57"/>
        <v>#DIV/0!</v>
      </c>
      <c r="AC23" s="232">
        <f>'Mg St LP'!R97</f>
        <v>0</v>
      </c>
      <c r="AD23" s="285" t="str">
        <f t="shared" si="58"/>
        <v>#DIV/0!</v>
      </c>
      <c r="AE23" s="283">
        <f>'Mg St Bandra'!P96</f>
        <v>0</v>
      </c>
      <c r="AF23" s="284" t="str">
        <f t="shared" si="59"/>
        <v>#DIV/0!</v>
      </c>
      <c r="AG23" s="232">
        <f>'Mg St Bandra'!R96</f>
        <v>0</v>
      </c>
      <c r="AH23" s="286" t="str">
        <f t="shared" si="60"/>
        <v>#DIV/0!</v>
      </c>
      <c r="AI23" s="287">
        <f>'MSK Events'!P90</f>
        <v>0</v>
      </c>
      <c r="AJ23" s="284" t="str">
        <f t="shared" si="61"/>
        <v>#DIV/0!</v>
      </c>
      <c r="AK23" s="232">
        <f>'MSK Events'!R90</f>
        <v>0</v>
      </c>
      <c r="AL23" s="285" t="str">
        <f t="shared" si="62"/>
        <v>#DIV/0!</v>
      </c>
      <c r="AM23" s="283">
        <f>MSBC!P81</f>
        <v>0</v>
      </c>
      <c r="AN23" s="284" t="str">
        <f t="shared" si="63"/>
        <v>#DIV/0!</v>
      </c>
      <c r="AO23" s="232">
        <f>MSBC!R81</f>
        <v>0</v>
      </c>
      <c r="AP23" s="285" t="str">
        <f t="shared" si="64"/>
        <v>#DIV/0!</v>
      </c>
      <c r="AQ23" s="283">
        <f>Kaspers!P86</f>
        <v>0</v>
      </c>
      <c r="AR23" s="229"/>
      <c r="AS23" s="232">
        <f>Kaspers!R86</f>
        <v>0</v>
      </c>
      <c r="AT23" s="281"/>
      <c r="AU23" s="283">
        <f>'MSBC Andheri'!P93</f>
        <v>0</v>
      </c>
      <c r="AV23" s="229"/>
      <c r="AW23" s="232">
        <f>'MSBC Andheri'!R93</f>
        <v>0</v>
      </c>
      <c r="AX23" s="281"/>
      <c r="AY23" s="283">
        <f>'MSBC Dahisar'!P80</f>
        <v>0</v>
      </c>
      <c r="AZ23" s="229"/>
      <c r="BA23" s="232">
        <f>'MSBC Dahisar'!R80</f>
        <v>0</v>
      </c>
      <c r="BB23" s="281"/>
      <c r="BC23" s="283">
        <f>'MSBC Juhu  Goregoan'!P93</f>
        <v>0</v>
      </c>
      <c r="BD23" s="229"/>
      <c r="BE23" s="232">
        <v>0.0</v>
      </c>
      <c r="BF23" s="281"/>
      <c r="BG23" s="283">
        <f>'LOUD MOUTH'!P77</f>
        <v>0</v>
      </c>
      <c r="BH23" s="229"/>
      <c r="BI23" s="232">
        <f>'LOUD MOUTH'!R77</f>
        <v>0</v>
      </c>
      <c r="BJ23" s="281"/>
    </row>
    <row r="24" ht="15.75" customHeight="1">
      <c r="B24" s="274" t="s">
        <v>38</v>
      </c>
      <c r="C24" s="275">
        <f t="shared" si="43"/>
        <v>0</v>
      </c>
      <c r="D24" s="276" t="str">
        <f t="shared" si="44"/>
        <v>#DIV/0!</v>
      </c>
      <c r="E24" s="277">
        <f t="shared" si="45"/>
        <v>0</v>
      </c>
      <c r="F24" s="278" t="str">
        <f t="shared" si="46"/>
        <v>#DIV/0!</v>
      </c>
      <c r="G24" s="283">
        <f>HO!P87</f>
        <v>0</v>
      </c>
      <c r="H24" s="229"/>
      <c r="I24" s="232">
        <f>HO!R87</f>
        <v>0</v>
      </c>
      <c r="J24" s="281"/>
      <c r="K24" s="282">
        <f t="shared" si="47"/>
        <v>0</v>
      </c>
      <c r="L24" s="276" t="str">
        <f t="shared" si="48"/>
        <v>#DIV/0!</v>
      </c>
      <c r="M24" s="277">
        <f t="shared" si="49"/>
        <v>0</v>
      </c>
      <c r="N24" s="278" t="str">
        <f t="shared" si="50"/>
        <v>#DIV/0!</v>
      </c>
      <c r="O24" s="283">
        <f>'The Table'!P92</f>
        <v>0</v>
      </c>
      <c r="P24" s="284" t="str">
        <f t="shared" si="51"/>
        <v>#DIV/0!</v>
      </c>
      <c r="Q24" s="232">
        <f>'The Table'!R92</f>
        <v>0</v>
      </c>
      <c r="R24" s="285" t="str">
        <f t="shared" si="52"/>
        <v>#DIV/0!</v>
      </c>
      <c r="S24" s="283">
        <f>Iktara!P86</f>
        <v>0</v>
      </c>
      <c r="T24" s="284" t="str">
        <f t="shared" si="53"/>
        <v>#DIV/0!</v>
      </c>
      <c r="U24" s="232">
        <f>Iktara!R86</f>
        <v>0</v>
      </c>
      <c r="V24" s="285" t="str">
        <f t="shared" si="54"/>
        <v>#DIV/0!</v>
      </c>
      <c r="W24" s="283">
        <f>'Mg St Colaba'!P104</f>
        <v>0</v>
      </c>
      <c r="X24" s="284" t="str">
        <f t="shared" si="55"/>
        <v>#DIV/0!</v>
      </c>
      <c r="Y24" s="232">
        <f>'Mg St Colaba'!R104</f>
        <v>0</v>
      </c>
      <c r="Z24" s="285" t="str">
        <f t="shared" si="56"/>
        <v>#DIV/0!</v>
      </c>
      <c r="AA24" s="283">
        <f>'Mg St LP'!P107</f>
        <v>0</v>
      </c>
      <c r="AB24" s="284" t="str">
        <f t="shared" si="57"/>
        <v>#DIV/0!</v>
      </c>
      <c r="AC24" s="232">
        <f>'Mg St LP'!R107</f>
        <v>0</v>
      </c>
      <c r="AD24" s="285" t="str">
        <f t="shared" si="58"/>
        <v>#DIV/0!</v>
      </c>
      <c r="AE24" s="283">
        <f>'Mg St Bandra'!P107</f>
        <v>0</v>
      </c>
      <c r="AF24" s="284" t="str">
        <f t="shared" si="59"/>
        <v>#DIV/0!</v>
      </c>
      <c r="AG24" s="232">
        <f>'Mg St Bandra'!R107</f>
        <v>0</v>
      </c>
      <c r="AH24" s="286" t="str">
        <f t="shared" si="60"/>
        <v>#DIV/0!</v>
      </c>
      <c r="AI24" s="287">
        <f>'MSK Events'!P100</f>
        <v>0</v>
      </c>
      <c r="AJ24" s="284" t="str">
        <f t="shared" si="61"/>
        <v>#DIV/0!</v>
      </c>
      <c r="AK24" s="232">
        <f>'MSK Events'!R100</f>
        <v>0</v>
      </c>
      <c r="AL24" s="285" t="str">
        <f t="shared" si="62"/>
        <v>#DIV/0!</v>
      </c>
      <c r="AM24" s="283">
        <f>MSBC!P92</f>
        <v>0</v>
      </c>
      <c r="AN24" s="284" t="str">
        <f t="shared" si="63"/>
        <v>#DIV/0!</v>
      </c>
      <c r="AO24" s="232">
        <f>MSBC!R92</f>
        <v>0</v>
      </c>
      <c r="AP24" s="285" t="str">
        <f t="shared" si="64"/>
        <v>#DIV/0!</v>
      </c>
      <c r="AQ24" s="283">
        <f>Kaspers!P97</f>
        <v>0</v>
      </c>
      <c r="AR24" s="229"/>
      <c r="AS24" s="232">
        <f>Kaspers!R97</f>
        <v>0</v>
      </c>
      <c r="AT24" s="281"/>
      <c r="AU24" s="283">
        <f>'MSBC Andheri'!P103</f>
        <v>0</v>
      </c>
      <c r="AV24" s="229"/>
      <c r="AW24" s="232">
        <f>'MSBC Andheri'!R103</f>
        <v>0</v>
      </c>
      <c r="AX24" s="281"/>
      <c r="AY24" s="283">
        <f>'MSBC Dahisar'!P90</f>
        <v>0</v>
      </c>
      <c r="AZ24" s="229"/>
      <c r="BA24" s="232">
        <f>'MSBC Dahisar'!R90</f>
        <v>0</v>
      </c>
      <c r="BB24" s="281"/>
      <c r="BC24" s="283">
        <f>'MSBC Juhu  Goregoan'!P103</f>
        <v>0</v>
      </c>
      <c r="BD24" s="229"/>
      <c r="BE24" s="232">
        <f>'MSBC Juhu  Goregoan'!R103</f>
        <v>0</v>
      </c>
      <c r="BF24" s="281"/>
      <c r="BG24" s="283">
        <f>'LOUD MOUTH'!P89</f>
        <v>0</v>
      </c>
      <c r="BH24" s="229"/>
      <c r="BI24" s="232">
        <f>'LOUD MOUTH'!R89</f>
        <v>0</v>
      </c>
      <c r="BJ24" s="281"/>
    </row>
    <row r="25" ht="15.75" customHeight="1">
      <c r="B25" s="274" t="s">
        <v>39</v>
      </c>
      <c r="C25" s="275">
        <f t="shared" si="43"/>
        <v>0</v>
      </c>
      <c r="D25" s="276" t="str">
        <f t="shared" si="44"/>
        <v>#DIV/0!</v>
      </c>
      <c r="E25" s="277">
        <f t="shared" si="45"/>
        <v>0</v>
      </c>
      <c r="F25" s="278" t="str">
        <f t="shared" si="46"/>
        <v>#DIV/0!</v>
      </c>
      <c r="G25" s="283">
        <f>HO!P94</f>
        <v>0</v>
      </c>
      <c r="H25" s="229"/>
      <c r="I25" s="232">
        <f>HO!R94</f>
        <v>0</v>
      </c>
      <c r="J25" s="281"/>
      <c r="K25" s="282">
        <f t="shared" si="47"/>
        <v>0</v>
      </c>
      <c r="L25" s="276" t="str">
        <f t="shared" si="48"/>
        <v>#DIV/0!</v>
      </c>
      <c r="M25" s="277">
        <f t="shared" si="49"/>
        <v>0</v>
      </c>
      <c r="N25" s="278" t="str">
        <f t="shared" si="50"/>
        <v>#DIV/0!</v>
      </c>
      <c r="O25" s="283">
        <f>'The Table'!P95</f>
        <v>0</v>
      </c>
      <c r="P25" s="284" t="str">
        <f t="shared" si="51"/>
        <v>#DIV/0!</v>
      </c>
      <c r="Q25" s="232">
        <f>'The Table'!R95</f>
        <v>0</v>
      </c>
      <c r="R25" s="285" t="str">
        <f t="shared" si="52"/>
        <v>#DIV/0!</v>
      </c>
      <c r="S25" s="283">
        <f>Iktara!P89</f>
        <v>0</v>
      </c>
      <c r="T25" s="284" t="str">
        <f t="shared" si="53"/>
        <v>#DIV/0!</v>
      </c>
      <c r="U25" s="232">
        <f>Iktara!R89</f>
        <v>0</v>
      </c>
      <c r="V25" s="285" t="str">
        <f t="shared" si="54"/>
        <v>#DIV/0!</v>
      </c>
      <c r="W25" s="283">
        <f>'Mg St Colaba'!P107</f>
        <v>0</v>
      </c>
      <c r="X25" s="284" t="str">
        <f t="shared" si="55"/>
        <v>#DIV/0!</v>
      </c>
      <c r="Y25" s="232" t="str">
        <f>'Mg St Colaba'!R107</f>
        <v/>
      </c>
      <c r="Z25" s="285" t="str">
        <f t="shared" si="56"/>
        <v>#DIV/0!</v>
      </c>
      <c r="AA25" s="283">
        <f>'Mg St LP'!P110</f>
        <v>0</v>
      </c>
      <c r="AB25" s="284" t="str">
        <f t="shared" si="57"/>
        <v>#DIV/0!</v>
      </c>
      <c r="AC25" s="232">
        <f>'Mg St LP'!R110</f>
        <v>0</v>
      </c>
      <c r="AD25" s="285" t="str">
        <f t="shared" si="58"/>
        <v>#DIV/0!</v>
      </c>
      <c r="AE25" s="283">
        <f>'Mg St Bandra'!P110</f>
        <v>0</v>
      </c>
      <c r="AF25" s="284" t="str">
        <f t="shared" si="59"/>
        <v>#DIV/0!</v>
      </c>
      <c r="AG25" s="232">
        <f>'Mg St Bandra'!R110</f>
        <v>0</v>
      </c>
      <c r="AH25" s="286" t="str">
        <f t="shared" si="60"/>
        <v>#DIV/0!</v>
      </c>
      <c r="AI25" s="287">
        <f>'MSK Events'!P103</f>
        <v>0</v>
      </c>
      <c r="AJ25" s="284" t="str">
        <f t="shared" si="61"/>
        <v>#DIV/0!</v>
      </c>
      <c r="AK25" s="232">
        <f>'MSK Events'!R103</f>
        <v>0</v>
      </c>
      <c r="AL25" s="285" t="str">
        <f t="shared" si="62"/>
        <v>#DIV/0!</v>
      </c>
      <c r="AM25" s="283">
        <f>MSBC!P95</f>
        <v>0</v>
      </c>
      <c r="AN25" s="284" t="str">
        <f t="shared" si="63"/>
        <v>#DIV/0!</v>
      </c>
      <c r="AO25" s="232">
        <f>MSBC!R95</f>
        <v>0</v>
      </c>
      <c r="AP25" s="285" t="str">
        <f t="shared" si="64"/>
        <v>#DIV/0!</v>
      </c>
      <c r="AQ25" s="283">
        <f>Kaspers!P100</f>
        <v>0</v>
      </c>
      <c r="AR25" s="229"/>
      <c r="AS25" s="232">
        <f>Kaspers!R100</f>
        <v>0</v>
      </c>
      <c r="AT25" s="281"/>
      <c r="AU25" s="283">
        <f>'MSBC Andheri'!P106</f>
        <v>0</v>
      </c>
      <c r="AV25" s="229"/>
      <c r="AW25" s="232">
        <f>'MSBC Andheri'!R106</f>
        <v>0</v>
      </c>
      <c r="AX25" s="281"/>
      <c r="AY25" s="283">
        <f>'MSBC Dahisar'!P93</f>
        <v>0</v>
      </c>
      <c r="AZ25" s="229"/>
      <c r="BA25" s="232">
        <f>'MSBC Dahisar'!R93</f>
        <v>0</v>
      </c>
      <c r="BB25" s="281"/>
      <c r="BC25" s="283">
        <f>'MSBC Juhu  Goregoan'!P106</f>
        <v>0</v>
      </c>
      <c r="BD25" s="229"/>
      <c r="BE25" s="232">
        <f>'MSBC Juhu  Goregoan'!R106</f>
        <v>0</v>
      </c>
      <c r="BF25" s="281"/>
      <c r="BG25" s="283">
        <f>'LOUD MOUTH'!P92</f>
        <v>0</v>
      </c>
      <c r="BH25" s="229"/>
      <c r="BI25" s="232">
        <f>'LOUD MOUTH'!R92</f>
        <v>0</v>
      </c>
      <c r="BJ25" s="281"/>
    </row>
    <row r="26" ht="15.75" customHeight="1">
      <c r="B26" s="274" t="s">
        <v>40</v>
      </c>
      <c r="C26" s="275">
        <f t="shared" si="43"/>
        <v>0</v>
      </c>
      <c r="D26" s="276" t="str">
        <f t="shared" si="44"/>
        <v>#DIV/0!</v>
      </c>
      <c r="E26" s="277">
        <f t="shared" si="45"/>
        <v>0</v>
      </c>
      <c r="F26" s="278" t="str">
        <f t="shared" si="46"/>
        <v>#DIV/0!</v>
      </c>
      <c r="G26" s="283">
        <f>HO!P98</f>
        <v>0</v>
      </c>
      <c r="H26" s="229"/>
      <c r="I26" s="232">
        <f>HO!R98</f>
        <v>0</v>
      </c>
      <c r="J26" s="281"/>
      <c r="K26" s="282">
        <f t="shared" si="47"/>
        <v>0</v>
      </c>
      <c r="L26" s="276" t="str">
        <f t="shared" si="48"/>
        <v>#DIV/0!</v>
      </c>
      <c r="M26" s="277">
        <f t="shared" si="49"/>
        <v>0</v>
      </c>
      <c r="N26" s="278" t="str">
        <f t="shared" si="50"/>
        <v>#DIV/0!</v>
      </c>
      <c r="O26" s="283">
        <f>'The Table'!P99+'The Table'!P106+'The Table'!P112+'The Table'!P114+'The Table'!P116+'The Table'!P118+'The Table'!P120</f>
        <v>0</v>
      </c>
      <c r="P26" s="284" t="str">
        <f t="shared" si="51"/>
        <v>#DIV/0!</v>
      </c>
      <c r="Q26" s="232">
        <f>'The Table'!R99+'The Table'!R106+'The Table'!R112+'The Table'!R114+'The Table'!R116+'The Table'!R118+'The Table'!R120</f>
        <v>0</v>
      </c>
      <c r="R26" s="285" t="str">
        <f t="shared" si="52"/>
        <v>#DIV/0!</v>
      </c>
      <c r="S26" s="283">
        <f>Iktara!P93</f>
        <v>0</v>
      </c>
      <c r="T26" s="284" t="str">
        <f t="shared" si="53"/>
        <v>#DIV/0!</v>
      </c>
      <c r="U26" s="232">
        <f>Iktara!R93</f>
        <v>0</v>
      </c>
      <c r="V26" s="285" t="str">
        <f t="shared" si="54"/>
        <v>#DIV/0!</v>
      </c>
      <c r="W26" s="283">
        <f>'Mg St Colaba'!P111</f>
        <v>0</v>
      </c>
      <c r="X26" s="284" t="str">
        <f t="shared" si="55"/>
        <v>#DIV/0!</v>
      </c>
      <c r="Y26" s="232" t="str">
        <f>'Mg St Colaba'!R111</f>
        <v/>
      </c>
      <c r="Z26" s="285" t="str">
        <f t="shared" si="56"/>
        <v>#DIV/0!</v>
      </c>
      <c r="AA26" s="283">
        <f>'Mg St LP'!P114</f>
        <v>0</v>
      </c>
      <c r="AB26" s="284" t="str">
        <f t="shared" si="57"/>
        <v>#DIV/0!</v>
      </c>
      <c r="AC26" s="232">
        <f>'Mg St LP'!R114</f>
        <v>0</v>
      </c>
      <c r="AD26" s="285" t="str">
        <f t="shared" si="58"/>
        <v>#DIV/0!</v>
      </c>
      <c r="AE26" s="283">
        <f>'Mg St Bandra'!P114</f>
        <v>0</v>
      </c>
      <c r="AF26" s="284" t="str">
        <f t="shared" si="59"/>
        <v>#DIV/0!</v>
      </c>
      <c r="AG26" s="232">
        <f>'Mg St Bandra'!R114</f>
        <v>0</v>
      </c>
      <c r="AH26" s="286" t="str">
        <f t="shared" si="60"/>
        <v>#DIV/0!</v>
      </c>
      <c r="AI26" s="287">
        <f>'MSK Events'!P107</f>
        <v>0</v>
      </c>
      <c r="AJ26" s="284" t="str">
        <f t="shared" si="61"/>
        <v>#DIV/0!</v>
      </c>
      <c r="AK26" s="232">
        <f>'MSK Events'!R107</f>
        <v>0</v>
      </c>
      <c r="AL26" s="285" t="str">
        <f t="shared" si="62"/>
        <v>#DIV/0!</v>
      </c>
      <c r="AM26" s="283">
        <f>MSBC!P99</f>
        <v>0</v>
      </c>
      <c r="AN26" s="284" t="str">
        <f t="shared" si="63"/>
        <v>#DIV/0!</v>
      </c>
      <c r="AO26" s="232">
        <f>MSBC!R99</f>
        <v>0</v>
      </c>
      <c r="AP26" s="285" t="str">
        <f t="shared" si="64"/>
        <v>#DIV/0!</v>
      </c>
      <c r="AQ26" s="283">
        <f>Kaspers!P104</f>
        <v>0</v>
      </c>
      <c r="AR26" s="229"/>
      <c r="AS26" s="232">
        <f>Kaspers!R104</f>
        <v>0</v>
      </c>
      <c r="AT26" s="281"/>
      <c r="AU26" s="283">
        <f>'MSBC Andheri'!P110</f>
        <v>0</v>
      </c>
      <c r="AV26" s="229"/>
      <c r="AW26" s="232">
        <f>'MSBC Andheri'!R110</f>
        <v>0</v>
      </c>
      <c r="AX26" s="281"/>
      <c r="AY26" s="283">
        <f>'MSBC Dahisar'!P97</f>
        <v>0</v>
      </c>
      <c r="AZ26" s="229"/>
      <c r="BA26" s="232">
        <f>'MSBC Dahisar'!R97</f>
        <v>0</v>
      </c>
      <c r="BB26" s="281"/>
      <c r="BC26" s="283">
        <f>'MSBC Juhu  Goregoan'!P110</f>
        <v>0</v>
      </c>
      <c r="BD26" s="229"/>
      <c r="BE26" s="232">
        <f>'MSBC Juhu  Goregoan'!R110</f>
        <v>0</v>
      </c>
      <c r="BF26" s="281"/>
      <c r="BG26" s="283">
        <f>'LOUD MOUTH'!P96</f>
        <v>0</v>
      </c>
      <c r="BH26" s="229"/>
      <c r="BI26" s="232">
        <f>'LOUD MOUTH'!R96</f>
        <v>0</v>
      </c>
      <c r="BJ26" s="281"/>
    </row>
    <row r="27" ht="15.75" customHeight="1">
      <c r="B27" s="274" t="s">
        <v>41</v>
      </c>
      <c r="C27" s="275">
        <f t="shared" si="43"/>
        <v>0</v>
      </c>
      <c r="D27" s="276" t="str">
        <f t="shared" si="44"/>
        <v>#DIV/0!</v>
      </c>
      <c r="E27" s="277">
        <f t="shared" si="45"/>
        <v>0</v>
      </c>
      <c r="F27" s="278" t="str">
        <f t="shared" si="46"/>
        <v>#DIV/0!</v>
      </c>
      <c r="G27" s="283">
        <f>HO!P113</f>
        <v>0</v>
      </c>
      <c r="H27" s="229"/>
      <c r="I27" s="232">
        <f>HO!R113</f>
        <v>0</v>
      </c>
      <c r="J27" s="281"/>
      <c r="K27" s="282">
        <f t="shared" si="47"/>
        <v>0</v>
      </c>
      <c r="L27" s="276" t="str">
        <f t="shared" si="48"/>
        <v>#DIV/0!</v>
      </c>
      <c r="M27" s="277">
        <f t="shared" si="49"/>
        <v>0</v>
      </c>
      <c r="N27" s="278" t="str">
        <f t="shared" si="50"/>
        <v>#DIV/0!</v>
      </c>
      <c r="O27" s="283">
        <f>'The Table'!P122</f>
        <v>0</v>
      </c>
      <c r="P27" s="284" t="str">
        <f t="shared" si="51"/>
        <v>#DIV/0!</v>
      </c>
      <c r="Q27" s="232">
        <f>'The Table'!R122</f>
        <v>0</v>
      </c>
      <c r="R27" s="285" t="str">
        <f t="shared" si="52"/>
        <v>#DIV/0!</v>
      </c>
      <c r="S27" s="283">
        <f>Iktara!P106</f>
        <v>0</v>
      </c>
      <c r="T27" s="284" t="str">
        <f t="shared" si="53"/>
        <v>#DIV/0!</v>
      </c>
      <c r="U27" s="232">
        <f>Iktara!R106</f>
        <v>0</v>
      </c>
      <c r="V27" s="285" t="str">
        <f t="shared" si="54"/>
        <v>#DIV/0!</v>
      </c>
      <c r="W27" s="283">
        <f>'Mg St Colaba'!P127</f>
        <v>0</v>
      </c>
      <c r="X27" s="284" t="str">
        <f t="shared" si="55"/>
        <v>#DIV/0!</v>
      </c>
      <c r="Y27" s="232" t="str">
        <f>'Mg St Colaba'!R127</f>
        <v/>
      </c>
      <c r="Z27" s="285" t="str">
        <f t="shared" si="56"/>
        <v>#DIV/0!</v>
      </c>
      <c r="AA27" s="283">
        <f>'Mg St LP'!P130</f>
        <v>0</v>
      </c>
      <c r="AB27" s="284" t="str">
        <f t="shared" si="57"/>
        <v>#DIV/0!</v>
      </c>
      <c r="AC27" s="232">
        <f>'Mg St LP'!R130</f>
        <v>0</v>
      </c>
      <c r="AD27" s="285" t="str">
        <f t="shared" si="58"/>
        <v>#DIV/0!</v>
      </c>
      <c r="AE27" s="283">
        <f>'Mg St Bandra'!P131</f>
        <v>0</v>
      </c>
      <c r="AF27" s="284" t="str">
        <f t="shared" si="59"/>
        <v>#DIV/0!</v>
      </c>
      <c r="AG27" s="232">
        <f>'Mg St Bandra'!R131</f>
        <v>0</v>
      </c>
      <c r="AH27" s="286" t="str">
        <f t="shared" si="60"/>
        <v>#DIV/0!</v>
      </c>
      <c r="AI27" s="287">
        <f>'MSK Events'!P125</f>
        <v>0</v>
      </c>
      <c r="AJ27" s="284" t="str">
        <f t="shared" si="61"/>
        <v>#DIV/0!</v>
      </c>
      <c r="AK27" s="232">
        <f>'MSK Events'!R125</f>
        <v>0</v>
      </c>
      <c r="AL27" s="285" t="str">
        <f t="shared" si="62"/>
        <v>#DIV/0!</v>
      </c>
      <c r="AM27" s="283">
        <f>MSBC!P115</f>
        <v>0</v>
      </c>
      <c r="AN27" s="284" t="str">
        <f t="shared" si="63"/>
        <v>#DIV/0!</v>
      </c>
      <c r="AO27" s="232">
        <f>MSBC!R115</f>
        <v>0</v>
      </c>
      <c r="AP27" s="285" t="str">
        <f t="shared" si="64"/>
        <v>#DIV/0!</v>
      </c>
      <c r="AQ27" s="283">
        <f>Kaspers!P127</f>
        <v>0</v>
      </c>
      <c r="AR27" s="229"/>
      <c r="AS27" s="232">
        <f>Kaspers!R127</f>
        <v>0</v>
      </c>
      <c r="AT27" s="281"/>
      <c r="AU27" s="283">
        <f>'MSBC Andheri'!P125</f>
        <v>0</v>
      </c>
      <c r="AV27" s="229"/>
      <c r="AW27" s="232">
        <f>'MSBC Andheri'!R125</f>
        <v>0</v>
      </c>
      <c r="AX27" s="281"/>
      <c r="AY27" s="283">
        <f>'MSBC Dahisar'!P112</f>
        <v>0</v>
      </c>
      <c r="AZ27" s="229"/>
      <c r="BA27" s="232">
        <f>'MSBC Dahisar'!R112</f>
        <v>0</v>
      </c>
      <c r="BB27" s="281"/>
      <c r="BC27" s="283">
        <f>'MSBC Juhu  Goregoan'!P125</f>
        <v>0</v>
      </c>
      <c r="BD27" s="229"/>
      <c r="BE27" s="232">
        <f>'MSBC Juhu  Goregoan'!R125</f>
        <v>0</v>
      </c>
      <c r="BF27" s="281"/>
      <c r="BG27" s="283">
        <f>'LOUD MOUTH'!P112</f>
        <v>0</v>
      </c>
      <c r="BH27" s="229"/>
      <c r="BI27" s="232">
        <f>'LOUD MOUTH'!R112</f>
        <v>0</v>
      </c>
      <c r="BJ27" s="281"/>
    </row>
    <row r="28" ht="15.75" customHeight="1">
      <c r="B28" s="289" t="s">
        <v>42</v>
      </c>
      <c r="C28" s="290">
        <f t="shared" si="43"/>
        <v>0</v>
      </c>
      <c r="D28" s="291" t="str">
        <f t="shared" si="44"/>
        <v>#DIV/0!</v>
      </c>
      <c r="E28" s="292">
        <f t="shared" si="45"/>
        <v>0</v>
      </c>
      <c r="F28" s="293" t="str">
        <f t="shared" si="46"/>
        <v>#DIV/0!</v>
      </c>
      <c r="G28" s="297">
        <f>HO!P117</f>
        <v>0</v>
      </c>
      <c r="H28" s="364"/>
      <c r="I28" s="295">
        <f>HO!R117</f>
        <v>0</v>
      </c>
      <c r="J28" s="365"/>
      <c r="K28" s="282">
        <f t="shared" si="47"/>
        <v>0</v>
      </c>
      <c r="L28" s="291" t="str">
        <f t="shared" si="48"/>
        <v>#DIV/0!</v>
      </c>
      <c r="M28" s="277">
        <f t="shared" si="49"/>
        <v>0</v>
      </c>
      <c r="N28" s="293" t="str">
        <f t="shared" si="50"/>
        <v>#DIV/0!</v>
      </c>
      <c r="O28" s="297">
        <f>'The Table'!J126</f>
        <v>0</v>
      </c>
      <c r="P28" s="366" t="str">
        <f t="shared" si="51"/>
        <v>#DIV/0!</v>
      </c>
      <c r="Q28" s="295">
        <f>'The Table'!L126</f>
        <v>0</v>
      </c>
      <c r="R28" s="367" t="str">
        <f t="shared" si="52"/>
        <v>#DIV/0!</v>
      </c>
      <c r="S28" s="297">
        <f>Iktara!P110</f>
        <v>0</v>
      </c>
      <c r="T28" s="366" t="str">
        <f t="shared" si="53"/>
        <v>#DIV/0!</v>
      </c>
      <c r="U28" s="295">
        <f>Iktara!R110</f>
        <v>0</v>
      </c>
      <c r="V28" s="367" t="str">
        <f t="shared" si="54"/>
        <v>#DIV/0!</v>
      </c>
      <c r="W28" s="297">
        <f>'Mg St Colaba'!P131</f>
        <v>0</v>
      </c>
      <c r="X28" s="366" t="str">
        <f t="shared" si="55"/>
        <v>#DIV/0!</v>
      </c>
      <c r="Y28" s="295" t="str">
        <f>'Mg St Colaba'!R131</f>
        <v/>
      </c>
      <c r="Z28" s="367" t="str">
        <f t="shared" si="56"/>
        <v>#DIV/0!</v>
      </c>
      <c r="AA28" s="297">
        <f>'Mg St LP'!P134</f>
        <v>0</v>
      </c>
      <c r="AB28" s="366" t="str">
        <f t="shared" si="57"/>
        <v>#DIV/0!</v>
      </c>
      <c r="AC28" s="295">
        <f>'Mg St LP'!R134</f>
        <v>0</v>
      </c>
      <c r="AD28" s="367" t="str">
        <f t="shared" si="58"/>
        <v>#DIV/0!</v>
      </c>
      <c r="AE28" s="297">
        <f>'Mg St Bandra'!P135</f>
        <v>0</v>
      </c>
      <c r="AF28" s="366" t="str">
        <f t="shared" si="59"/>
        <v>#DIV/0!</v>
      </c>
      <c r="AG28" s="295">
        <f>'Mg St Bandra'!R135</f>
        <v>0</v>
      </c>
      <c r="AH28" s="368" t="str">
        <f t="shared" si="60"/>
        <v>#DIV/0!</v>
      </c>
      <c r="AI28" s="369">
        <f>'MSK Events'!P129</f>
        <v>0</v>
      </c>
      <c r="AJ28" s="366" t="str">
        <f t="shared" si="61"/>
        <v>#DIV/0!</v>
      </c>
      <c r="AK28" s="295">
        <f>'MSK Events'!R129</f>
        <v>0</v>
      </c>
      <c r="AL28" s="367" t="str">
        <f t="shared" si="62"/>
        <v>#DIV/0!</v>
      </c>
      <c r="AM28" s="297">
        <f>MSBC!P119</f>
        <v>0</v>
      </c>
      <c r="AN28" s="366" t="str">
        <f t="shared" si="63"/>
        <v>#DIV/0!</v>
      </c>
      <c r="AO28" s="295">
        <f>MSBC!R119</f>
        <v>0</v>
      </c>
      <c r="AP28" s="367" t="str">
        <f t="shared" si="64"/>
        <v>#DIV/0!</v>
      </c>
      <c r="AQ28" s="297">
        <f>Kaspers!P131</f>
        <v>0</v>
      </c>
      <c r="AR28" s="364"/>
      <c r="AS28" s="295">
        <f>Kaspers!R131</f>
        <v>0</v>
      </c>
      <c r="AT28" s="365"/>
      <c r="AU28" s="297">
        <f>'MSBC Andheri'!P129</f>
        <v>0</v>
      </c>
      <c r="AV28" s="364"/>
      <c r="AW28" s="295">
        <f>'MSBC Andheri'!R129</f>
        <v>0</v>
      </c>
      <c r="AX28" s="365"/>
      <c r="AY28" s="297">
        <f>'MSBC Dahisar'!P116</f>
        <v>0</v>
      </c>
      <c r="AZ28" s="364"/>
      <c r="BA28" s="295">
        <f>'MSBC Dahisar'!R116</f>
        <v>0</v>
      </c>
      <c r="BB28" s="365"/>
      <c r="BC28" s="297">
        <f>'MSBC Juhu  Goregoan'!P129</f>
        <v>0</v>
      </c>
      <c r="BD28" s="364"/>
      <c r="BE28" s="295">
        <f>'MSBC Juhu  Goregoan'!R129</f>
        <v>0</v>
      </c>
      <c r="BF28" s="365"/>
      <c r="BG28" s="297">
        <f>'LOUD MOUTH'!P117</f>
        <v>0</v>
      </c>
      <c r="BH28" s="364"/>
      <c r="BI28" s="295">
        <f>'LOUD MOUTH'!R117</f>
        <v>0</v>
      </c>
      <c r="BJ28" s="365"/>
    </row>
    <row r="29" ht="15.75" customHeight="1">
      <c r="A29" s="354"/>
      <c r="B29" s="299" t="s">
        <v>43</v>
      </c>
      <c r="C29" s="164">
        <f>SUM(C19:C28)</f>
        <v>0</v>
      </c>
      <c r="D29" s="341" t="str">
        <f t="shared" si="44"/>
        <v>#DIV/0!</v>
      </c>
      <c r="E29" s="161" t="str">
        <f t="shared" si="45"/>
        <v>#REF!</v>
      </c>
      <c r="F29" s="342" t="str">
        <f t="shared" si="46"/>
        <v>#REF!</v>
      </c>
      <c r="G29" s="302">
        <f>SUM(G19:G28)</f>
        <v>0</v>
      </c>
      <c r="H29" s="303"/>
      <c r="I29" s="161">
        <f>SUM(I19:I28)</f>
        <v>0</v>
      </c>
      <c r="J29" s="304"/>
      <c r="K29" s="302">
        <f>SUM(K19:K28)</f>
        <v>0</v>
      </c>
      <c r="L29" s="341" t="str">
        <f t="shared" si="48"/>
        <v>#DIV/0!</v>
      </c>
      <c r="M29" s="161" t="str">
        <f>SUM(M19:M28)</f>
        <v>#REF!</v>
      </c>
      <c r="N29" s="342" t="str">
        <f t="shared" si="50"/>
        <v>#REF!</v>
      </c>
      <c r="O29" s="302">
        <f>SUM(O19:O28)</f>
        <v>0</v>
      </c>
      <c r="P29" s="341" t="str">
        <f t="shared" si="51"/>
        <v>#DIV/0!</v>
      </c>
      <c r="Q29" s="161">
        <f>SUM(Q19:Q28)</f>
        <v>0</v>
      </c>
      <c r="R29" s="342" t="str">
        <f t="shared" si="52"/>
        <v>#DIV/0!</v>
      </c>
      <c r="S29" s="302">
        <f>SUM(S19:S28)</f>
        <v>0</v>
      </c>
      <c r="T29" s="341" t="str">
        <f t="shared" si="53"/>
        <v>#DIV/0!</v>
      </c>
      <c r="U29" s="161">
        <f>SUM(U19:U28)</f>
        <v>0</v>
      </c>
      <c r="V29" s="342" t="str">
        <f t="shared" si="54"/>
        <v>#DIV/0!</v>
      </c>
      <c r="W29" s="302">
        <f>SUM(W19:W28)</f>
        <v>0</v>
      </c>
      <c r="X29" s="341" t="str">
        <f t="shared" si="55"/>
        <v>#DIV/0!</v>
      </c>
      <c r="Y29" s="161" t="str">
        <f>SUM(Y19:Y28)</f>
        <v>#REF!</v>
      </c>
      <c r="Z29" s="342" t="str">
        <f t="shared" si="56"/>
        <v>#REF!</v>
      </c>
      <c r="AA29" s="302">
        <f>SUM(AA19:AA28)</f>
        <v>0</v>
      </c>
      <c r="AB29" s="341" t="str">
        <f t="shared" si="57"/>
        <v>#DIV/0!</v>
      </c>
      <c r="AC29" s="161">
        <f>SUM(AC19:AC28)</f>
        <v>0</v>
      </c>
      <c r="AD29" s="342" t="str">
        <f t="shared" si="58"/>
        <v>#DIV/0!</v>
      </c>
      <c r="AE29" s="302">
        <f>SUM(AE19:AE28)</f>
        <v>0</v>
      </c>
      <c r="AF29" s="341" t="str">
        <f t="shared" si="59"/>
        <v>#DIV/0!</v>
      </c>
      <c r="AG29" s="161">
        <f>SUM(AG19:AG28)</f>
        <v>0</v>
      </c>
      <c r="AH29" s="345" t="str">
        <f t="shared" si="60"/>
        <v>#DIV/0!</v>
      </c>
      <c r="AI29" s="164">
        <f>SUM(AI19:AI28)</f>
        <v>0</v>
      </c>
      <c r="AJ29" s="303"/>
      <c r="AK29" s="161">
        <f>SUM(AK19:AK28)</f>
        <v>0</v>
      </c>
      <c r="AL29" s="304"/>
      <c r="AM29" s="302">
        <f>SUM(AM19:AM28)</f>
        <v>0</v>
      </c>
      <c r="AN29" s="341" t="str">
        <f t="shared" si="63"/>
        <v>#DIV/0!</v>
      </c>
      <c r="AO29" s="161">
        <f>SUM(AO19:AO28)</f>
        <v>0</v>
      </c>
      <c r="AP29" s="342" t="str">
        <f t="shared" si="64"/>
        <v>#DIV/0!</v>
      </c>
      <c r="AQ29" s="302">
        <f>SUM(AQ19:AQ28)</f>
        <v>0</v>
      </c>
      <c r="AR29" s="303"/>
      <c r="AS29" s="161">
        <f>SUM(AS19:AS28)</f>
        <v>0</v>
      </c>
      <c r="AT29" s="304"/>
      <c r="AU29" s="302">
        <f>SUM(AU19:AU28)</f>
        <v>0</v>
      </c>
      <c r="AV29" s="303"/>
      <c r="AW29" s="161">
        <f>SUM(AW19:AW28)</f>
        <v>0</v>
      </c>
      <c r="AX29" s="304"/>
      <c r="AY29" s="302">
        <f>SUM(AY19:AY28)</f>
        <v>0</v>
      </c>
      <c r="AZ29" s="303"/>
      <c r="BA29" s="161">
        <f>SUM(BA19:BA28)</f>
        <v>0</v>
      </c>
      <c r="BB29" s="304"/>
      <c r="BC29" s="302">
        <f>SUM(BC19:BC28)</f>
        <v>0</v>
      </c>
      <c r="BD29" s="303"/>
      <c r="BE29" s="161">
        <f>SUM(BE19:BE28)</f>
        <v>0</v>
      </c>
      <c r="BF29" s="304"/>
      <c r="BG29" s="302">
        <f>SUM(BG19:BG28)</f>
        <v>0</v>
      </c>
      <c r="BH29" s="303"/>
      <c r="BI29" s="161">
        <f>SUM(BI19:BI28)</f>
        <v>0</v>
      </c>
      <c r="BJ29" s="304"/>
    </row>
    <row r="30" ht="15.75" customHeight="1">
      <c r="B30" s="370"/>
      <c r="C30" s="371"/>
      <c r="D30" s="372"/>
      <c r="E30" s="372"/>
      <c r="F30" s="373"/>
      <c r="G30" s="310"/>
      <c r="H30" s="311"/>
      <c r="I30" s="312"/>
      <c r="J30" s="313"/>
      <c r="K30" s="374"/>
      <c r="L30" s="372"/>
      <c r="M30" s="375"/>
      <c r="N30" s="373"/>
      <c r="O30" s="310"/>
      <c r="P30" s="311"/>
      <c r="Q30" s="311"/>
      <c r="R30" s="313"/>
      <c r="S30" s="310"/>
      <c r="T30" s="311"/>
      <c r="U30" s="311"/>
      <c r="V30" s="313"/>
      <c r="W30" s="310"/>
      <c r="X30" s="311"/>
      <c r="Y30" s="311"/>
      <c r="Z30" s="313"/>
      <c r="AA30" s="310"/>
      <c r="AB30" s="311"/>
      <c r="AC30" s="311"/>
      <c r="AD30" s="313"/>
      <c r="AE30" s="310"/>
      <c r="AF30" s="311"/>
      <c r="AG30" s="311"/>
      <c r="AH30" s="316"/>
      <c r="AI30" s="317"/>
      <c r="AJ30" s="311"/>
      <c r="AK30" s="311"/>
      <c r="AL30" s="313"/>
      <c r="AM30" s="310"/>
      <c r="AN30" s="311"/>
      <c r="AO30" s="311"/>
      <c r="AP30" s="313"/>
      <c r="AQ30" s="310"/>
      <c r="AR30" s="311"/>
      <c r="AS30" s="311"/>
      <c r="AT30" s="313"/>
      <c r="AU30" s="376"/>
      <c r="AV30" s="377"/>
      <c r="AW30" s="378">
        <f>AW17-AW29</f>
        <v>0</v>
      </c>
      <c r="AX30" s="379"/>
      <c r="AY30" s="376"/>
      <c r="AZ30" s="377"/>
      <c r="BA30" s="378">
        <f>BA17-BA29</f>
        <v>0</v>
      </c>
      <c r="BB30" s="379"/>
      <c r="BC30" s="376"/>
      <c r="BD30" s="377"/>
      <c r="BE30" s="378">
        <f>BE17-BE29</f>
        <v>0</v>
      </c>
      <c r="BF30" s="379"/>
      <c r="BG30" s="376"/>
      <c r="BH30" s="377"/>
      <c r="BI30" s="378">
        <f>BI17-BI29</f>
        <v>0</v>
      </c>
      <c r="BJ30" s="379"/>
    </row>
    <row r="31" ht="15.75" customHeight="1">
      <c r="A31" s="354"/>
      <c r="B31" s="299" t="s">
        <v>44</v>
      </c>
      <c r="C31" s="164">
        <f>C17-C29</f>
        <v>0</v>
      </c>
      <c r="D31" s="341" t="str">
        <f>C31/C$10</f>
        <v>#DIV/0!</v>
      </c>
      <c r="E31" s="161" t="str">
        <f>E17-E29</f>
        <v>#REF!</v>
      </c>
      <c r="F31" s="342" t="str">
        <f>E31/E$10</f>
        <v>#REF!</v>
      </c>
      <c r="G31" s="302">
        <f>G17-G29</f>
        <v>0</v>
      </c>
      <c r="H31" s="303"/>
      <c r="I31" s="161">
        <f>I17-I29</f>
        <v>0</v>
      </c>
      <c r="J31" s="304"/>
      <c r="K31" s="302">
        <f>K17-K29</f>
        <v>0</v>
      </c>
      <c r="L31" s="341" t="str">
        <f>K31/K$10</f>
        <v>#DIV/0!</v>
      </c>
      <c r="M31" s="161" t="str">
        <f>M17-M29</f>
        <v>#REF!</v>
      </c>
      <c r="N31" s="342" t="str">
        <f>M31/M$10</f>
        <v>#REF!</v>
      </c>
      <c r="O31" s="302">
        <f>O17-O29</f>
        <v>0</v>
      </c>
      <c r="P31" s="341" t="str">
        <f>O31/O$10</f>
        <v>#DIV/0!</v>
      </c>
      <c r="Q31" s="161">
        <f>Q17-Q29</f>
        <v>0</v>
      </c>
      <c r="R31" s="342" t="str">
        <f>Q31/Q$10</f>
        <v>#DIV/0!</v>
      </c>
      <c r="S31" s="302">
        <f>S17-S29</f>
        <v>0</v>
      </c>
      <c r="T31" s="341" t="str">
        <f>S31/S$10</f>
        <v>#DIV/0!</v>
      </c>
      <c r="U31" s="161">
        <f>U17-U29</f>
        <v>0</v>
      </c>
      <c r="V31" s="342" t="str">
        <f>U31/U$10</f>
        <v>#DIV/0!</v>
      </c>
      <c r="W31" s="302">
        <f>W17-W29</f>
        <v>0</v>
      </c>
      <c r="X31" s="341" t="str">
        <f>W31/W$10</f>
        <v>#DIV/0!</v>
      </c>
      <c r="Y31" s="161" t="str">
        <f>Y17-Y29</f>
        <v>#REF!</v>
      </c>
      <c r="Z31" s="342" t="str">
        <f>Y31/Y$10</f>
        <v>#REF!</v>
      </c>
      <c r="AA31" s="302">
        <f>AA17-AA29</f>
        <v>0</v>
      </c>
      <c r="AB31" s="341" t="str">
        <f>AA31/AA$10</f>
        <v>#DIV/0!</v>
      </c>
      <c r="AC31" s="161">
        <f>AC17-AC29</f>
        <v>0</v>
      </c>
      <c r="AD31" s="342" t="str">
        <f>AC31/AC$10</f>
        <v>#DIV/0!</v>
      </c>
      <c r="AE31" s="302">
        <f>AE17-AE29</f>
        <v>0</v>
      </c>
      <c r="AF31" s="341" t="str">
        <f>AE31/AE$10</f>
        <v>#DIV/0!</v>
      </c>
      <c r="AG31" s="161">
        <f>AG17-AG29</f>
        <v>0</v>
      </c>
      <c r="AH31" s="345" t="str">
        <f>AG31/AG$10</f>
        <v>#DIV/0!</v>
      </c>
      <c r="AI31" s="164">
        <f>AI17-AI29</f>
        <v>0</v>
      </c>
      <c r="AJ31" s="303"/>
      <c r="AK31" s="161">
        <f>AK17-AK29</f>
        <v>0</v>
      </c>
      <c r="AL31" s="304"/>
      <c r="AM31" s="302">
        <f>AM17-AM29</f>
        <v>0</v>
      </c>
      <c r="AN31" s="341" t="str">
        <f>AM31/AM$10</f>
        <v>#DIV/0!</v>
      </c>
      <c r="AO31" s="161">
        <f>AO17-AO29</f>
        <v>0</v>
      </c>
      <c r="AP31" s="342" t="str">
        <f>AO31/AO$10</f>
        <v>#DIV/0!</v>
      </c>
      <c r="AQ31" s="302">
        <f>AQ17-AQ29</f>
        <v>0</v>
      </c>
      <c r="AR31" s="303"/>
      <c r="AS31" s="161">
        <f>AS17-AS29</f>
        <v>0</v>
      </c>
      <c r="AT31" s="304"/>
      <c r="AU31" s="302">
        <f t="shared" ref="AU31:BJ31" si="65">AU17-AU29</f>
        <v>0</v>
      </c>
      <c r="AV31" s="161">
        <f t="shared" si="65"/>
        <v>0</v>
      </c>
      <c r="AW31" s="161">
        <f t="shared" si="65"/>
        <v>0</v>
      </c>
      <c r="AX31" s="347">
        <f t="shared" si="65"/>
        <v>0</v>
      </c>
      <c r="AY31" s="302">
        <f t="shared" si="65"/>
        <v>0</v>
      </c>
      <c r="AZ31" s="161">
        <f t="shared" si="65"/>
        <v>0</v>
      </c>
      <c r="BA31" s="161">
        <f t="shared" si="65"/>
        <v>0</v>
      </c>
      <c r="BB31" s="347">
        <f t="shared" si="65"/>
        <v>0</v>
      </c>
      <c r="BC31" s="302">
        <f t="shared" si="65"/>
        <v>0</v>
      </c>
      <c r="BD31" s="161">
        <f t="shared" si="65"/>
        <v>0</v>
      </c>
      <c r="BE31" s="161">
        <f t="shared" si="65"/>
        <v>0</v>
      </c>
      <c r="BF31" s="347">
        <f t="shared" si="65"/>
        <v>0</v>
      </c>
      <c r="BG31" s="302">
        <f t="shared" si="65"/>
        <v>0</v>
      </c>
      <c r="BH31" s="161">
        <f t="shared" si="65"/>
        <v>0</v>
      </c>
      <c r="BI31" s="161">
        <f t="shared" si="65"/>
        <v>0</v>
      </c>
      <c r="BJ31" s="347">
        <f t="shared" si="65"/>
        <v>0</v>
      </c>
    </row>
    <row r="32" ht="15.75" customHeight="1"/>
    <row r="33" ht="15.75" customHeight="1">
      <c r="C33" s="121">
        <f>+G33+K33</f>
        <v>1539521.861</v>
      </c>
      <c r="G33" s="121">
        <f>HO!J123</f>
        <v>-8100762.27</v>
      </c>
      <c r="H33" s="121"/>
      <c r="I33" s="121"/>
      <c r="J33" s="125"/>
      <c r="K33" s="125">
        <f>SUM(O33:BJ33)</f>
        <v>9640284.131</v>
      </c>
      <c r="L33" s="121"/>
      <c r="M33" s="121"/>
      <c r="N33" s="121"/>
      <c r="O33" s="121">
        <f>'The Table'!J132</f>
        <v>3953343.47</v>
      </c>
      <c r="P33" s="121"/>
      <c r="Q33" s="121"/>
      <c r="R33" s="121"/>
      <c r="S33" s="121">
        <f>Iktara!J117</f>
        <v>-258983.0629</v>
      </c>
      <c r="T33" s="121"/>
      <c r="U33" s="121"/>
      <c r="V33" s="121"/>
      <c r="W33" s="121">
        <f>'Mg St Colaba'!J137</f>
        <v>631729.5839</v>
      </c>
      <c r="X33" s="121"/>
      <c r="Y33" s="121"/>
      <c r="Z33" s="121"/>
      <c r="AA33" s="121">
        <f>'Mg St LP'!J141</f>
        <v>1234107.576</v>
      </c>
      <c r="AB33" s="121"/>
      <c r="AC33" s="121"/>
      <c r="AD33" s="121"/>
      <c r="AE33" s="121">
        <f>'Mg St Bandra'!J142</f>
        <v>4336730.22</v>
      </c>
      <c r="AF33" s="121"/>
      <c r="AG33" s="121"/>
      <c r="AH33" s="121"/>
      <c r="AI33" s="121">
        <f>'MSK Events'!J136</f>
        <v>-1131355.757</v>
      </c>
      <c r="AJ33" s="121"/>
      <c r="AK33" s="121"/>
      <c r="AL33" s="121"/>
      <c r="AM33" s="121">
        <f>MSBC!J125</f>
        <v>-526562.1895</v>
      </c>
      <c r="AN33" s="121"/>
      <c r="AO33" s="121"/>
      <c r="AP33" s="121"/>
      <c r="AQ33" s="121">
        <f>Kaspers!J138</f>
        <v>2018857.304</v>
      </c>
      <c r="AR33" s="121"/>
      <c r="AS33" s="121"/>
      <c r="AT33" s="121"/>
      <c r="AU33" s="121">
        <f>'MSBC Andheri'!J136</f>
        <v>81836.53</v>
      </c>
      <c r="AV33" s="121"/>
      <c r="AW33" s="121"/>
      <c r="AX33" s="121"/>
      <c r="AY33" s="121">
        <f>'MSBC Dahisar'!J123</f>
        <v>-123284.3069</v>
      </c>
      <c r="AZ33" s="121"/>
      <c r="BA33" s="121"/>
      <c r="BB33" s="121"/>
      <c r="BC33" s="121">
        <f>'MSBC Juhu  Goregoan'!J135</f>
        <v>-139322.6562</v>
      </c>
      <c r="BD33" s="121"/>
      <c r="BE33" s="121"/>
      <c r="BF33" s="121"/>
      <c r="BG33" s="121">
        <f>'LOUD MOUTH'!J123</f>
        <v>-436812.58</v>
      </c>
      <c r="BH33" s="121"/>
      <c r="BI33" s="121"/>
      <c r="BJ33" s="121"/>
    </row>
    <row r="34" ht="15.75" customHeight="1">
      <c r="C34" s="380">
        <f>+C31-C33</f>
        <v>-1539521.861</v>
      </c>
      <c r="G34" s="121">
        <f>+G31-G33</f>
        <v>8100762.27</v>
      </c>
      <c r="H34" s="121"/>
      <c r="I34" s="121"/>
      <c r="J34" s="125"/>
      <c r="K34" s="125">
        <f>+K31-K33</f>
        <v>-9640284.131</v>
      </c>
      <c r="L34" s="121"/>
      <c r="M34" s="121"/>
      <c r="N34" s="121"/>
      <c r="O34" s="121">
        <f>+O31-O33</f>
        <v>-3953343.47</v>
      </c>
      <c r="P34" s="121"/>
      <c r="Q34" s="121"/>
      <c r="R34" s="121"/>
      <c r="S34" s="121">
        <f>+S31-S33</f>
        <v>258983.0629</v>
      </c>
      <c r="T34" s="121"/>
      <c r="U34" s="121"/>
      <c r="V34" s="121"/>
      <c r="W34" s="121">
        <f>+W31-W33</f>
        <v>-631729.5839</v>
      </c>
      <c r="X34" s="121"/>
      <c r="Y34" s="121"/>
      <c r="Z34" s="121"/>
      <c r="AA34" s="121">
        <f>+AA31-AA33</f>
        <v>-1234107.576</v>
      </c>
      <c r="AB34" s="121"/>
      <c r="AC34" s="121"/>
      <c r="AD34" s="121"/>
      <c r="AE34" s="121">
        <f>+AE31-AE33</f>
        <v>-4336730.22</v>
      </c>
      <c r="AF34" s="121"/>
      <c r="AG34" s="121"/>
      <c r="AH34" s="121"/>
      <c r="AI34" s="121">
        <f>+AI31-AI33</f>
        <v>1131355.757</v>
      </c>
      <c r="AJ34" s="121"/>
      <c r="AK34" s="121"/>
      <c r="AL34" s="121"/>
      <c r="AM34" s="121">
        <f>+AM31-AM33</f>
        <v>526562.1895</v>
      </c>
      <c r="AN34" s="121"/>
      <c r="AO34" s="121"/>
      <c r="AP34" s="121"/>
      <c r="AQ34" s="121">
        <f>+AQ31-AQ33</f>
        <v>-2018857.304</v>
      </c>
      <c r="AR34" s="121"/>
      <c r="AS34" s="121"/>
      <c r="AT34" s="121"/>
      <c r="AU34" s="121">
        <f>+AU31-AU33</f>
        <v>-81836.53</v>
      </c>
      <c r="AV34" s="121"/>
      <c r="AW34" s="121"/>
      <c r="AX34" s="121"/>
      <c r="AY34" s="121">
        <f>+AY31-AY33</f>
        <v>123284.3069</v>
      </c>
      <c r="AZ34" s="121"/>
      <c r="BA34" s="121"/>
      <c r="BB34" s="121"/>
      <c r="BC34" s="121">
        <f>+BC31-BC33</f>
        <v>139322.6562</v>
      </c>
      <c r="BD34" s="121"/>
      <c r="BE34" s="121"/>
      <c r="BF34" s="121"/>
      <c r="BG34" s="121">
        <f t="shared" ref="BG34:BJ34" si="66">+BG31-BG33</f>
        <v>436812.58</v>
      </c>
      <c r="BH34" s="121">
        <f t="shared" si="66"/>
        <v>0</v>
      </c>
      <c r="BI34" s="121">
        <f t="shared" si="66"/>
        <v>0</v>
      </c>
      <c r="BJ34" s="121">
        <f t="shared" si="66"/>
        <v>0</v>
      </c>
    </row>
    <row r="35" ht="15.75" customHeight="1">
      <c r="J35" s="381"/>
      <c r="K35" s="123"/>
    </row>
    <row r="36" ht="15.75" customHeight="1">
      <c r="J36" s="381"/>
      <c r="K36" s="12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3:F3"/>
    <mergeCell ref="G3:J3"/>
    <mergeCell ref="K3:N3"/>
    <mergeCell ref="O3:R3"/>
    <mergeCell ref="S3:V3"/>
    <mergeCell ref="W3:Z3"/>
    <mergeCell ref="BC3:BF3"/>
    <mergeCell ref="BG3:BJ3"/>
    <mergeCell ref="AA3:AD3"/>
    <mergeCell ref="AE3:AH3"/>
    <mergeCell ref="AI3:AL3"/>
    <mergeCell ref="AM3:AP3"/>
    <mergeCell ref="AQ3:AT3"/>
    <mergeCell ref="AU3:AX3"/>
    <mergeCell ref="AY3:BB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27" t="s">
        <v>0</v>
      </c>
      <c r="O1" s="124"/>
      <c r="S1" s="124"/>
      <c r="W1" s="124"/>
      <c r="AA1" s="124"/>
      <c r="AE1" s="124">
        <f>AE12/$K$12</f>
        <v>0.2074469597</v>
      </c>
      <c r="BC1" s="124"/>
      <c r="BG1" s="124"/>
    </row>
    <row r="2" ht="15.75" customHeight="1">
      <c r="A2" s="124" t="s">
        <v>160</v>
      </c>
    </row>
    <row r="3" ht="15.75" customHeight="1">
      <c r="B3" s="4"/>
      <c r="C3" s="131" t="s">
        <v>46</v>
      </c>
      <c r="D3" s="10"/>
      <c r="E3" s="10"/>
      <c r="F3" s="12"/>
      <c r="G3" s="131" t="s">
        <v>3</v>
      </c>
      <c r="H3" s="10"/>
      <c r="I3" s="10"/>
      <c r="J3" s="12"/>
      <c r="K3" s="131" t="s">
        <v>4</v>
      </c>
      <c r="L3" s="10"/>
      <c r="M3" s="10"/>
      <c r="N3" s="12"/>
      <c r="O3" s="131" t="s">
        <v>5</v>
      </c>
      <c r="P3" s="10"/>
      <c r="Q3" s="10"/>
      <c r="R3" s="12"/>
      <c r="S3" s="131" t="s">
        <v>6</v>
      </c>
      <c r="T3" s="10"/>
      <c r="U3" s="10"/>
      <c r="V3" s="12"/>
      <c r="W3" s="131" t="s">
        <v>7</v>
      </c>
      <c r="X3" s="10"/>
      <c r="Y3" s="10"/>
      <c r="Z3" s="12"/>
      <c r="AA3" s="131" t="s">
        <v>8</v>
      </c>
      <c r="AB3" s="10"/>
      <c r="AC3" s="10"/>
      <c r="AD3" s="12"/>
      <c r="AE3" s="131" t="s">
        <v>9</v>
      </c>
      <c r="AF3" s="10"/>
      <c r="AG3" s="10"/>
      <c r="AH3" s="12"/>
      <c r="AI3" s="131" t="s">
        <v>10</v>
      </c>
      <c r="AJ3" s="10"/>
      <c r="AK3" s="10"/>
      <c r="AL3" s="12"/>
      <c r="AM3" s="131" t="s">
        <v>11</v>
      </c>
      <c r="AN3" s="10"/>
      <c r="AO3" s="10"/>
      <c r="AP3" s="12"/>
      <c r="AQ3" s="131" t="s">
        <v>12</v>
      </c>
      <c r="AR3" s="10"/>
      <c r="AS3" s="10"/>
      <c r="AT3" s="12"/>
      <c r="AU3" s="131" t="s">
        <v>13</v>
      </c>
      <c r="AV3" s="10"/>
      <c r="AW3" s="10"/>
      <c r="AX3" s="12"/>
      <c r="AY3" s="131" t="s">
        <v>14</v>
      </c>
      <c r="AZ3" s="10"/>
      <c r="BA3" s="10"/>
      <c r="BB3" s="12"/>
      <c r="BC3" s="131" t="s">
        <v>161</v>
      </c>
      <c r="BD3" s="10"/>
      <c r="BE3" s="10"/>
      <c r="BF3" s="12"/>
      <c r="BG3" s="131" t="s">
        <v>47</v>
      </c>
      <c r="BH3" s="10"/>
      <c r="BI3" s="10"/>
      <c r="BJ3" s="12"/>
    </row>
    <row r="4" ht="15.75" customHeight="1">
      <c r="A4" s="256"/>
      <c r="B4" s="13"/>
      <c r="C4" s="257" t="s">
        <v>20</v>
      </c>
      <c r="D4" s="257" t="s">
        <v>18</v>
      </c>
      <c r="E4" s="257" t="s">
        <v>19</v>
      </c>
      <c r="F4" s="257" t="s">
        <v>18</v>
      </c>
      <c r="G4" s="257" t="s">
        <v>20</v>
      </c>
      <c r="H4" s="257" t="s">
        <v>18</v>
      </c>
      <c r="I4" s="257" t="s">
        <v>19</v>
      </c>
      <c r="J4" s="257" t="s">
        <v>18</v>
      </c>
      <c r="K4" s="257" t="s">
        <v>20</v>
      </c>
      <c r="L4" s="257" t="s">
        <v>18</v>
      </c>
      <c r="M4" s="257" t="s">
        <v>19</v>
      </c>
      <c r="N4" s="257" t="s">
        <v>18</v>
      </c>
      <c r="O4" s="257" t="s">
        <v>20</v>
      </c>
      <c r="P4" s="257" t="s">
        <v>18</v>
      </c>
      <c r="Q4" s="257" t="s">
        <v>19</v>
      </c>
      <c r="R4" s="257" t="s">
        <v>18</v>
      </c>
      <c r="S4" s="257" t="s">
        <v>20</v>
      </c>
      <c r="T4" s="257" t="s">
        <v>18</v>
      </c>
      <c r="U4" s="257" t="s">
        <v>19</v>
      </c>
      <c r="V4" s="257" t="s">
        <v>18</v>
      </c>
      <c r="W4" s="257" t="s">
        <v>20</v>
      </c>
      <c r="X4" s="257" t="s">
        <v>18</v>
      </c>
      <c r="Y4" s="257" t="s">
        <v>19</v>
      </c>
      <c r="Z4" s="257" t="s">
        <v>18</v>
      </c>
      <c r="AA4" s="257" t="s">
        <v>20</v>
      </c>
      <c r="AB4" s="257" t="s">
        <v>18</v>
      </c>
      <c r="AC4" s="257" t="s">
        <v>19</v>
      </c>
      <c r="AD4" s="257" t="s">
        <v>18</v>
      </c>
      <c r="AE4" s="257" t="s">
        <v>20</v>
      </c>
      <c r="AF4" s="257" t="s">
        <v>18</v>
      </c>
      <c r="AG4" s="257" t="s">
        <v>19</v>
      </c>
      <c r="AH4" s="257" t="s">
        <v>18</v>
      </c>
      <c r="AI4" s="257" t="s">
        <v>20</v>
      </c>
      <c r="AJ4" s="257" t="s">
        <v>18</v>
      </c>
      <c r="AK4" s="257" t="s">
        <v>19</v>
      </c>
      <c r="AL4" s="257" t="s">
        <v>18</v>
      </c>
      <c r="AM4" s="257" t="s">
        <v>20</v>
      </c>
      <c r="AN4" s="257" t="s">
        <v>18</v>
      </c>
      <c r="AO4" s="257" t="s">
        <v>19</v>
      </c>
      <c r="AP4" s="257" t="s">
        <v>18</v>
      </c>
      <c r="AQ4" s="257" t="s">
        <v>20</v>
      </c>
      <c r="AR4" s="257" t="s">
        <v>18</v>
      </c>
      <c r="AS4" s="257" t="s">
        <v>19</v>
      </c>
      <c r="AT4" s="257" t="s">
        <v>18</v>
      </c>
      <c r="AU4" s="257" t="s">
        <v>17</v>
      </c>
      <c r="AV4" s="257" t="s">
        <v>18</v>
      </c>
      <c r="AW4" s="257" t="s">
        <v>19</v>
      </c>
      <c r="AX4" s="257" t="s">
        <v>18</v>
      </c>
      <c r="AY4" s="257" t="s">
        <v>17</v>
      </c>
      <c r="AZ4" s="257" t="s">
        <v>18</v>
      </c>
      <c r="BA4" s="257" t="s">
        <v>19</v>
      </c>
      <c r="BB4" s="257" t="s">
        <v>18</v>
      </c>
      <c r="BC4" s="257" t="s">
        <v>17</v>
      </c>
      <c r="BD4" s="257" t="s">
        <v>18</v>
      </c>
      <c r="BE4" s="257" t="s">
        <v>19</v>
      </c>
      <c r="BF4" s="257" t="s">
        <v>18</v>
      </c>
      <c r="BG4" s="257" t="s">
        <v>17</v>
      </c>
      <c r="BH4" s="257" t="s">
        <v>18</v>
      </c>
      <c r="BI4" s="257" t="s">
        <v>19</v>
      </c>
      <c r="BJ4" s="257" t="s">
        <v>18</v>
      </c>
    </row>
    <row r="5" ht="15.75" customHeight="1">
      <c r="B5" s="382" t="s">
        <v>21</v>
      </c>
      <c r="C5" s="261">
        <f t="shared" ref="C5:C9" si="1">G5+K5</f>
        <v>5897856</v>
      </c>
      <c r="D5" s="260">
        <f t="shared" ref="D5:D10" si="2">C5/C$10</f>
        <v>0.08011456146</v>
      </c>
      <c r="E5" s="261">
        <f t="shared" ref="E5:E9" si="3">I5+M5</f>
        <v>0</v>
      </c>
      <c r="F5" s="383" t="str">
        <f t="shared" ref="F5:F10" si="4">E5/E$10</f>
        <v>#DIV/0!</v>
      </c>
      <c r="G5" s="384">
        <f>HO!J14</f>
        <v>0</v>
      </c>
      <c r="H5" s="264"/>
      <c r="I5" s="265" t="str">
        <f>HO!L14</f>
        <v/>
      </c>
      <c r="J5" s="362"/>
      <c r="K5" s="259">
        <f t="shared" ref="K5:K9" si="5">O5+S5+W5+AA5+AE5+AI5+AM5+AQ5+AU5+AY5+BC5+BG5</f>
        <v>5897856</v>
      </c>
      <c r="L5" s="260">
        <f t="shared" ref="L5:L10" si="6">K5/K$10</f>
        <v>0.08011456146</v>
      </c>
      <c r="M5" s="261">
        <f t="shared" ref="M5:M9" si="7">Q5+U5+Y5+AC5+AG5+AK5+AO5+AS5+AW5+BA5+BE5+BI5</f>
        <v>0</v>
      </c>
      <c r="N5" s="383" t="str">
        <f t="shared" ref="N5:N10" si="8">M5/M$10</f>
        <v>#DIV/0!</v>
      </c>
      <c r="O5" s="273">
        <f>'The Table'!J24</f>
        <v>1235475</v>
      </c>
      <c r="P5" s="269">
        <f t="shared" ref="P5:P8" si="9">O5/O$10</f>
        <v>0.06054000523</v>
      </c>
      <c r="Q5" s="270" t="str">
        <f>'The Table'!L24</f>
        <v/>
      </c>
      <c r="R5" s="271" t="str">
        <f t="shared" ref="R5:R8" si="10">Q5/Q$10</f>
        <v>#DIV/0!</v>
      </c>
      <c r="S5" s="268">
        <f>Iktara!J24</f>
        <v>0</v>
      </c>
      <c r="T5" s="269">
        <f t="shared" ref="T5:T8" si="11">S5/S$10</f>
        <v>0</v>
      </c>
      <c r="U5" s="270" t="str">
        <f>Iktara!L24</f>
        <v/>
      </c>
      <c r="V5" s="271" t="str">
        <f t="shared" ref="V5:V8" si="12">U5/U$10</f>
        <v>#DIV/0!</v>
      </c>
      <c r="W5" s="268">
        <f>'Mg St Colaba'!J24</f>
        <v>1217044</v>
      </c>
      <c r="X5" s="269">
        <f t="shared" ref="X5:X8" si="13">W5/W$10</f>
        <v>0.09788917705</v>
      </c>
      <c r="Y5" s="270"/>
      <c r="Z5" s="271" t="str">
        <f t="shared" ref="Z5:Z8" si="14">Y5/Y$10</f>
        <v>#DIV/0!</v>
      </c>
      <c r="AA5" s="268">
        <f>'Mg St LP'!J24</f>
        <v>1116341</v>
      </c>
      <c r="AB5" s="269">
        <f t="shared" ref="AB5:AB8" si="15">AA5/AA$10</f>
        <v>0.1198645129</v>
      </c>
      <c r="AC5" s="270" t="str">
        <f>'Mg St LP'!L24</f>
        <v/>
      </c>
      <c r="AD5" s="271" t="str">
        <f t="shared" ref="AD5:AD8" si="16">AC5/AC$10</f>
        <v>#DIV/0!</v>
      </c>
      <c r="AE5" s="268">
        <f>'Mg St Bandra'!J24</f>
        <v>1681871</v>
      </c>
      <c r="AF5" s="269">
        <f t="shared" ref="AF5:AF8" si="17">AE5/AE$10</f>
        <v>0.09959809501</v>
      </c>
      <c r="AG5" s="270" t="str">
        <f>'Mg St Bandra'!L24</f>
        <v/>
      </c>
      <c r="AH5" s="271" t="str">
        <f t="shared" ref="AH5:AH8" si="18">AG5/AG$10</f>
        <v>#DIV/0!</v>
      </c>
      <c r="AI5" s="268" t="str">
        <f>'MSK Events'!J24</f>
        <v/>
      </c>
      <c r="AJ5" s="269" t="str">
        <f t="shared" ref="AJ5:AJ8" si="19">AI5/AI$10</f>
        <v>#DIV/0!</v>
      </c>
      <c r="AK5" s="270" t="str">
        <f>'MSK Events'!L24</f>
        <v/>
      </c>
      <c r="AL5" s="266"/>
      <c r="AM5" s="268" t="str">
        <f>MSBC!J24</f>
        <v/>
      </c>
      <c r="AN5" s="269">
        <f t="shared" ref="AN5:AN8" si="20">AM5/AM$10</f>
        <v>0</v>
      </c>
      <c r="AO5" s="270">
        <f>MSBC!L24</f>
        <v>0</v>
      </c>
      <c r="AP5" s="271" t="str">
        <f t="shared" ref="AP5:AP8" si="21">AO5/AO$10</f>
        <v>#DIV/0!</v>
      </c>
      <c r="AQ5" s="268">
        <f>Kaspers!J24</f>
        <v>647125</v>
      </c>
      <c r="AR5" s="269"/>
      <c r="AS5" s="270" t="str">
        <f>Kaspers!L24</f>
        <v/>
      </c>
      <c r="AT5" s="266"/>
      <c r="AU5" s="268">
        <f>'MSBC Andheri'!J24</f>
        <v>0</v>
      </c>
      <c r="AV5" s="264"/>
      <c r="AW5" s="270" t="str">
        <f>'MSBC Andheri'!L24</f>
        <v/>
      </c>
      <c r="AX5" s="266"/>
      <c r="AY5" s="268">
        <f>'MSBC Dahisar'!J22</f>
        <v>0</v>
      </c>
      <c r="AZ5" s="264"/>
      <c r="BA5" s="270" t="str">
        <f>'MSBC Dahisar'!L22</f>
        <v/>
      </c>
      <c r="BB5" s="266"/>
      <c r="BC5" s="268">
        <f>'MSBC Juhu  Goregoan'!J22</f>
        <v>0</v>
      </c>
      <c r="BD5" s="264"/>
      <c r="BE5" s="270">
        <f>'MSBC Juhu  Goregoan'!L22</f>
        <v>0</v>
      </c>
      <c r="BF5" s="266"/>
      <c r="BG5" s="268" t="str">
        <f>'LOUD MOUTH'!J24</f>
        <v/>
      </c>
      <c r="BH5" s="264"/>
      <c r="BI5" s="270" t="str">
        <f>'LOUD MOUTH'!L24</f>
        <v/>
      </c>
      <c r="BJ5" s="266"/>
    </row>
    <row r="6" ht="15.75" customHeight="1">
      <c r="B6" s="385" t="s">
        <v>22</v>
      </c>
      <c r="C6" s="277">
        <f t="shared" si="1"/>
        <v>11792046</v>
      </c>
      <c r="D6" s="276">
        <f t="shared" si="2"/>
        <v>0.1601793252</v>
      </c>
      <c r="E6" s="277">
        <f t="shared" si="3"/>
        <v>0</v>
      </c>
      <c r="F6" s="386" t="str">
        <f t="shared" si="4"/>
        <v>#DIV/0!</v>
      </c>
      <c r="G6" s="288">
        <f>HO!J15</f>
        <v>0</v>
      </c>
      <c r="H6" s="229"/>
      <c r="I6" s="280" t="str">
        <f>HO!L15</f>
        <v/>
      </c>
      <c r="J6" s="387"/>
      <c r="K6" s="275">
        <f t="shared" si="5"/>
        <v>11792046</v>
      </c>
      <c r="L6" s="276">
        <f t="shared" si="6"/>
        <v>0.1601793252</v>
      </c>
      <c r="M6" s="277">
        <f t="shared" si="7"/>
        <v>0</v>
      </c>
      <c r="N6" s="386" t="str">
        <f t="shared" si="8"/>
        <v>#DIV/0!</v>
      </c>
      <c r="O6" s="287">
        <f>'The Table'!J25</f>
        <v>4851470</v>
      </c>
      <c r="P6" s="284">
        <f t="shared" si="9"/>
        <v>0.2377288243</v>
      </c>
      <c r="Q6" s="232" t="str">
        <f>'The Table'!L25</f>
        <v/>
      </c>
      <c r="R6" s="285" t="str">
        <f t="shared" si="10"/>
        <v>#DIV/0!</v>
      </c>
      <c r="S6" s="283">
        <f>Iktara!J25</f>
        <v>0</v>
      </c>
      <c r="T6" s="284">
        <f t="shared" si="11"/>
        <v>0</v>
      </c>
      <c r="U6" s="232" t="str">
        <f>Iktara!L25</f>
        <v/>
      </c>
      <c r="V6" s="285" t="str">
        <f t="shared" si="12"/>
        <v>#DIV/0!</v>
      </c>
      <c r="W6" s="283">
        <f>'Mg St Colaba'!J25</f>
        <v>735380</v>
      </c>
      <c r="X6" s="284">
        <f t="shared" si="13"/>
        <v>0.05914802014</v>
      </c>
      <c r="Y6" s="232"/>
      <c r="Z6" s="285" t="str">
        <f t="shared" si="14"/>
        <v>#DIV/0!</v>
      </c>
      <c r="AA6" s="283">
        <f>'Mg St LP'!J25</f>
        <v>0</v>
      </c>
      <c r="AB6" s="284">
        <f t="shared" si="15"/>
        <v>0</v>
      </c>
      <c r="AC6" s="232" t="str">
        <f>'Mg St LP'!L25</f>
        <v/>
      </c>
      <c r="AD6" s="285" t="str">
        <f t="shared" si="16"/>
        <v>#DIV/0!</v>
      </c>
      <c r="AE6" s="283">
        <f>'Mg St Bandra'!J25</f>
        <v>2074971</v>
      </c>
      <c r="AF6" s="284">
        <f t="shared" si="17"/>
        <v>0.1228769381</v>
      </c>
      <c r="AG6" s="232" t="str">
        <f>'Mg St Bandra'!L25</f>
        <v/>
      </c>
      <c r="AH6" s="285" t="str">
        <f t="shared" si="18"/>
        <v>#DIV/0!</v>
      </c>
      <c r="AI6" s="283" t="str">
        <f>'MSK Events'!J25</f>
        <v/>
      </c>
      <c r="AJ6" s="284" t="str">
        <f t="shared" si="19"/>
        <v>#DIV/0!</v>
      </c>
      <c r="AK6" s="232" t="str">
        <f>'MSK Events'!L25</f>
        <v/>
      </c>
      <c r="AL6" s="281"/>
      <c r="AM6" s="283" t="str">
        <f>MSBC!J25</f>
        <v/>
      </c>
      <c r="AN6" s="284">
        <f t="shared" si="20"/>
        <v>0</v>
      </c>
      <c r="AO6" s="232">
        <f>MSBC!L25</f>
        <v>0</v>
      </c>
      <c r="AP6" s="285" t="str">
        <f t="shared" si="21"/>
        <v>#DIV/0!</v>
      </c>
      <c r="AQ6" s="283">
        <f>Kaspers!J25</f>
        <v>4130225</v>
      </c>
      <c r="AR6" s="284"/>
      <c r="AS6" s="232" t="str">
        <f>Kaspers!L25</f>
        <v/>
      </c>
      <c r="AT6" s="281"/>
      <c r="AU6" s="283">
        <f>'MSBC Andheri'!J25</f>
        <v>0</v>
      </c>
      <c r="AV6" s="229"/>
      <c r="AW6" s="232" t="str">
        <f>'MSBC Andheri'!L25</f>
        <v/>
      </c>
      <c r="AX6" s="281"/>
      <c r="AY6" s="283">
        <f>'MSBC Dahisar'!J23</f>
        <v>0</v>
      </c>
      <c r="AZ6" s="229"/>
      <c r="BA6" s="232" t="str">
        <f>'MSBC Dahisar'!L23</f>
        <v/>
      </c>
      <c r="BB6" s="281"/>
      <c r="BC6" s="283">
        <f>'MSBC Juhu  Goregoan'!J23</f>
        <v>0</v>
      </c>
      <c r="BD6" s="229"/>
      <c r="BE6" s="232">
        <f>'MSBC Juhu  Goregoan'!L23</f>
        <v>0</v>
      </c>
      <c r="BF6" s="281"/>
      <c r="BG6" s="283" t="str">
        <f>'LOUD MOUTH'!J25</f>
        <v/>
      </c>
      <c r="BH6" s="229"/>
      <c r="BI6" s="232" t="str">
        <f>'LOUD MOUTH'!L25</f>
        <v/>
      </c>
      <c r="BJ6" s="281"/>
    </row>
    <row r="7" ht="15.75" customHeight="1">
      <c r="B7" s="385" t="s">
        <v>23</v>
      </c>
      <c r="C7" s="277">
        <f t="shared" si="1"/>
        <v>55892645</v>
      </c>
      <c r="D7" s="276">
        <f t="shared" si="2"/>
        <v>0.7592275469</v>
      </c>
      <c r="E7" s="277">
        <f t="shared" si="3"/>
        <v>0</v>
      </c>
      <c r="F7" s="386" t="str">
        <f t="shared" si="4"/>
        <v>#DIV/0!</v>
      </c>
      <c r="G7" s="288">
        <f>HO!J16</f>
        <v>0</v>
      </c>
      <c r="H7" s="229"/>
      <c r="I7" s="280" t="str">
        <f>HO!L16</f>
        <v/>
      </c>
      <c r="J7" s="387"/>
      <c r="K7" s="275">
        <f t="shared" si="5"/>
        <v>55892645</v>
      </c>
      <c r="L7" s="276">
        <f t="shared" si="6"/>
        <v>0.7592275469</v>
      </c>
      <c r="M7" s="277">
        <f t="shared" si="7"/>
        <v>0</v>
      </c>
      <c r="N7" s="386" t="str">
        <f t="shared" si="8"/>
        <v>#DIV/0!</v>
      </c>
      <c r="O7" s="287">
        <f>'The Table'!J26</f>
        <v>14320635</v>
      </c>
      <c r="P7" s="284">
        <f t="shared" si="9"/>
        <v>0.7017311705</v>
      </c>
      <c r="Q7" s="232" t="str">
        <f>'The Table'!L26</f>
        <v/>
      </c>
      <c r="R7" s="285" t="str">
        <f t="shared" si="10"/>
        <v>#DIV/0!</v>
      </c>
      <c r="S7" s="283">
        <f>Iktara!J26</f>
        <v>807500</v>
      </c>
      <c r="T7" s="284">
        <f t="shared" si="11"/>
        <v>1</v>
      </c>
      <c r="U7" s="232" t="str">
        <f>Iktara!L26</f>
        <v/>
      </c>
      <c r="V7" s="285" t="str">
        <f t="shared" si="12"/>
        <v>#DIV/0!</v>
      </c>
      <c r="W7" s="283">
        <f>'Mg St Colaba'!J26</f>
        <v>10480452</v>
      </c>
      <c r="X7" s="284">
        <f t="shared" si="13"/>
        <v>0.8429628028</v>
      </c>
      <c r="Y7" s="232"/>
      <c r="Z7" s="285" t="str">
        <f t="shared" si="14"/>
        <v>#DIV/0!</v>
      </c>
      <c r="AA7" s="283">
        <f>'Mg St LP'!J26</f>
        <v>8189016</v>
      </c>
      <c r="AB7" s="284">
        <f t="shared" si="15"/>
        <v>0.8792765058</v>
      </c>
      <c r="AC7" s="232" t="str">
        <f>'Mg St LP'!L26</f>
        <v/>
      </c>
      <c r="AD7" s="285" t="str">
        <f t="shared" si="16"/>
        <v>#DIV/0!</v>
      </c>
      <c r="AE7" s="283">
        <f>'Mg St Bandra'!J26</f>
        <v>13116005</v>
      </c>
      <c r="AF7" s="284">
        <f t="shared" si="17"/>
        <v>0.7767118359</v>
      </c>
      <c r="AG7" s="232" t="str">
        <f>'Mg St Bandra'!L26</f>
        <v/>
      </c>
      <c r="AH7" s="285" t="str">
        <f t="shared" si="18"/>
        <v>#DIV/0!</v>
      </c>
      <c r="AI7" s="283" t="str">
        <f>'MSK Events'!J26</f>
        <v/>
      </c>
      <c r="AJ7" s="284" t="str">
        <f t="shared" si="19"/>
        <v>#DIV/0!</v>
      </c>
      <c r="AK7" s="232" t="str">
        <f>'MSK Events'!L26</f>
        <v/>
      </c>
      <c r="AL7" s="281"/>
      <c r="AM7" s="283">
        <f>MSBC!J26</f>
        <v>460464</v>
      </c>
      <c r="AN7" s="284">
        <f t="shared" si="20"/>
        <v>1</v>
      </c>
      <c r="AO7" s="232">
        <f>MSBC!L26</f>
        <v>0</v>
      </c>
      <c r="AP7" s="285" t="str">
        <f t="shared" si="21"/>
        <v>#DIV/0!</v>
      </c>
      <c r="AQ7" s="283">
        <f>Kaspers!J26</f>
        <v>7349352</v>
      </c>
      <c r="AR7" s="284"/>
      <c r="AS7" s="232">
        <f>Kaspers!L26</f>
        <v>0</v>
      </c>
      <c r="AT7" s="281"/>
      <c r="AU7" s="283">
        <f>'MSBC Andheri'!J26</f>
        <v>332317</v>
      </c>
      <c r="AV7" s="229"/>
      <c r="AW7" s="232" t="str">
        <f>'MSBC Andheri'!L26</f>
        <v/>
      </c>
      <c r="AX7" s="281"/>
      <c r="AY7" s="283">
        <f>'MSBC Dahisar'!J24</f>
        <v>103369</v>
      </c>
      <c r="AZ7" s="229"/>
      <c r="BA7" s="232" t="str">
        <f>'MSBC Dahisar'!L24</f>
        <v/>
      </c>
      <c r="BB7" s="281"/>
      <c r="BC7" s="283">
        <f>'MSBC Juhu  Goregoan'!J24</f>
        <v>132839</v>
      </c>
      <c r="BD7" s="229"/>
      <c r="BE7" s="232">
        <f>'MSBC Juhu  Goregoan'!L24</f>
        <v>0</v>
      </c>
      <c r="BF7" s="281"/>
      <c r="BG7" s="283">
        <f>'LOUD MOUTH'!J26</f>
        <v>600696</v>
      </c>
      <c r="BH7" s="229"/>
      <c r="BI7" s="232" t="str">
        <f>'LOUD MOUTH'!L26</f>
        <v/>
      </c>
      <c r="BJ7" s="281"/>
    </row>
    <row r="8" ht="15.75" customHeight="1">
      <c r="B8" s="385" t="s">
        <v>24</v>
      </c>
      <c r="C8" s="277">
        <f t="shared" si="1"/>
        <v>0</v>
      </c>
      <c r="D8" s="276">
        <f t="shared" si="2"/>
        <v>0</v>
      </c>
      <c r="E8" s="277">
        <f t="shared" si="3"/>
        <v>0</v>
      </c>
      <c r="F8" s="386" t="str">
        <f t="shared" si="4"/>
        <v>#DIV/0!</v>
      </c>
      <c r="G8" s="288">
        <f>HO!J18</f>
        <v>0</v>
      </c>
      <c r="H8" s="229"/>
      <c r="I8" s="280" t="str">
        <f>HO!L18</f>
        <v/>
      </c>
      <c r="J8" s="387"/>
      <c r="K8" s="275">
        <f t="shared" si="5"/>
        <v>0</v>
      </c>
      <c r="L8" s="276">
        <f t="shared" si="6"/>
        <v>0</v>
      </c>
      <c r="M8" s="277">
        <f t="shared" si="7"/>
        <v>0</v>
      </c>
      <c r="N8" s="386" t="str">
        <f t="shared" si="8"/>
        <v>#DIV/0!</v>
      </c>
      <c r="O8" s="287" t="str">
        <f>'The Table'!J28</f>
        <v/>
      </c>
      <c r="P8" s="284">
        <f t="shared" si="9"/>
        <v>0</v>
      </c>
      <c r="Q8" s="232" t="str">
        <f>'The Table'!L28</f>
        <v/>
      </c>
      <c r="R8" s="285" t="str">
        <f t="shared" si="10"/>
        <v>#DIV/0!</v>
      </c>
      <c r="S8" s="279" t="str">
        <f>Iktara!J28</f>
        <v/>
      </c>
      <c r="T8" s="284">
        <f t="shared" si="11"/>
        <v>0</v>
      </c>
      <c r="U8" s="280">
        <f>Iktara!L28</f>
        <v>0</v>
      </c>
      <c r="V8" s="285" t="str">
        <f t="shared" si="12"/>
        <v>#DIV/0!</v>
      </c>
      <c r="W8" s="283" t="str">
        <f>'Mg St Colaba'!J27</f>
        <v/>
      </c>
      <c r="X8" s="284">
        <f t="shared" si="13"/>
        <v>0</v>
      </c>
      <c r="Y8" s="232"/>
      <c r="Z8" s="285" t="str">
        <f t="shared" si="14"/>
        <v>#DIV/0!</v>
      </c>
      <c r="AA8" s="283" t="str">
        <f>'Mg St LP'!J28</f>
        <v/>
      </c>
      <c r="AB8" s="284">
        <f t="shared" si="15"/>
        <v>0</v>
      </c>
      <c r="AC8" s="232" t="str">
        <f>'Mg St LP'!L28</f>
        <v/>
      </c>
      <c r="AD8" s="285" t="str">
        <f t="shared" si="16"/>
        <v>#DIV/0!</v>
      </c>
      <c r="AE8" s="283" t="str">
        <f>'Mg St Bandra'!J28</f>
        <v/>
      </c>
      <c r="AF8" s="284">
        <f t="shared" si="17"/>
        <v>0</v>
      </c>
      <c r="AG8" s="232">
        <f>'Mg St Bandra'!L28</f>
        <v>0</v>
      </c>
      <c r="AH8" s="285" t="str">
        <f t="shared" si="18"/>
        <v>#DIV/0!</v>
      </c>
      <c r="AI8" s="279" t="str">
        <f>'MSK Events'!J28</f>
        <v/>
      </c>
      <c r="AJ8" s="284" t="str">
        <f t="shared" si="19"/>
        <v>#DIV/0!</v>
      </c>
      <c r="AK8" s="280" t="str">
        <f>'MSK Events'!L28</f>
        <v/>
      </c>
      <c r="AL8" s="281"/>
      <c r="AM8" s="283" t="str">
        <f>MSBC!J28</f>
        <v/>
      </c>
      <c r="AN8" s="284">
        <f t="shared" si="20"/>
        <v>0</v>
      </c>
      <c r="AO8" s="280" t="str">
        <f>MSBC!L28</f>
        <v/>
      </c>
      <c r="AP8" s="285" t="str">
        <f t="shared" si="21"/>
        <v>#DIV/0!</v>
      </c>
      <c r="AQ8" s="283" t="str">
        <f>Kaspers!J28</f>
        <v/>
      </c>
      <c r="AR8" s="284"/>
      <c r="AS8" s="232" t="str">
        <f>Kaspers!L28</f>
        <v/>
      </c>
      <c r="AT8" s="281"/>
      <c r="AU8" s="283">
        <v>0.0</v>
      </c>
      <c r="AV8" s="229"/>
      <c r="AW8" s="232" t="str">
        <f>'MSBC Andheri'!L28</f>
        <v/>
      </c>
      <c r="AX8" s="281"/>
      <c r="AY8" s="283">
        <v>0.0</v>
      </c>
      <c r="AZ8" s="229"/>
      <c r="BA8" s="232">
        <v>0.0</v>
      </c>
      <c r="BB8" s="281"/>
      <c r="BC8" s="283">
        <v>0.0</v>
      </c>
      <c r="BD8" s="229"/>
      <c r="BE8" s="232">
        <v>0.0</v>
      </c>
      <c r="BF8" s="281"/>
      <c r="BG8" s="283" t="str">
        <f>'LOUD MOUTH'!J28</f>
        <v/>
      </c>
      <c r="BH8" s="229"/>
      <c r="BI8" s="232" t="str">
        <f>'LOUD MOUTH'!L28</f>
        <v/>
      </c>
      <c r="BJ8" s="281"/>
    </row>
    <row r="9" ht="15.75" customHeight="1">
      <c r="B9" s="388" t="s">
        <v>162</v>
      </c>
      <c r="C9" s="292">
        <f t="shared" si="1"/>
        <v>35231</v>
      </c>
      <c r="D9" s="291">
        <f t="shared" si="2"/>
        <v>0.000478566468</v>
      </c>
      <c r="E9" s="292">
        <f t="shared" si="3"/>
        <v>0</v>
      </c>
      <c r="F9" s="389" t="str">
        <f t="shared" si="4"/>
        <v>#DIV/0!</v>
      </c>
      <c r="G9" s="390"/>
      <c r="H9" s="229"/>
      <c r="I9" s="229"/>
      <c r="J9" s="387"/>
      <c r="K9" s="275">
        <f t="shared" si="5"/>
        <v>35231</v>
      </c>
      <c r="L9" s="291">
        <f t="shared" si="6"/>
        <v>0.000478566468</v>
      </c>
      <c r="M9" s="277">
        <f t="shared" si="7"/>
        <v>0</v>
      </c>
      <c r="N9" s="389" t="str">
        <f t="shared" si="8"/>
        <v>#DIV/0!</v>
      </c>
      <c r="O9" s="369" t="str">
        <f>'The Table'!J22</f>
        <v/>
      </c>
      <c r="P9" s="295"/>
      <c r="Q9" s="295" t="str">
        <f>'The Table'!L22</f>
        <v/>
      </c>
      <c r="R9" s="296"/>
      <c r="S9" s="297">
        <v>0.0</v>
      </c>
      <c r="T9" s="295"/>
      <c r="U9" s="295">
        <v>0.0</v>
      </c>
      <c r="V9" s="296"/>
      <c r="W9" s="297">
        <v>0.0</v>
      </c>
      <c r="X9" s="295"/>
      <c r="Y9" s="295"/>
      <c r="Z9" s="296"/>
      <c r="AA9" s="297">
        <f>'Mg St LP'!J22</f>
        <v>8000</v>
      </c>
      <c r="AB9" s="295"/>
      <c r="AC9" s="295" t="str">
        <f>'Mg St LP'!L22</f>
        <v/>
      </c>
      <c r="AD9" s="296"/>
      <c r="AE9" s="297">
        <f>'Mg St Bandra'!J22</f>
        <v>13731</v>
      </c>
      <c r="AF9" s="295"/>
      <c r="AG9" s="295" t="str">
        <f>'Mg St Bandra'!L22</f>
        <v/>
      </c>
      <c r="AH9" s="296"/>
      <c r="AI9" s="297">
        <v>0.0</v>
      </c>
      <c r="AJ9" s="295"/>
      <c r="AK9" s="295">
        <v>0.0</v>
      </c>
      <c r="AL9" s="296"/>
      <c r="AM9" s="297">
        <v>0.0</v>
      </c>
      <c r="AN9" s="295"/>
      <c r="AO9" s="295">
        <v>0.0</v>
      </c>
      <c r="AP9" s="296"/>
      <c r="AQ9" s="297">
        <f>Kaspers!J22</f>
        <v>13500</v>
      </c>
      <c r="AR9" s="295"/>
      <c r="AS9" s="295" t="str">
        <f>Kaspers!L22</f>
        <v/>
      </c>
      <c r="AT9" s="296"/>
      <c r="AU9" s="297">
        <v>0.0</v>
      </c>
      <c r="AV9" s="295"/>
      <c r="AW9" s="295">
        <v>0.0</v>
      </c>
      <c r="AX9" s="296"/>
      <c r="AY9" s="297">
        <v>0.0</v>
      </c>
      <c r="AZ9" s="295"/>
      <c r="BA9" s="295">
        <v>0.0</v>
      </c>
      <c r="BB9" s="296"/>
      <c r="BC9" s="297">
        <v>0.0</v>
      </c>
      <c r="BD9" s="295"/>
      <c r="BE9" s="295">
        <v>0.0</v>
      </c>
      <c r="BF9" s="296"/>
      <c r="BG9" s="297"/>
      <c r="BH9" s="295"/>
      <c r="BI9" s="295">
        <v>0.0</v>
      </c>
      <c r="BJ9" s="296"/>
    </row>
    <row r="10" ht="15.75" customHeight="1">
      <c r="B10" s="391" t="s">
        <v>26</v>
      </c>
      <c r="C10" s="161">
        <f>SUM(C5:C9)</f>
        <v>73617778</v>
      </c>
      <c r="D10" s="300">
        <f t="shared" si="2"/>
        <v>1</v>
      </c>
      <c r="E10" s="161">
        <f>SUM(E5:E9)</f>
        <v>0</v>
      </c>
      <c r="F10" s="392" t="str">
        <f t="shared" si="4"/>
        <v>#DIV/0!</v>
      </c>
      <c r="G10" s="164">
        <f>SUM(G5:G9)</f>
        <v>0</v>
      </c>
      <c r="H10" s="303"/>
      <c r="I10" s="161">
        <f>SUM(I5:I9)</f>
        <v>0</v>
      </c>
      <c r="J10" s="305"/>
      <c r="K10" s="164">
        <f>SUM(K5:K9)</f>
        <v>73617778</v>
      </c>
      <c r="L10" s="300">
        <f t="shared" si="6"/>
        <v>1</v>
      </c>
      <c r="M10" s="161">
        <f>SUM(M5:M9)</f>
        <v>0</v>
      </c>
      <c r="N10" s="392" t="str">
        <f t="shared" si="8"/>
        <v>#DIV/0!</v>
      </c>
      <c r="O10" s="164">
        <f>SUM(O5:O9)</f>
        <v>20407580</v>
      </c>
      <c r="P10" s="303"/>
      <c r="Q10" s="161">
        <f>SUM(Q5:Q9)</f>
        <v>0</v>
      </c>
      <c r="R10" s="304"/>
      <c r="S10" s="302">
        <f>SUM(S5:S9)</f>
        <v>807500</v>
      </c>
      <c r="T10" s="303"/>
      <c r="U10" s="161">
        <f>SUM(U5:U9)</f>
        <v>0</v>
      </c>
      <c r="V10" s="304"/>
      <c r="W10" s="302">
        <f>SUM(W5:W9)</f>
        <v>12432876</v>
      </c>
      <c r="X10" s="303"/>
      <c r="Y10" s="161">
        <f>SUM(Y5:Y9)</f>
        <v>0</v>
      </c>
      <c r="Z10" s="304"/>
      <c r="AA10" s="302">
        <f>SUM(AA5:AA9)</f>
        <v>9313357</v>
      </c>
      <c r="AB10" s="303"/>
      <c r="AC10" s="161">
        <f>SUM(AC5:AC9)</f>
        <v>0</v>
      </c>
      <c r="AD10" s="304"/>
      <c r="AE10" s="302">
        <f>SUM(AE5:AE9)</f>
        <v>16886578</v>
      </c>
      <c r="AF10" s="303"/>
      <c r="AG10" s="161">
        <f>SUM(AG5:AG9)</f>
        <v>0</v>
      </c>
      <c r="AH10" s="304"/>
      <c r="AI10" s="302">
        <f>SUM(AI5:AI9)</f>
        <v>0</v>
      </c>
      <c r="AJ10" s="303"/>
      <c r="AK10" s="161">
        <f>SUM(AK5:AK9)</f>
        <v>0</v>
      </c>
      <c r="AL10" s="304"/>
      <c r="AM10" s="302">
        <f>SUM(AM5:AM9)</f>
        <v>460464</v>
      </c>
      <c r="AN10" s="303"/>
      <c r="AO10" s="161">
        <f>SUM(AO5:AO9)</f>
        <v>0</v>
      </c>
      <c r="AP10" s="304"/>
      <c r="AQ10" s="302">
        <f>SUM(AQ5:AQ9)</f>
        <v>12140202</v>
      </c>
      <c r="AR10" s="303"/>
      <c r="AS10" s="161">
        <f>SUM(AS5:AS9)</f>
        <v>0</v>
      </c>
      <c r="AT10" s="304"/>
      <c r="AU10" s="302">
        <f>SUM(AU5:AU9)</f>
        <v>332317</v>
      </c>
      <c r="AV10" s="303"/>
      <c r="AW10" s="161">
        <f>SUM(AW5:AW9)</f>
        <v>0</v>
      </c>
      <c r="AX10" s="304"/>
      <c r="AY10" s="302">
        <f>SUM(AY5:AY9)</f>
        <v>103369</v>
      </c>
      <c r="AZ10" s="303"/>
      <c r="BA10" s="161">
        <f>SUM(BA5:BA9)</f>
        <v>0</v>
      </c>
      <c r="BB10" s="304"/>
      <c r="BC10" s="302">
        <f>SUM(BC5:BC9)</f>
        <v>132839</v>
      </c>
      <c r="BD10" s="303"/>
      <c r="BE10" s="161">
        <f>SUM(BE5:BE9)</f>
        <v>0</v>
      </c>
      <c r="BF10" s="304"/>
      <c r="BG10" s="302">
        <f>SUM(BG5:BG9)</f>
        <v>600696</v>
      </c>
      <c r="BH10" s="303"/>
      <c r="BI10" s="161">
        <f>SUM(BI5:BI9)</f>
        <v>0</v>
      </c>
      <c r="BJ10" s="304"/>
    </row>
    <row r="11" ht="15.75" customHeight="1">
      <c r="B11" s="393"/>
      <c r="C11" s="308"/>
      <c r="D11" s="308"/>
      <c r="E11" s="308"/>
      <c r="F11" s="394"/>
      <c r="G11" s="317"/>
      <c r="H11" s="311"/>
      <c r="I11" s="312"/>
      <c r="J11" s="316"/>
      <c r="K11" s="307"/>
      <c r="L11" s="308"/>
      <c r="M11" s="315"/>
      <c r="N11" s="394"/>
      <c r="O11" s="317"/>
      <c r="P11" s="311"/>
      <c r="Q11" s="311"/>
      <c r="R11" s="313"/>
      <c r="S11" s="310"/>
      <c r="T11" s="311"/>
      <c r="U11" s="311"/>
      <c r="V11" s="313"/>
      <c r="W11" s="310"/>
      <c r="X11" s="311"/>
      <c r="Y11" s="311"/>
      <c r="Z11" s="313"/>
      <c r="AA11" s="310"/>
      <c r="AB11" s="311"/>
      <c r="AC11" s="311"/>
      <c r="AD11" s="313"/>
      <c r="AE11" s="310"/>
      <c r="AF11" s="311"/>
      <c r="AG11" s="311"/>
      <c r="AH11" s="313"/>
      <c r="AI11" s="310"/>
      <c r="AJ11" s="311"/>
      <c r="AK11" s="311"/>
      <c r="AL11" s="313"/>
      <c r="AM11" s="310"/>
      <c r="AN11" s="311"/>
      <c r="AO11" s="311"/>
      <c r="AP11" s="313"/>
      <c r="AQ11" s="310"/>
      <c r="AR11" s="311"/>
      <c r="AS11" s="311"/>
      <c r="AT11" s="313"/>
      <c r="AU11" s="310">
        <v>0.0</v>
      </c>
      <c r="AV11" s="311"/>
      <c r="AW11" s="311"/>
      <c r="AX11" s="313"/>
      <c r="AY11" s="310"/>
      <c r="AZ11" s="311"/>
      <c r="BA11" s="311"/>
      <c r="BB11" s="313"/>
      <c r="BC11" s="310"/>
      <c r="BD11" s="311"/>
      <c r="BE11" s="311"/>
      <c r="BF11" s="313"/>
      <c r="BG11" s="310"/>
      <c r="BH11" s="311"/>
      <c r="BI11" s="311">
        <v>0.0</v>
      </c>
      <c r="BJ11" s="313"/>
    </row>
    <row r="12" ht="15.75" customHeight="1">
      <c r="B12" s="391" t="s">
        <v>28</v>
      </c>
      <c r="C12" s="319">
        <f t="shared" ref="C12:C14" si="22">G12+K12</f>
        <v>28301881.55</v>
      </c>
      <c r="D12" s="300">
        <f t="shared" ref="D12:D14" si="23">C12/C$10</f>
        <v>0.3844435722</v>
      </c>
      <c r="E12" s="319">
        <f t="shared" ref="E12:E13" si="24">I12+M12</f>
        <v>0</v>
      </c>
      <c r="F12" s="392" t="str">
        <f t="shared" ref="F12:F13" si="25">E12/E$10</f>
        <v>#DIV/0!</v>
      </c>
      <c r="G12" s="330">
        <f>HO!J32</f>
        <v>0</v>
      </c>
      <c r="H12" s="321"/>
      <c r="I12" s="331" t="str">
        <f>HO!L32</f>
        <v/>
      </c>
      <c r="J12" s="395"/>
      <c r="K12" s="318">
        <f t="shared" ref="K12:K14" si="26">O12+S12+W12+AA12+AE12+AI12+AM12+AQ12+AU12+AY12+BC12+BG12</f>
        <v>28301881.55</v>
      </c>
      <c r="L12" s="300">
        <f t="shared" ref="L12:L13" si="27">K12/K$10</f>
        <v>0.3844435722</v>
      </c>
      <c r="M12" s="319">
        <f t="shared" ref="M12:M14" si="28">Q12+U12+Y12+AC12+AG12+AK12+AO12+AS12+AW12+BA12+BE12+BI12</f>
        <v>0</v>
      </c>
      <c r="N12" s="392" t="str">
        <f t="shared" ref="N12:N13" si="29">M12/M$10</f>
        <v>#DIV/0!</v>
      </c>
      <c r="O12" s="396">
        <f>'The Table'!J39</f>
        <v>7196374.924</v>
      </c>
      <c r="P12" s="326">
        <f t="shared" ref="P12:P13" si="30">O12/O$10</f>
        <v>0.3526324495</v>
      </c>
      <c r="Q12" s="327">
        <f>'The Table'!L39</f>
        <v>0</v>
      </c>
      <c r="R12" s="328" t="str">
        <f t="shared" ref="R12:R13" si="31">Q12/Q$10</f>
        <v>#DIV/0!</v>
      </c>
      <c r="S12" s="325">
        <f>Iktara!J40</f>
        <v>287157.0229</v>
      </c>
      <c r="T12" s="326">
        <f t="shared" ref="T12:T13" si="32">S12/S$10</f>
        <v>0.3556124123</v>
      </c>
      <c r="U12" s="327">
        <f>Iktara!L40</f>
        <v>0</v>
      </c>
      <c r="V12" s="328" t="str">
        <f t="shared" ref="V12:V13" si="33">U12/U$10</f>
        <v>#DIV/0!</v>
      </c>
      <c r="W12" s="325">
        <f>'Mg St Colaba'!J47</f>
        <v>5012275.466</v>
      </c>
      <c r="X12" s="326">
        <f t="shared" ref="X12:X13" si="34">W12/W$10</f>
        <v>0.4031469039</v>
      </c>
      <c r="Y12" s="327"/>
      <c r="Z12" s="328" t="str">
        <f t="shared" ref="Z12:Z13" si="35">Y12/Y$10</f>
        <v>#DIV/0!</v>
      </c>
      <c r="AA12" s="325">
        <f>'Mg St LP'!J49</f>
        <v>3629432.934</v>
      </c>
      <c r="AB12" s="326">
        <f t="shared" ref="AB12:AB13" si="36">AA12/AA$10</f>
        <v>0.3897019017</v>
      </c>
      <c r="AC12" s="327" t="str">
        <f>'Mg St LP'!L49</f>
        <v/>
      </c>
      <c r="AD12" s="328" t="str">
        <f t="shared" ref="AD12:AD13" si="37">AC12/AC$10</f>
        <v>#DIV/0!</v>
      </c>
      <c r="AE12" s="325">
        <f>'Mg St Bandra'!J47</f>
        <v>5871139.28</v>
      </c>
      <c r="AF12" s="326">
        <f t="shared" ref="AF12:AF13" si="38">AE12/AE$10</f>
        <v>0.3476808197</v>
      </c>
      <c r="AG12" s="327">
        <f>'Mg St Bandra'!L47</f>
        <v>0</v>
      </c>
      <c r="AH12" s="328" t="str">
        <f t="shared" ref="AH12:AH13" si="39">AG12/AG$10</f>
        <v>#DIV/0!</v>
      </c>
      <c r="AI12" s="320">
        <f>'MSK Events'!J47</f>
        <v>0</v>
      </c>
      <c r="AJ12" s="326" t="str">
        <f>AI12/AI$10</f>
        <v>#DIV/0!</v>
      </c>
      <c r="AK12" s="322">
        <f>'MSK Events'!L47</f>
        <v>0</v>
      </c>
      <c r="AL12" s="323"/>
      <c r="AM12" s="325">
        <f>MSBC!J47</f>
        <v>877373.1362</v>
      </c>
      <c r="AN12" s="321"/>
      <c r="AO12" s="322">
        <f>MSBC!L47</f>
        <v>0</v>
      </c>
      <c r="AP12" s="323"/>
      <c r="AQ12" s="325">
        <f>Kaspers!J47</f>
        <v>4712035.396</v>
      </c>
      <c r="AR12" s="321"/>
      <c r="AS12" s="327">
        <f>Kaspers!L47</f>
        <v>0</v>
      </c>
      <c r="AT12" s="323"/>
      <c r="AU12" s="325">
        <f>'MSBC Andheri'!J46</f>
        <v>99085.77</v>
      </c>
      <c r="AV12" s="321"/>
      <c r="AW12" s="327">
        <f>'MSBC Andheri'!L46</f>
        <v>0</v>
      </c>
      <c r="AX12" s="323"/>
      <c r="AY12" s="325">
        <f>'MSBC Dahisar'!J44</f>
        <v>182309.3869</v>
      </c>
      <c r="AZ12" s="321"/>
      <c r="BA12" s="327">
        <f>'MSBC Dahisar'!L44</f>
        <v>0</v>
      </c>
      <c r="BB12" s="323"/>
      <c r="BC12" s="325">
        <f>'MSBC Juhu  Goregoan'!J37</f>
        <v>221635.6562</v>
      </c>
      <c r="BD12" s="321"/>
      <c r="BE12" s="327">
        <f>'MSBC Juhu  Goregoan'!L37</f>
        <v>0</v>
      </c>
      <c r="BF12" s="323"/>
      <c r="BG12" s="325">
        <f>'LOUD MOUTH'!J39</f>
        <v>213062.58</v>
      </c>
      <c r="BH12" s="321"/>
      <c r="BI12" s="327" t="str">
        <f>'LOUD MOUTH'!L39</f>
        <v/>
      </c>
      <c r="BJ12" s="323"/>
    </row>
    <row r="13" ht="15.75" customHeight="1">
      <c r="B13" s="391" t="s">
        <v>29</v>
      </c>
      <c r="C13" s="319">
        <f t="shared" si="22"/>
        <v>996226.27</v>
      </c>
      <c r="D13" s="300">
        <f t="shared" si="23"/>
        <v>0.01353241428</v>
      </c>
      <c r="E13" s="319">
        <f t="shared" si="24"/>
        <v>0</v>
      </c>
      <c r="F13" s="392" t="str">
        <f t="shared" si="25"/>
        <v>#DIV/0!</v>
      </c>
      <c r="G13" s="330" t="str">
        <f>HO!J33</f>
        <v/>
      </c>
      <c r="H13" s="321"/>
      <c r="I13" s="322" t="str">
        <f>HO!L33</f>
        <v/>
      </c>
      <c r="J13" s="395"/>
      <c r="K13" s="318">
        <f t="shared" si="26"/>
        <v>996226.27</v>
      </c>
      <c r="L13" s="300">
        <f t="shared" si="27"/>
        <v>0.01353241428</v>
      </c>
      <c r="M13" s="319">
        <f t="shared" si="28"/>
        <v>0</v>
      </c>
      <c r="N13" s="392" t="str">
        <f t="shared" si="29"/>
        <v>#DIV/0!</v>
      </c>
      <c r="O13" s="396">
        <f>'The Table'!J40</f>
        <v>58949.25</v>
      </c>
      <c r="P13" s="326">
        <f t="shared" si="30"/>
        <v>0.002888595806</v>
      </c>
      <c r="Q13" s="327">
        <f>'The Table'!L40</f>
        <v>0</v>
      </c>
      <c r="R13" s="328" t="str">
        <f t="shared" si="31"/>
        <v>#DIV/0!</v>
      </c>
      <c r="S13" s="325">
        <f>Iktara!J41</f>
        <v>29560</v>
      </c>
      <c r="T13" s="326">
        <f t="shared" si="32"/>
        <v>0.03660681115</v>
      </c>
      <c r="U13" s="327" t="str">
        <f>Iktara!L41</f>
        <v/>
      </c>
      <c r="V13" s="328" t="str">
        <f t="shared" si="33"/>
        <v>#DIV/0!</v>
      </c>
      <c r="W13" s="325">
        <f>'Mg St Colaba'!J48</f>
        <v>179370</v>
      </c>
      <c r="X13" s="326">
        <f t="shared" si="34"/>
        <v>0.01442707222</v>
      </c>
      <c r="Y13" s="327"/>
      <c r="Z13" s="328" t="str">
        <f t="shared" si="35"/>
        <v>#DIV/0!</v>
      </c>
      <c r="AA13" s="325">
        <f>'Mg St LP'!J50</f>
        <v>229061</v>
      </c>
      <c r="AB13" s="326">
        <f t="shared" si="36"/>
        <v>0.02459489097</v>
      </c>
      <c r="AC13" s="327" t="str">
        <f>'Mg St LP'!L50</f>
        <v/>
      </c>
      <c r="AD13" s="328" t="str">
        <f t="shared" si="37"/>
        <v>#DIV/0!</v>
      </c>
      <c r="AE13" s="325">
        <f>'Mg St Bandra'!J48</f>
        <v>309372.52</v>
      </c>
      <c r="AF13" s="326">
        <f t="shared" si="38"/>
        <v>0.01832061653</v>
      </c>
      <c r="AG13" s="327" t="str">
        <f>'Mg St Bandra'!L48</f>
        <v/>
      </c>
      <c r="AH13" s="328" t="str">
        <f t="shared" si="39"/>
        <v>#DIV/0!</v>
      </c>
      <c r="AI13" s="320">
        <f>'MSK Events'!J48</f>
        <v>1030</v>
      </c>
      <c r="AJ13" s="321"/>
      <c r="AK13" s="322" t="str">
        <f>'MSK Events'!L48</f>
        <v/>
      </c>
      <c r="AL13" s="323"/>
      <c r="AM13" s="325">
        <f>MSBC!J48</f>
        <v>109653</v>
      </c>
      <c r="AN13" s="321"/>
      <c r="AO13" s="322" t="str">
        <f>MSBC!L48</f>
        <v/>
      </c>
      <c r="AP13" s="323"/>
      <c r="AQ13" s="325">
        <f>Kaspers!J48</f>
        <v>27761.5</v>
      </c>
      <c r="AR13" s="321"/>
      <c r="AS13" s="327">
        <f>Kaspers!L48</f>
        <v>0</v>
      </c>
      <c r="AT13" s="323"/>
      <c r="AU13" s="325">
        <f>'MSBC Andheri'!J47</f>
        <v>6379</v>
      </c>
      <c r="AV13" s="321"/>
      <c r="AW13" s="327" t="str">
        <f>'MSBC Andheri'!L47</f>
        <v/>
      </c>
      <c r="AX13" s="323"/>
      <c r="AY13" s="325">
        <f>'MSBC Dahisar'!J45</f>
        <v>668</v>
      </c>
      <c r="AZ13" s="321"/>
      <c r="BA13" s="327" t="str">
        <f>'MSBC Dahisar'!L45</f>
        <v/>
      </c>
      <c r="BB13" s="323"/>
      <c r="BC13" s="325">
        <f>'MSBC Juhu  Goregoan'!J38</f>
        <v>3293</v>
      </c>
      <c r="BD13" s="321"/>
      <c r="BE13" s="327" t="str">
        <f>'MSBC Juhu  Goregoan'!L38</f>
        <v/>
      </c>
      <c r="BF13" s="323"/>
      <c r="BG13" s="325">
        <f>'LOUD MOUTH'!J40</f>
        <v>41129</v>
      </c>
      <c r="BH13" s="321"/>
      <c r="BI13" s="327" t="str">
        <f>'LOUD MOUTH'!L40</f>
        <v/>
      </c>
      <c r="BJ13" s="323"/>
    </row>
    <row r="14" ht="15.75" customHeight="1">
      <c r="B14" s="391" t="s">
        <v>163</v>
      </c>
      <c r="C14" s="334">
        <f t="shared" si="22"/>
        <v>0</v>
      </c>
      <c r="D14" s="333">
        <f t="shared" si="23"/>
        <v>0</v>
      </c>
      <c r="E14" s="334"/>
      <c r="F14" s="397"/>
      <c r="G14" s="330"/>
      <c r="H14" s="322"/>
      <c r="I14" s="322"/>
      <c r="J14" s="331"/>
      <c r="K14" s="318">
        <f t="shared" si="26"/>
        <v>0</v>
      </c>
      <c r="L14" s="333"/>
      <c r="M14" s="319">
        <f t="shared" si="28"/>
        <v>0</v>
      </c>
      <c r="N14" s="397"/>
      <c r="O14" s="396"/>
      <c r="P14" s="326"/>
      <c r="Q14" s="327"/>
      <c r="R14" s="328"/>
      <c r="S14" s="325"/>
      <c r="T14" s="326"/>
      <c r="U14" s="321"/>
      <c r="V14" s="328"/>
      <c r="W14" s="325"/>
      <c r="X14" s="326"/>
      <c r="Y14" s="321"/>
      <c r="Z14" s="328"/>
      <c r="AA14" s="325"/>
      <c r="AB14" s="326"/>
      <c r="AC14" s="327"/>
      <c r="AD14" s="328"/>
      <c r="AE14" s="325"/>
      <c r="AF14" s="326"/>
      <c r="AG14" s="321"/>
      <c r="AH14" s="328"/>
      <c r="AI14" s="398"/>
      <c r="AJ14" s="321"/>
      <c r="AK14" s="321"/>
      <c r="AL14" s="323"/>
      <c r="AM14" s="325"/>
      <c r="AN14" s="321"/>
      <c r="AO14" s="321"/>
      <c r="AP14" s="323"/>
      <c r="AQ14" s="337"/>
      <c r="AR14" s="321"/>
      <c r="AS14" s="327"/>
      <c r="AT14" s="323"/>
      <c r="AU14" s="338"/>
      <c r="AV14" s="339"/>
      <c r="AW14" s="339"/>
      <c r="AX14" s="399"/>
      <c r="AY14" s="400"/>
      <c r="AZ14" s="339"/>
      <c r="BA14" s="339"/>
      <c r="BB14" s="401"/>
      <c r="BC14" s="337"/>
      <c r="BD14" s="339"/>
      <c r="BE14" s="339"/>
      <c r="BF14" s="401"/>
      <c r="BG14" s="338"/>
      <c r="BH14" s="339"/>
      <c r="BI14" s="339"/>
      <c r="BJ14" s="339"/>
    </row>
    <row r="15" ht="15.75" customHeight="1">
      <c r="B15" s="391" t="s">
        <v>30</v>
      </c>
      <c r="C15" s="161">
        <f t="shared" ref="C15:AM15" si="40">SUM(C12:C14)</f>
        <v>29298107.82</v>
      </c>
      <c r="D15" s="341">
        <f t="shared" si="40"/>
        <v>0.3979759865</v>
      </c>
      <c r="E15" s="161">
        <f t="shared" si="40"/>
        <v>0</v>
      </c>
      <c r="F15" s="345" t="str">
        <f t="shared" si="40"/>
        <v>#DIV/0!</v>
      </c>
      <c r="G15" s="346">
        <f t="shared" si="40"/>
        <v>0</v>
      </c>
      <c r="H15" s="303">
        <f t="shared" si="40"/>
        <v>0</v>
      </c>
      <c r="I15" s="161">
        <f t="shared" si="40"/>
        <v>0</v>
      </c>
      <c r="J15" s="305">
        <f t="shared" si="40"/>
        <v>0</v>
      </c>
      <c r="K15" s="164">
        <f t="shared" si="40"/>
        <v>29298107.82</v>
      </c>
      <c r="L15" s="341">
        <f t="shared" si="40"/>
        <v>0.3979759865</v>
      </c>
      <c r="M15" s="161">
        <f t="shared" si="40"/>
        <v>0</v>
      </c>
      <c r="N15" s="345" t="str">
        <f t="shared" si="40"/>
        <v>#DIV/0!</v>
      </c>
      <c r="O15" s="164">
        <f t="shared" si="40"/>
        <v>7255324.174</v>
      </c>
      <c r="P15" s="341">
        <f t="shared" si="40"/>
        <v>0.3555210453</v>
      </c>
      <c r="Q15" s="161">
        <f t="shared" si="40"/>
        <v>0</v>
      </c>
      <c r="R15" s="342" t="str">
        <f t="shared" si="40"/>
        <v>#DIV/0!</v>
      </c>
      <c r="S15" s="302">
        <f t="shared" si="40"/>
        <v>316717.0229</v>
      </c>
      <c r="T15" s="341">
        <f t="shared" si="40"/>
        <v>0.3922192234</v>
      </c>
      <c r="U15" s="161">
        <f t="shared" si="40"/>
        <v>0</v>
      </c>
      <c r="V15" s="342" t="str">
        <f t="shared" si="40"/>
        <v>#DIV/0!</v>
      </c>
      <c r="W15" s="302">
        <f t="shared" si="40"/>
        <v>5191645.466</v>
      </c>
      <c r="X15" s="341">
        <f t="shared" si="40"/>
        <v>0.4175739761</v>
      </c>
      <c r="Y15" s="161">
        <f t="shared" si="40"/>
        <v>0</v>
      </c>
      <c r="Z15" s="342" t="str">
        <f t="shared" si="40"/>
        <v>#DIV/0!</v>
      </c>
      <c r="AA15" s="302">
        <f t="shared" si="40"/>
        <v>3858493.934</v>
      </c>
      <c r="AB15" s="341">
        <f t="shared" si="40"/>
        <v>0.4142967927</v>
      </c>
      <c r="AC15" s="161">
        <f t="shared" si="40"/>
        <v>0</v>
      </c>
      <c r="AD15" s="342" t="str">
        <f t="shared" si="40"/>
        <v>#DIV/0!</v>
      </c>
      <c r="AE15" s="302">
        <f t="shared" si="40"/>
        <v>6180511.8</v>
      </c>
      <c r="AF15" s="341">
        <f t="shared" si="40"/>
        <v>0.3660014362</v>
      </c>
      <c r="AG15" s="161">
        <f t="shared" si="40"/>
        <v>0</v>
      </c>
      <c r="AH15" s="342" t="str">
        <f t="shared" si="40"/>
        <v>#DIV/0!</v>
      </c>
      <c r="AI15" s="343">
        <f t="shared" si="40"/>
        <v>1030</v>
      </c>
      <c r="AJ15" s="341" t="str">
        <f t="shared" si="40"/>
        <v>#DIV/0!</v>
      </c>
      <c r="AK15" s="344">
        <f t="shared" si="40"/>
        <v>0</v>
      </c>
      <c r="AL15" s="304">
        <f t="shared" si="40"/>
        <v>0</v>
      </c>
      <c r="AM15" s="302">
        <f t="shared" si="40"/>
        <v>987026.1362</v>
      </c>
      <c r="AN15" s="303"/>
      <c r="AO15" s="344">
        <f>SUM(AO12:AO14)</f>
        <v>0</v>
      </c>
      <c r="AP15" s="304"/>
      <c r="AQ15" s="302">
        <f>SUM(AQ12:AQ13)</f>
        <v>4739796.896</v>
      </c>
      <c r="AR15" s="303"/>
      <c r="AS15" s="161">
        <f>SUM(AS12:AS14)</f>
        <v>0</v>
      </c>
      <c r="AT15" s="304"/>
      <c r="AU15" s="302">
        <f t="shared" ref="AU15:BJ15" si="41">SUM(AU12:AU14)</f>
        <v>105464.77</v>
      </c>
      <c r="AV15" s="161">
        <f t="shared" si="41"/>
        <v>0</v>
      </c>
      <c r="AW15" s="161">
        <f t="shared" si="41"/>
        <v>0</v>
      </c>
      <c r="AX15" s="347">
        <f t="shared" si="41"/>
        <v>0</v>
      </c>
      <c r="AY15" s="302">
        <f t="shared" si="41"/>
        <v>182977.3869</v>
      </c>
      <c r="AZ15" s="161">
        <f t="shared" si="41"/>
        <v>0</v>
      </c>
      <c r="BA15" s="161">
        <f t="shared" si="41"/>
        <v>0</v>
      </c>
      <c r="BB15" s="347">
        <f t="shared" si="41"/>
        <v>0</v>
      </c>
      <c r="BC15" s="302">
        <f t="shared" si="41"/>
        <v>224928.6562</v>
      </c>
      <c r="BD15" s="161">
        <f t="shared" si="41"/>
        <v>0</v>
      </c>
      <c r="BE15" s="161">
        <f t="shared" si="41"/>
        <v>0</v>
      </c>
      <c r="BF15" s="347">
        <f t="shared" si="41"/>
        <v>0</v>
      </c>
      <c r="BG15" s="302">
        <f t="shared" si="41"/>
        <v>254191.58</v>
      </c>
      <c r="BH15" s="161">
        <f t="shared" si="41"/>
        <v>0</v>
      </c>
      <c r="BI15" s="161">
        <f t="shared" si="41"/>
        <v>0</v>
      </c>
      <c r="BJ15" s="347">
        <f t="shared" si="41"/>
        <v>0</v>
      </c>
    </row>
    <row r="16" ht="15.75" customHeight="1">
      <c r="B16" s="402"/>
      <c r="C16" s="350"/>
      <c r="D16" s="350"/>
      <c r="E16" s="350"/>
      <c r="F16" s="403"/>
      <c r="G16" s="317"/>
      <c r="H16" s="311"/>
      <c r="I16" s="312"/>
      <c r="J16" s="316"/>
      <c r="K16" s="349"/>
      <c r="L16" s="350"/>
      <c r="M16" s="353"/>
      <c r="N16" s="403"/>
      <c r="O16" s="317"/>
      <c r="P16" s="311"/>
      <c r="Q16" s="311"/>
      <c r="R16" s="313"/>
      <c r="S16" s="310"/>
      <c r="T16" s="311"/>
      <c r="U16" s="311"/>
      <c r="V16" s="313"/>
      <c r="W16" s="310"/>
      <c r="X16" s="311"/>
      <c r="Y16" s="311"/>
      <c r="Z16" s="313"/>
      <c r="AA16" s="310"/>
      <c r="AB16" s="311"/>
      <c r="AC16" s="311"/>
      <c r="AD16" s="313"/>
      <c r="AE16" s="310"/>
      <c r="AF16" s="311"/>
      <c r="AG16" s="311"/>
      <c r="AH16" s="313"/>
      <c r="AI16" s="310"/>
      <c r="AJ16" s="311"/>
      <c r="AK16" s="311"/>
      <c r="AL16" s="313"/>
      <c r="AM16" s="310"/>
      <c r="AN16" s="311"/>
      <c r="AO16" s="311"/>
      <c r="AP16" s="313"/>
      <c r="AQ16" s="310"/>
      <c r="AR16" s="311"/>
      <c r="AS16" s="311"/>
      <c r="AT16" s="313"/>
      <c r="AU16" s="310">
        <v>0.0</v>
      </c>
      <c r="AV16" s="311"/>
      <c r="AW16" s="311">
        <v>0.0</v>
      </c>
      <c r="AX16" s="313"/>
      <c r="AY16" s="310"/>
      <c r="AZ16" s="311"/>
      <c r="BA16" s="311"/>
      <c r="BB16" s="313"/>
      <c r="BC16" s="310"/>
      <c r="BD16" s="311"/>
      <c r="BE16" s="311"/>
      <c r="BF16" s="313"/>
      <c r="BG16" s="310"/>
      <c r="BH16" s="311"/>
      <c r="BI16" s="311"/>
      <c r="BJ16" s="313"/>
    </row>
    <row r="17" ht="15.75" customHeight="1">
      <c r="A17" s="354"/>
      <c r="B17" s="391" t="s">
        <v>32</v>
      </c>
      <c r="C17" s="161">
        <f>C10-C15</f>
        <v>44319670.18</v>
      </c>
      <c r="D17" s="341">
        <f>C17/C$10</f>
        <v>0.6020240135</v>
      </c>
      <c r="E17" s="161">
        <f>E10-E15</f>
        <v>0</v>
      </c>
      <c r="F17" s="345" t="str">
        <f>E17/E$10</f>
        <v>#DIV/0!</v>
      </c>
      <c r="G17" s="164">
        <f>G10-G15</f>
        <v>0</v>
      </c>
      <c r="H17" s="303"/>
      <c r="I17" s="161">
        <f>I10-I15</f>
        <v>0</v>
      </c>
      <c r="J17" s="305"/>
      <c r="K17" s="164">
        <f>K10-K15</f>
        <v>44319670.18</v>
      </c>
      <c r="L17" s="341">
        <f>K17/K$10</f>
        <v>0.6020240135</v>
      </c>
      <c r="M17" s="161">
        <f>Q17+U17+Y17+AC17+AG17+AK17+AO17</f>
        <v>0</v>
      </c>
      <c r="N17" s="345" t="str">
        <f>M17/M$10</f>
        <v>#DIV/0!</v>
      </c>
      <c r="O17" s="164">
        <f>O10-O15</f>
        <v>13152255.83</v>
      </c>
      <c r="P17" s="341">
        <f>O17/O$10</f>
        <v>0.6444789547</v>
      </c>
      <c r="Q17" s="161">
        <f>Q10-Q15</f>
        <v>0</v>
      </c>
      <c r="R17" s="342" t="str">
        <f>Q17/Q$10</f>
        <v>#DIV/0!</v>
      </c>
      <c r="S17" s="302">
        <f>S10-S15</f>
        <v>490782.9771</v>
      </c>
      <c r="T17" s="341">
        <f>S17/S$10</f>
        <v>0.6077807766</v>
      </c>
      <c r="U17" s="161">
        <f>U10-U15</f>
        <v>0</v>
      </c>
      <c r="V17" s="342" t="str">
        <f>U17/U$10</f>
        <v>#DIV/0!</v>
      </c>
      <c r="W17" s="302">
        <f>W10-W15</f>
        <v>7241230.534</v>
      </c>
      <c r="X17" s="341">
        <f>W17/W$10</f>
        <v>0.5824260239</v>
      </c>
      <c r="Y17" s="161">
        <f>Y10-Y15</f>
        <v>0</v>
      </c>
      <c r="Z17" s="342" t="str">
        <f>Y17/Y$10</f>
        <v>#DIV/0!</v>
      </c>
      <c r="AA17" s="302">
        <f>AA10-AA15</f>
        <v>5454863.066</v>
      </c>
      <c r="AB17" s="341">
        <f>AA17/AA$10</f>
        <v>0.5857032073</v>
      </c>
      <c r="AC17" s="161">
        <f>AC10-AC15</f>
        <v>0</v>
      </c>
      <c r="AD17" s="342" t="str">
        <f>AC17/AC$10</f>
        <v>#DIV/0!</v>
      </c>
      <c r="AE17" s="302">
        <f>AE10-AE15</f>
        <v>10706066.2</v>
      </c>
      <c r="AF17" s="341">
        <f>AE17/AE$10</f>
        <v>0.6339985638</v>
      </c>
      <c r="AG17" s="161">
        <f>AG10-AG15</f>
        <v>0</v>
      </c>
      <c r="AH17" s="342" t="str">
        <f>AG17/AG$10</f>
        <v>#DIV/0!</v>
      </c>
      <c r="AI17" s="302">
        <f>AI10-AI15</f>
        <v>-1030</v>
      </c>
      <c r="AJ17" s="341" t="str">
        <f>AI17/AI$10</f>
        <v>#DIV/0!</v>
      </c>
      <c r="AK17" s="161">
        <f>AK10-AK15</f>
        <v>0</v>
      </c>
      <c r="AL17" s="304"/>
      <c r="AM17" s="302">
        <f>AM10-AM15</f>
        <v>-526562.1362</v>
      </c>
      <c r="AN17" s="303"/>
      <c r="AO17" s="161">
        <f>AO10-AO15</f>
        <v>0</v>
      </c>
      <c r="AP17" s="304"/>
      <c r="AQ17" s="302">
        <f>AQ10-AQ15</f>
        <v>7400405.104</v>
      </c>
      <c r="AR17" s="303"/>
      <c r="AS17" s="161">
        <f>AS10-AS15</f>
        <v>0</v>
      </c>
      <c r="AT17" s="304"/>
      <c r="AU17" s="302">
        <f t="shared" ref="AU17:BJ17" si="42">AU10-AU15</f>
        <v>226852.23</v>
      </c>
      <c r="AV17" s="161">
        <f t="shared" si="42"/>
        <v>0</v>
      </c>
      <c r="AW17" s="161">
        <f t="shared" si="42"/>
        <v>0</v>
      </c>
      <c r="AX17" s="347">
        <f t="shared" si="42"/>
        <v>0</v>
      </c>
      <c r="AY17" s="302">
        <f t="shared" si="42"/>
        <v>-79608.38685</v>
      </c>
      <c r="AZ17" s="161">
        <f t="shared" si="42"/>
        <v>0</v>
      </c>
      <c r="BA17" s="161">
        <f t="shared" si="42"/>
        <v>0</v>
      </c>
      <c r="BB17" s="347">
        <f t="shared" si="42"/>
        <v>0</v>
      </c>
      <c r="BC17" s="302">
        <f t="shared" si="42"/>
        <v>-92089.6562</v>
      </c>
      <c r="BD17" s="161">
        <f t="shared" si="42"/>
        <v>0</v>
      </c>
      <c r="BE17" s="161">
        <f t="shared" si="42"/>
        <v>0</v>
      </c>
      <c r="BF17" s="347">
        <f t="shared" si="42"/>
        <v>0</v>
      </c>
      <c r="BG17" s="302">
        <f t="shared" si="42"/>
        <v>346504.42</v>
      </c>
      <c r="BH17" s="161">
        <f t="shared" si="42"/>
        <v>0</v>
      </c>
      <c r="BI17" s="161">
        <f t="shared" si="42"/>
        <v>0</v>
      </c>
      <c r="BJ17" s="347">
        <f t="shared" si="42"/>
        <v>0</v>
      </c>
    </row>
    <row r="18" ht="15.75" customHeight="1">
      <c r="B18" s="404"/>
      <c r="C18" s="357"/>
      <c r="D18" s="357"/>
      <c r="E18" s="357"/>
      <c r="F18" s="405"/>
      <c r="G18" s="363"/>
      <c r="H18" s="264"/>
      <c r="I18" s="270"/>
      <c r="J18" s="362"/>
      <c r="K18" s="356"/>
      <c r="L18" s="357"/>
      <c r="M18" s="361"/>
      <c r="N18" s="405"/>
      <c r="O18" s="273"/>
      <c r="P18" s="264"/>
      <c r="Q18" s="264"/>
      <c r="R18" s="266"/>
      <c r="S18" s="359"/>
      <c r="T18" s="264"/>
      <c r="U18" s="264"/>
      <c r="V18" s="266"/>
      <c r="W18" s="359"/>
      <c r="X18" s="264"/>
      <c r="Y18" s="264"/>
      <c r="Z18" s="266"/>
      <c r="AA18" s="359"/>
      <c r="AB18" s="264"/>
      <c r="AC18" s="264"/>
      <c r="AD18" s="266"/>
      <c r="AE18" s="359"/>
      <c r="AF18" s="264"/>
      <c r="AG18" s="264"/>
      <c r="AH18" s="266"/>
      <c r="AI18" s="359"/>
      <c r="AJ18" s="264"/>
      <c r="AK18" s="264"/>
      <c r="AL18" s="266"/>
      <c r="AM18" s="268"/>
      <c r="AN18" s="264"/>
      <c r="AO18" s="264"/>
      <c r="AP18" s="266"/>
      <c r="AQ18" s="359"/>
      <c r="AR18" s="264"/>
      <c r="AS18" s="264"/>
      <c r="AT18" s="266"/>
      <c r="AU18" s="359"/>
      <c r="AV18" s="264"/>
      <c r="AW18" s="264"/>
      <c r="AX18" s="266"/>
      <c r="AY18" s="359"/>
      <c r="AZ18" s="264"/>
      <c r="BA18" s="264"/>
      <c r="BB18" s="266"/>
      <c r="BC18" s="359"/>
      <c r="BD18" s="264"/>
      <c r="BE18" s="264"/>
      <c r="BF18" s="266"/>
      <c r="BG18" s="359"/>
      <c r="BH18" s="264"/>
      <c r="BI18" s="264"/>
      <c r="BJ18" s="266"/>
    </row>
    <row r="19" ht="15.75" customHeight="1">
      <c r="B19" s="385" t="s">
        <v>33</v>
      </c>
      <c r="C19" s="277">
        <f t="shared" ref="C19:C28" si="43">G19+K19</f>
        <v>1907328.94</v>
      </c>
      <c r="D19" s="276">
        <f t="shared" ref="D19:D29" si="44">C19/C$10</f>
        <v>0.0259085372</v>
      </c>
      <c r="E19" s="277">
        <f t="shared" ref="E19:E29" si="45">I19+M19</f>
        <v>0</v>
      </c>
      <c r="F19" s="386" t="str">
        <f t="shared" ref="F19:F29" si="46">E19/E$10</f>
        <v>#DIV/0!</v>
      </c>
      <c r="G19" s="287">
        <f>HO!J43</f>
        <v>21275</v>
      </c>
      <c r="H19" s="229"/>
      <c r="I19" s="232" t="str">
        <f>HO!L43</f>
        <v/>
      </c>
      <c r="J19" s="387"/>
      <c r="K19" s="275">
        <f t="shared" ref="K19:K28" si="47">O19+S19+W19+AA19+AE19+AI19+AM19+AQ19+AU19+AY19+BC19+BG19</f>
        <v>1886053.94</v>
      </c>
      <c r="L19" s="276">
        <f t="shared" ref="L19:L29" si="48">K19/K$10</f>
        <v>0.02561954451</v>
      </c>
      <c r="M19" s="277">
        <f t="shared" ref="M19:M21" si="49">Q19+U19+Y19+AC19+AG19+AK19+AO19+AS19+AW1+BA19+BE19+BI19</f>
        <v>0</v>
      </c>
      <c r="N19" s="386" t="str">
        <f t="shared" ref="N19:N29" si="50">M19/M$10</f>
        <v>#DIV/0!</v>
      </c>
      <c r="O19" s="287">
        <f>'The Table'!J51</f>
        <v>421384.94</v>
      </c>
      <c r="P19" s="284">
        <f t="shared" ref="P19:P29" si="51">O19/O$10</f>
        <v>0.02064845219</v>
      </c>
      <c r="Q19" s="232">
        <f>'The Table'!L51</f>
        <v>0</v>
      </c>
      <c r="R19" s="285" t="str">
        <f t="shared" ref="R19:R29" si="52">Q19/Q$10</f>
        <v>#DIV/0!</v>
      </c>
      <c r="S19" s="283">
        <f>Iktara!J52</f>
        <v>43391</v>
      </c>
      <c r="T19" s="284">
        <f t="shared" ref="T19:T29" si="53">S19/S$10</f>
        <v>0.05373498452</v>
      </c>
      <c r="U19" s="232">
        <f>Iktara!L52</f>
        <v>0</v>
      </c>
      <c r="V19" s="285" t="str">
        <f t="shared" ref="V19:V29" si="54">U19/U$10</f>
        <v>#DIV/0!</v>
      </c>
      <c r="W19" s="283">
        <f>'Mg St Colaba'!J60</f>
        <v>356741</v>
      </c>
      <c r="X19" s="284">
        <f t="shared" ref="X19:X29" si="55">W19/W$10</f>
        <v>0.02869336105</v>
      </c>
      <c r="Y19" s="232"/>
      <c r="Z19" s="285" t="str">
        <f t="shared" ref="Z19:Z29" si="56">Y19/Y$10</f>
        <v>#DIV/0!</v>
      </c>
      <c r="AA19" s="283">
        <f>'Mg St LP'!J61</f>
        <v>253717</v>
      </c>
      <c r="AB19" s="284">
        <f t="shared" ref="AB19:AB29" si="57">AA19/AA$10</f>
        <v>0.0272422715</v>
      </c>
      <c r="AC19" s="232">
        <f>'Mg St LP'!L61</f>
        <v>0</v>
      </c>
      <c r="AD19" s="285" t="str">
        <f t="shared" ref="AD19:AD29" si="58">AC19/AC$10</f>
        <v>#DIV/0!</v>
      </c>
      <c r="AE19" s="283">
        <f>'Mg St Bandra'!J58</f>
        <v>549979</v>
      </c>
      <c r="AF19" s="284">
        <f t="shared" ref="AF19:AF29" si="59">AE19/AE$10</f>
        <v>0.03256900243</v>
      </c>
      <c r="AG19" s="232">
        <f>'Mg St Bandra'!L58</f>
        <v>0</v>
      </c>
      <c r="AH19" s="285" t="str">
        <f t="shared" ref="AH19:AH29" si="60">AG19/AG$10</f>
        <v>#DIV/0!</v>
      </c>
      <c r="AI19" s="283">
        <f>'MSK Events'!J59</f>
        <v>24234</v>
      </c>
      <c r="AJ19" s="284" t="str">
        <f t="shared" ref="AJ19:AJ28" si="61">AI19/AI$10</f>
        <v>#DIV/0!</v>
      </c>
      <c r="AK19" s="232">
        <f>'MSK Events'!L59</f>
        <v>0</v>
      </c>
      <c r="AL19" s="285" t="str">
        <f t="shared" ref="AL19:AL28" si="62">AK19/AK$10</f>
        <v>#DIV/0!</v>
      </c>
      <c r="AM19" s="283">
        <f>MSBC!J59</f>
        <v>42515</v>
      </c>
      <c r="AN19" s="284">
        <f t="shared" ref="AN19:AN29" si="63">AM19/AM$10</f>
        <v>0.09233077939</v>
      </c>
      <c r="AO19" s="232">
        <f>MSBC!L59</f>
        <v>0</v>
      </c>
      <c r="AP19" s="285" t="str">
        <f t="shared" ref="AP19:AP29" si="64">AO19/AO$10</f>
        <v>#DIV/0!</v>
      </c>
      <c r="AQ19" s="283">
        <f>Kaspers!J62</f>
        <v>189879</v>
      </c>
      <c r="AR19" s="229"/>
      <c r="AS19" s="232">
        <f>Kaspers!L62</f>
        <v>0</v>
      </c>
      <c r="AT19" s="281"/>
      <c r="AU19" s="283">
        <f>'MSBC Andheri'!J58</f>
        <v>0</v>
      </c>
      <c r="AV19" s="229"/>
      <c r="AW19" s="232">
        <f>'MSBC Andheri'!L58</f>
        <v>0</v>
      </c>
      <c r="AX19" s="281"/>
      <c r="AY19" s="283">
        <f>'MSBC Dahisar'!J55</f>
        <v>0</v>
      </c>
      <c r="AZ19" s="229"/>
      <c r="BA19" s="232">
        <f>'MSBC Dahisar'!L55</f>
        <v>0</v>
      </c>
      <c r="BB19" s="281"/>
      <c r="BC19" s="283">
        <f>'MSBC Juhu  Goregoan'!J60</f>
        <v>0</v>
      </c>
      <c r="BD19" s="229"/>
      <c r="BE19" s="232">
        <f>'MSBC Juhu  Goregoan'!L60</f>
        <v>0</v>
      </c>
      <c r="BF19" s="281"/>
      <c r="BG19" s="283">
        <f>'LOUD MOUTH'!J51</f>
        <v>4213</v>
      </c>
      <c r="BH19" s="229"/>
      <c r="BI19" s="232">
        <f>'LOUD MOUTH'!L51</f>
        <v>0</v>
      </c>
      <c r="BJ19" s="281"/>
    </row>
    <row r="20" ht="15.75" customHeight="1">
      <c r="B20" s="385" t="s">
        <v>34</v>
      </c>
      <c r="C20" s="277">
        <f t="shared" si="43"/>
        <v>775680</v>
      </c>
      <c r="D20" s="276">
        <f t="shared" si="44"/>
        <v>0.01053658533</v>
      </c>
      <c r="E20" s="277">
        <f t="shared" si="45"/>
        <v>0</v>
      </c>
      <c r="F20" s="386" t="str">
        <f t="shared" si="46"/>
        <v>#DIV/0!</v>
      </c>
      <c r="G20" s="287">
        <f>HO!J52</f>
        <v>53100</v>
      </c>
      <c r="H20" s="229"/>
      <c r="I20" s="232">
        <f>HO!L52</f>
        <v>0</v>
      </c>
      <c r="J20" s="387"/>
      <c r="K20" s="275">
        <f t="shared" si="47"/>
        <v>722580</v>
      </c>
      <c r="L20" s="276">
        <f t="shared" si="48"/>
        <v>0.00981529217</v>
      </c>
      <c r="M20" s="277">
        <f t="shared" si="49"/>
        <v>0</v>
      </c>
      <c r="N20" s="386" t="str">
        <f t="shared" si="50"/>
        <v>#DIV/0!</v>
      </c>
      <c r="O20" s="287">
        <f>'The Table'!J60</f>
        <v>0</v>
      </c>
      <c r="P20" s="284">
        <f t="shared" si="51"/>
        <v>0</v>
      </c>
      <c r="Q20" s="232">
        <f>'The Table'!L60</f>
        <v>0</v>
      </c>
      <c r="R20" s="285" t="str">
        <f t="shared" si="52"/>
        <v>#DIV/0!</v>
      </c>
      <c r="S20" s="283">
        <f>Iktara!J54</f>
        <v>89697</v>
      </c>
      <c r="T20" s="284">
        <f t="shared" si="53"/>
        <v>0.1110798762</v>
      </c>
      <c r="U20" s="232">
        <f>Iktara!L54</f>
        <v>0</v>
      </c>
      <c r="V20" s="285" t="str">
        <f t="shared" si="54"/>
        <v>#DIV/0!</v>
      </c>
      <c r="W20" s="283">
        <f>'Mg St Colaba'!J69</f>
        <v>210682</v>
      </c>
      <c r="X20" s="284">
        <f t="shared" si="55"/>
        <v>0.01694555628</v>
      </c>
      <c r="Y20" s="232"/>
      <c r="Z20" s="285" t="str">
        <f t="shared" si="56"/>
        <v>#DIV/0!</v>
      </c>
      <c r="AA20" s="283">
        <f>'Mg St LP'!J70</f>
        <v>116275</v>
      </c>
      <c r="AB20" s="284">
        <f t="shared" si="57"/>
        <v>0.01248475711</v>
      </c>
      <c r="AC20" s="232">
        <f>'Mg St LP'!L70</f>
        <v>0</v>
      </c>
      <c r="AD20" s="285" t="str">
        <f t="shared" si="58"/>
        <v>#DIV/0!</v>
      </c>
      <c r="AE20" s="283">
        <f>'Mg St Bandra'!J70</f>
        <v>100602</v>
      </c>
      <c r="AF20" s="284">
        <f t="shared" si="59"/>
        <v>0.005957512529</v>
      </c>
      <c r="AG20" s="232">
        <f>'Mg St Bandra'!L70</f>
        <v>0</v>
      </c>
      <c r="AH20" s="285" t="str">
        <f t="shared" si="60"/>
        <v>#DIV/0!</v>
      </c>
      <c r="AI20" s="283">
        <f>'MSK Events'!J70</f>
        <v>80000</v>
      </c>
      <c r="AJ20" s="284" t="str">
        <f t="shared" si="61"/>
        <v>#DIV/0!</v>
      </c>
      <c r="AK20" s="232">
        <f>'MSK Events'!L70</f>
        <v>0</v>
      </c>
      <c r="AL20" s="285" t="str">
        <f t="shared" si="62"/>
        <v>#DIV/0!</v>
      </c>
      <c r="AM20" s="283">
        <f>MSBC!J61</f>
        <v>25981</v>
      </c>
      <c r="AN20" s="284">
        <f t="shared" si="63"/>
        <v>0.05642352062</v>
      </c>
      <c r="AO20" s="232">
        <f>MSBC!L61</f>
        <v>0</v>
      </c>
      <c r="AP20" s="285" t="str">
        <f t="shared" si="64"/>
        <v>#DIV/0!</v>
      </c>
      <c r="AQ20" s="283">
        <f>Kaspers!J65</f>
        <v>35000</v>
      </c>
      <c r="AR20" s="229"/>
      <c r="AS20" s="232">
        <f>Kaspers!L65</f>
        <v>0</v>
      </c>
      <c r="AT20" s="281"/>
      <c r="AU20" s="283">
        <f>'MSBC Andheri'!J70</f>
        <v>56065</v>
      </c>
      <c r="AV20" s="229"/>
      <c r="AW20" s="232">
        <f>'MSBC Andheri'!L70</f>
        <v>0</v>
      </c>
      <c r="AX20" s="281"/>
      <c r="AY20" s="283">
        <f>'MSBC Dahisar'!J57</f>
        <v>4563</v>
      </c>
      <c r="AZ20" s="229"/>
      <c r="BA20" s="232">
        <f>'MSBC Dahisar'!L57</f>
        <v>0</v>
      </c>
      <c r="BB20" s="281"/>
      <c r="BC20" s="283">
        <f>'MSBC Juhu  Goregoan'!J72</f>
        <v>3715</v>
      </c>
      <c r="BD20" s="229"/>
      <c r="BE20" s="232">
        <f>'MSBC Juhu  Goregoan'!L72</f>
        <v>0</v>
      </c>
      <c r="BF20" s="281"/>
      <c r="BG20" s="283">
        <f>'LOUD MOUTH'!J54</f>
        <v>0</v>
      </c>
      <c r="BH20" s="229"/>
      <c r="BI20" s="232">
        <f>'LOUD MOUTH'!L54</f>
        <v>0</v>
      </c>
      <c r="BJ20" s="281"/>
    </row>
    <row r="21" ht="15.75" customHeight="1">
      <c r="B21" s="385" t="s">
        <v>35</v>
      </c>
      <c r="C21" s="277">
        <f t="shared" si="43"/>
        <v>2295835.17</v>
      </c>
      <c r="D21" s="276">
        <f t="shared" si="44"/>
        <v>0.03118587972</v>
      </c>
      <c r="E21" s="277">
        <f t="shared" si="45"/>
        <v>0</v>
      </c>
      <c r="F21" s="386" t="str">
        <f t="shared" si="46"/>
        <v>#DIV/0!</v>
      </c>
      <c r="G21" s="287">
        <f>HO!J63</f>
        <v>0</v>
      </c>
      <c r="H21" s="229"/>
      <c r="I21" s="232">
        <f>HO!L63</f>
        <v>0</v>
      </c>
      <c r="J21" s="387"/>
      <c r="K21" s="275">
        <f t="shared" si="47"/>
        <v>2295835.17</v>
      </c>
      <c r="L21" s="276">
        <f t="shared" si="48"/>
        <v>0.03118587972</v>
      </c>
      <c r="M21" s="277">
        <f t="shared" si="49"/>
        <v>0</v>
      </c>
      <c r="N21" s="386" t="str">
        <f t="shared" si="50"/>
        <v>#DIV/0!</v>
      </c>
      <c r="O21" s="287">
        <f>'The Table'!J69</f>
        <v>83781</v>
      </c>
      <c r="P21" s="284">
        <f t="shared" si="51"/>
        <v>0.004105386332</v>
      </c>
      <c r="Q21" s="232">
        <f>'The Table'!L69</f>
        <v>0</v>
      </c>
      <c r="R21" s="285" t="str">
        <f t="shared" si="52"/>
        <v>#DIV/0!</v>
      </c>
      <c r="S21" s="283">
        <f>Iktara!J64</f>
        <v>116787.55</v>
      </c>
      <c r="T21" s="284">
        <f t="shared" si="53"/>
        <v>0.1446285449</v>
      </c>
      <c r="U21" s="232" t="str">
        <f>Iktara!L64</f>
        <v/>
      </c>
      <c r="V21" s="285" t="str">
        <f t="shared" si="54"/>
        <v>#DIV/0!</v>
      </c>
      <c r="W21" s="283">
        <f>'Mg St Colaba'!J81</f>
        <v>480329</v>
      </c>
      <c r="X21" s="284">
        <f t="shared" si="55"/>
        <v>0.03863378031</v>
      </c>
      <c r="Y21" s="232"/>
      <c r="Z21" s="285" t="str">
        <f t="shared" si="56"/>
        <v>#DIV/0!</v>
      </c>
      <c r="AA21" s="283">
        <f>'Mg St LP'!J83</f>
        <v>721776</v>
      </c>
      <c r="AB21" s="284">
        <f t="shared" si="57"/>
        <v>0.07749901566</v>
      </c>
      <c r="AC21" s="232">
        <f>'Mg St LP'!L83</f>
        <v>0</v>
      </c>
      <c r="AD21" s="285" t="str">
        <f t="shared" si="58"/>
        <v>#DIV/0!</v>
      </c>
      <c r="AE21" s="283">
        <f>'Mg St Bandra'!J81</f>
        <v>679501</v>
      </c>
      <c r="AF21" s="284">
        <f t="shared" si="59"/>
        <v>0.04023911772</v>
      </c>
      <c r="AG21" s="232">
        <f>'Mg St Bandra'!L81</f>
        <v>0</v>
      </c>
      <c r="AH21" s="285" t="str">
        <f t="shared" si="60"/>
        <v>#DIV/0!</v>
      </c>
      <c r="AI21" s="283">
        <f>'MSK Events'!J77</f>
        <v>0</v>
      </c>
      <c r="AJ21" s="284" t="str">
        <f t="shared" si="61"/>
        <v>#DIV/0!</v>
      </c>
      <c r="AK21" s="232">
        <f>'MSK Events'!L77</f>
        <v>0</v>
      </c>
      <c r="AL21" s="285" t="str">
        <f t="shared" si="62"/>
        <v>#DIV/0!</v>
      </c>
      <c r="AM21" s="283">
        <f>MSBC!J69</f>
        <v>38464</v>
      </c>
      <c r="AN21" s="284">
        <f t="shared" si="63"/>
        <v>0.0835331318</v>
      </c>
      <c r="AO21" s="232">
        <f>MSBC!L69</f>
        <v>0</v>
      </c>
      <c r="AP21" s="285" t="str">
        <f t="shared" si="64"/>
        <v>#DIV/0!</v>
      </c>
      <c r="AQ21" s="283">
        <f>Kaspers!J73</f>
        <v>0</v>
      </c>
      <c r="AR21" s="229"/>
      <c r="AS21" s="232">
        <f>Kaspers!L73</f>
        <v>0</v>
      </c>
      <c r="AT21" s="281"/>
      <c r="AU21" s="283">
        <f>'MSBC Andheri'!J78</f>
        <v>65859.7</v>
      </c>
      <c r="AV21" s="229"/>
      <c r="AW21" s="232">
        <f>'MSBC Andheri'!L78</f>
        <v>0</v>
      </c>
      <c r="AX21" s="281"/>
      <c r="AY21" s="283">
        <f>'MSBC Dahisar'!J65</f>
        <v>16021.92</v>
      </c>
      <c r="AZ21" s="229"/>
      <c r="BA21" s="232">
        <f>'MSBC Dahisar'!L65</f>
        <v>0</v>
      </c>
      <c r="BB21" s="281"/>
      <c r="BC21" s="283">
        <f>'MSBC Juhu  Goregoan'!J80</f>
        <v>20427</v>
      </c>
      <c r="BD21" s="229"/>
      <c r="BE21" s="232">
        <f>'MSBC Juhu  Goregoan'!L80</f>
        <v>0</v>
      </c>
      <c r="BF21" s="281"/>
      <c r="BG21" s="283">
        <f>'LOUD MOUTH'!J63</f>
        <v>72888</v>
      </c>
      <c r="BH21" s="229"/>
      <c r="BI21" s="232">
        <f>'LOUD MOUTH'!L63</f>
        <v>0</v>
      </c>
      <c r="BJ21" s="281"/>
    </row>
    <row r="22" ht="15.75" customHeight="1">
      <c r="B22" s="385" t="s">
        <v>36</v>
      </c>
      <c r="C22" s="277">
        <f t="shared" si="43"/>
        <v>7979501.04</v>
      </c>
      <c r="D22" s="276">
        <f t="shared" si="44"/>
        <v>0.108390952</v>
      </c>
      <c r="E22" s="277">
        <f t="shared" si="45"/>
        <v>0</v>
      </c>
      <c r="F22" s="386" t="str">
        <f t="shared" si="46"/>
        <v>#DIV/0!</v>
      </c>
      <c r="G22" s="287">
        <f>HO!J70</f>
        <v>814333</v>
      </c>
      <c r="H22" s="229"/>
      <c r="I22" s="232">
        <f>HO!L70</f>
        <v>0</v>
      </c>
      <c r="J22" s="387"/>
      <c r="K22" s="275">
        <f t="shared" si="47"/>
        <v>7165168.04</v>
      </c>
      <c r="L22" s="276">
        <f t="shared" si="48"/>
        <v>0.09732931684</v>
      </c>
      <c r="M22" s="277">
        <f>Q22+U22+Y22+AC22+AG22+AK22+AO22+AS22+AW22+BA22+BE22+BI22</f>
        <v>0</v>
      </c>
      <c r="N22" s="386" t="str">
        <f t="shared" si="50"/>
        <v>#DIV/0!</v>
      </c>
      <c r="O22" s="287">
        <f>'The Table'!J75</f>
        <v>1848628</v>
      </c>
      <c r="P22" s="284">
        <f t="shared" si="51"/>
        <v>0.09058536093</v>
      </c>
      <c r="Q22" s="232">
        <f>'The Table'!L75</f>
        <v>0</v>
      </c>
      <c r="R22" s="285" t="str">
        <f t="shared" si="52"/>
        <v>#DIV/0!</v>
      </c>
      <c r="S22" s="283">
        <f>Iktara!J70</f>
        <v>109552</v>
      </c>
      <c r="T22" s="284">
        <f t="shared" si="53"/>
        <v>0.1356681115</v>
      </c>
      <c r="U22" s="232" t="str">
        <f>Iktara!L70</f>
        <v/>
      </c>
      <c r="V22" s="285" t="str">
        <f t="shared" si="54"/>
        <v>#DIV/0!</v>
      </c>
      <c r="W22" s="283">
        <f>'Mg St Colaba'!J88</f>
        <v>1784689</v>
      </c>
      <c r="X22" s="284">
        <f t="shared" si="55"/>
        <v>0.1435459503</v>
      </c>
      <c r="Y22" s="232"/>
      <c r="Z22" s="285" t="str">
        <f t="shared" si="56"/>
        <v>#DIV/0!</v>
      </c>
      <c r="AA22" s="283">
        <f>'Mg St LP'!J90</f>
        <v>1116762.04</v>
      </c>
      <c r="AB22" s="284">
        <f t="shared" si="57"/>
        <v>0.1199097211</v>
      </c>
      <c r="AC22" s="232">
        <f>'Mg St LP'!L90</f>
        <v>0</v>
      </c>
      <c r="AD22" s="285" t="str">
        <f t="shared" si="58"/>
        <v>#DIV/0!</v>
      </c>
      <c r="AE22" s="283">
        <f>'Mg St Bandra'!J88</f>
        <v>808420</v>
      </c>
      <c r="AF22" s="284">
        <f t="shared" si="59"/>
        <v>0.04787352417</v>
      </c>
      <c r="AG22" s="232">
        <f>'Mg St Bandra'!L88</f>
        <v>0</v>
      </c>
      <c r="AH22" s="285" t="str">
        <f t="shared" si="60"/>
        <v>#DIV/0!</v>
      </c>
      <c r="AI22" s="283">
        <f>'MSK Events'!J84</f>
        <v>278160</v>
      </c>
      <c r="AJ22" s="284" t="str">
        <f t="shared" si="61"/>
        <v>#DIV/0!</v>
      </c>
      <c r="AK22" s="232">
        <f>'MSK Events'!L84</f>
        <v>0</v>
      </c>
      <c r="AL22" s="285" t="str">
        <f t="shared" si="62"/>
        <v>#DIV/0!</v>
      </c>
      <c r="AM22" s="283">
        <f>MSBC!J75</f>
        <v>236678</v>
      </c>
      <c r="AN22" s="284">
        <f t="shared" si="63"/>
        <v>0.5139989228</v>
      </c>
      <c r="AO22" s="232">
        <f>MSBC!L75</f>
        <v>0</v>
      </c>
      <c r="AP22" s="285" t="str">
        <f t="shared" si="64"/>
        <v>#DIV/0!</v>
      </c>
      <c r="AQ22" s="283">
        <f>Kaspers!J80</f>
        <v>982279</v>
      </c>
      <c r="AR22" s="229"/>
      <c r="AS22" s="232">
        <f>Kaspers!L80</f>
        <v>0</v>
      </c>
      <c r="AT22" s="281"/>
      <c r="AU22" s="283">
        <f>'MSBC Andheri'!J87</f>
        <v>0</v>
      </c>
      <c r="AV22" s="229"/>
      <c r="AW22" s="232">
        <f>'MSBC Andheri'!L87</f>
        <v>0</v>
      </c>
      <c r="AX22" s="281"/>
      <c r="AY22" s="283">
        <f>'MSBC Dahisar'!J74</f>
        <v>0</v>
      </c>
      <c r="AZ22" s="229"/>
      <c r="BA22" s="232">
        <f>'MSBC Dahisar'!L74</f>
        <v>0</v>
      </c>
      <c r="BB22" s="281"/>
      <c r="BC22" s="283">
        <v>0.0</v>
      </c>
      <c r="BD22" s="229"/>
      <c r="BE22" s="232">
        <v>0.0</v>
      </c>
      <c r="BF22" s="281"/>
      <c r="BG22" s="283">
        <f>'LOUD MOUTH'!J70</f>
        <v>0</v>
      </c>
      <c r="BH22" s="229"/>
      <c r="BI22" s="232">
        <f>'LOUD MOUTH'!L70</f>
        <v>0</v>
      </c>
      <c r="BJ22" s="281"/>
    </row>
    <row r="23" ht="15.75" customHeight="1">
      <c r="B23" s="385" t="s">
        <v>37</v>
      </c>
      <c r="C23" s="277">
        <f t="shared" si="43"/>
        <v>24466959.51</v>
      </c>
      <c r="D23" s="276">
        <f t="shared" si="44"/>
        <v>0.332351236</v>
      </c>
      <c r="E23" s="277">
        <f t="shared" si="45"/>
        <v>0</v>
      </c>
      <c r="F23" s="386" t="str">
        <f t="shared" si="46"/>
        <v>#DIV/0!</v>
      </c>
      <c r="G23" s="287">
        <f>HO!J76</f>
        <v>3975522.27</v>
      </c>
      <c r="H23" s="229"/>
      <c r="I23" s="232">
        <f>HO!L76</f>
        <v>0</v>
      </c>
      <c r="J23" s="387"/>
      <c r="K23" s="275">
        <f t="shared" si="47"/>
        <v>20491437.24</v>
      </c>
      <c r="L23" s="276">
        <f t="shared" si="48"/>
        <v>0.2783490319</v>
      </c>
      <c r="M23" s="277">
        <f t="shared" ref="M23:M28" si="65">Q23+U23+Y23+AC23+AG23+AK23+AO23+AS23+AW5+BA23+BE23+BI23</f>
        <v>0</v>
      </c>
      <c r="N23" s="386" t="str">
        <f t="shared" si="50"/>
        <v>#DIV/0!</v>
      </c>
      <c r="O23" s="287">
        <f>'The Table'!J81</f>
        <v>5055129.75</v>
      </c>
      <c r="P23" s="284">
        <f t="shared" si="51"/>
        <v>0.2477084373</v>
      </c>
      <c r="Q23" s="232">
        <f>'The Table'!L81</f>
        <v>0</v>
      </c>
      <c r="R23" s="285" t="str">
        <f t="shared" si="52"/>
        <v>#DIV/0!</v>
      </c>
      <c r="S23" s="283">
        <f>Iktara!J76</f>
        <v>336606.49</v>
      </c>
      <c r="T23" s="284">
        <f t="shared" si="53"/>
        <v>0.4168501424</v>
      </c>
      <c r="U23" s="232">
        <f>Iktara!L76</f>
        <v>0</v>
      </c>
      <c r="V23" s="285" t="str">
        <f t="shared" si="54"/>
        <v>#DIV/0!</v>
      </c>
      <c r="W23" s="283">
        <f>'Mg St Colaba'!J94</f>
        <v>3234308.267</v>
      </c>
      <c r="X23" s="284">
        <f t="shared" si="55"/>
        <v>0.2601416009</v>
      </c>
      <c r="Y23" s="232"/>
      <c r="Z23" s="285" t="str">
        <f t="shared" si="56"/>
        <v>#DIV/0!</v>
      </c>
      <c r="AA23" s="283">
        <f>'Mg St LP'!J97</f>
        <v>1791147.047</v>
      </c>
      <c r="AB23" s="284">
        <f t="shared" si="57"/>
        <v>0.1923202393</v>
      </c>
      <c r="AC23" s="232">
        <f>'Mg St LP'!L97</f>
        <v>0</v>
      </c>
      <c r="AD23" s="285" t="str">
        <f t="shared" si="58"/>
        <v>#DIV/0!</v>
      </c>
      <c r="AE23" s="283">
        <f>'Mg St Bandra'!J96</f>
        <v>3833654.917</v>
      </c>
      <c r="AF23" s="284">
        <f t="shared" si="59"/>
        <v>0.2270237888</v>
      </c>
      <c r="AG23" s="232">
        <f>'Mg St Bandra'!L96</f>
        <v>0</v>
      </c>
      <c r="AH23" s="285" t="str">
        <f t="shared" si="60"/>
        <v>#DIV/0!</v>
      </c>
      <c r="AI23" s="283">
        <f>'MSK Events'!J90</f>
        <v>189246</v>
      </c>
      <c r="AJ23" s="284" t="str">
        <f t="shared" si="61"/>
        <v>#DIV/0!</v>
      </c>
      <c r="AK23" s="232">
        <f>'MSK Events'!L90</f>
        <v>0</v>
      </c>
      <c r="AL23" s="285" t="str">
        <f t="shared" si="62"/>
        <v>#DIV/0!</v>
      </c>
      <c r="AM23" s="283">
        <f>MSBC!J81</f>
        <v>1547667.72</v>
      </c>
      <c r="AN23" s="284">
        <f t="shared" si="63"/>
        <v>3.361104712</v>
      </c>
      <c r="AO23" s="232">
        <f>MSBC!L81</f>
        <v>0</v>
      </c>
      <c r="AP23" s="285" t="str">
        <f t="shared" si="64"/>
        <v>#DIV/0!</v>
      </c>
      <c r="AQ23" s="283">
        <f>Kaspers!J86</f>
        <v>3797461.05</v>
      </c>
      <c r="AR23" s="229"/>
      <c r="AS23" s="232">
        <f>Kaspers!L86</f>
        <v>0</v>
      </c>
      <c r="AT23" s="281"/>
      <c r="AU23" s="283">
        <f>'MSBC Andheri'!J93</f>
        <v>0</v>
      </c>
      <c r="AV23" s="229"/>
      <c r="AW23" s="232">
        <f>'MSBC Andheri'!L93</f>
        <v>0</v>
      </c>
      <c r="AX23" s="281"/>
      <c r="AY23" s="283">
        <f>'MSBC Dahisar'!J80</f>
        <v>0</v>
      </c>
      <c r="AZ23" s="229"/>
      <c r="BA23" s="232">
        <f>'MSBC Dahisar'!L80</f>
        <v>0</v>
      </c>
      <c r="BB23" s="281"/>
      <c r="BC23" s="283">
        <v>0.0</v>
      </c>
      <c r="BD23" s="229"/>
      <c r="BE23" s="232">
        <v>0.0</v>
      </c>
      <c r="BF23" s="281"/>
      <c r="BG23" s="283">
        <f>'LOUD MOUTH'!J77</f>
        <v>706216</v>
      </c>
      <c r="BH23" s="229"/>
      <c r="BI23" s="232">
        <f>'LOUD MOUTH'!L77</f>
        <v>0</v>
      </c>
      <c r="BJ23" s="281"/>
    </row>
    <row r="24" ht="15.75" customHeight="1">
      <c r="B24" s="385" t="s">
        <v>38</v>
      </c>
      <c r="C24" s="277">
        <f t="shared" si="43"/>
        <v>1003551.15</v>
      </c>
      <c r="D24" s="276">
        <f t="shared" si="44"/>
        <v>0.01363191307</v>
      </c>
      <c r="E24" s="277">
        <f t="shared" si="45"/>
        <v>0</v>
      </c>
      <c r="F24" s="386" t="str">
        <f t="shared" si="46"/>
        <v>#DIV/0!</v>
      </c>
      <c r="G24" s="287">
        <f>HO!J87</f>
        <v>401791</v>
      </c>
      <c r="H24" s="229"/>
      <c r="I24" s="232">
        <f>HO!L87</f>
        <v>0</v>
      </c>
      <c r="J24" s="387"/>
      <c r="K24" s="275">
        <f t="shared" si="47"/>
        <v>601760.15</v>
      </c>
      <c r="L24" s="276">
        <f t="shared" si="48"/>
        <v>0.008174114546</v>
      </c>
      <c r="M24" s="277">
        <f t="shared" si="65"/>
        <v>0</v>
      </c>
      <c r="N24" s="386" t="str">
        <f t="shared" si="50"/>
        <v>#DIV/0!</v>
      </c>
      <c r="O24" s="287">
        <f>'The Table'!J92</f>
        <v>521738</v>
      </c>
      <c r="P24" s="284">
        <f t="shared" si="51"/>
        <v>0.02556589267</v>
      </c>
      <c r="Q24" s="232">
        <f>'The Table'!L92</f>
        <v>0</v>
      </c>
      <c r="R24" s="285" t="str">
        <f t="shared" si="52"/>
        <v>#DIV/0!</v>
      </c>
      <c r="S24" s="283">
        <f>Iktara!J86</f>
        <v>0</v>
      </c>
      <c r="T24" s="284">
        <f t="shared" si="53"/>
        <v>0</v>
      </c>
      <c r="U24" s="280">
        <f>Iktara!L86</f>
        <v>0</v>
      </c>
      <c r="V24" s="285" t="str">
        <f t="shared" si="54"/>
        <v>#DIV/0!</v>
      </c>
      <c r="W24" s="283">
        <f>'Mg St Colaba'!J104</f>
        <v>22441.6</v>
      </c>
      <c r="X24" s="284">
        <f t="shared" si="55"/>
        <v>0.001805020817</v>
      </c>
      <c r="Y24" s="232"/>
      <c r="Z24" s="285" t="str">
        <f t="shared" si="56"/>
        <v>#DIV/0!</v>
      </c>
      <c r="AA24" s="283">
        <f>'Mg St LP'!J107</f>
        <v>29639.82</v>
      </c>
      <c r="AB24" s="284">
        <f t="shared" si="57"/>
        <v>0.003182506587</v>
      </c>
      <c r="AC24" s="232">
        <f>'Mg St LP'!L107</f>
        <v>0</v>
      </c>
      <c r="AD24" s="285" t="str">
        <f t="shared" si="58"/>
        <v>#DIV/0!</v>
      </c>
      <c r="AE24" s="283">
        <f>'Mg St Bandra'!J107</f>
        <v>20525.73</v>
      </c>
      <c r="AF24" s="284">
        <f t="shared" si="59"/>
        <v>0.001215505593</v>
      </c>
      <c r="AG24" s="232">
        <f>'Mg St Bandra'!L107</f>
        <v>0</v>
      </c>
      <c r="AH24" s="285" t="str">
        <f t="shared" si="60"/>
        <v>#DIV/0!</v>
      </c>
      <c r="AI24" s="283">
        <f>'MSK Events'!J100</f>
        <v>0</v>
      </c>
      <c r="AJ24" s="284" t="str">
        <f t="shared" si="61"/>
        <v>#DIV/0!</v>
      </c>
      <c r="AK24" s="232">
        <f>'MSK Events'!L100</f>
        <v>0</v>
      </c>
      <c r="AL24" s="285" t="str">
        <f t="shared" si="62"/>
        <v>#DIV/0!</v>
      </c>
      <c r="AM24" s="283">
        <f>MSBC!J92</f>
        <v>5388</v>
      </c>
      <c r="AN24" s="284">
        <f t="shared" si="63"/>
        <v>0.01170124049</v>
      </c>
      <c r="AO24" s="232">
        <f>MSBC!L92</f>
        <v>0</v>
      </c>
      <c r="AP24" s="285" t="str">
        <f t="shared" si="64"/>
        <v>#DIV/0!</v>
      </c>
      <c r="AQ24" s="283">
        <f>Kaspers!J97</f>
        <v>2027</v>
      </c>
      <c r="AR24" s="229"/>
      <c r="AS24" s="232">
        <f>Kaspers!L97</f>
        <v>0</v>
      </c>
      <c r="AT24" s="281"/>
      <c r="AU24" s="283">
        <f>'MSBC Andheri'!J103</f>
        <v>0</v>
      </c>
      <c r="AV24" s="229"/>
      <c r="AW24" s="232">
        <f>'MSBC Andheri'!L103</f>
        <v>0</v>
      </c>
      <c r="AX24" s="281"/>
      <c r="AY24" s="283">
        <f>'MSBC Dahisar'!J90</f>
        <v>0</v>
      </c>
      <c r="AZ24" s="229"/>
      <c r="BA24" s="232">
        <f>'MSBC Dahisar'!L90</f>
        <v>0</v>
      </c>
      <c r="BB24" s="281"/>
      <c r="BC24" s="283">
        <f>'MSBC Juhu  Goregoan'!J103</f>
        <v>0</v>
      </c>
      <c r="BD24" s="229"/>
      <c r="BE24" s="232">
        <f>'MSBC Juhu  Goregoan'!L103</f>
        <v>0</v>
      </c>
      <c r="BF24" s="281"/>
      <c r="BG24" s="283">
        <f>'LOUD MOUTH'!J89</f>
        <v>0</v>
      </c>
      <c r="BH24" s="229"/>
      <c r="BI24" s="232">
        <f>'LOUD MOUTH'!L89</f>
        <v>0</v>
      </c>
      <c r="BJ24" s="281"/>
    </row>
    <row r="25" ht="15.75" customHeight="1">
      <c r="B25" s="385" t="s">
        <v>39</v>
      </c>
      <c r="C25" s="277">
        <f t="shared" si="43"/>
        <v>468332.4167</v>
      </c>
      <c r="D25" s="276">
        <f t="shared" si="44"/>
        <v>0.006361675527</v>
      </c>
      <c r="E25" s="277">
        <f t="shared" si="45"/>
        <v>0</v>
      </c>
      <c r="F25" s="386" t="str">
        <f t="shared" si="46"/>
        <v>#DIV/0!</v>
      </c>
      <c r="G25" s="287">
        <f>HO!J94</f>
        <v>113293.5</v>
      </c>
      <c r="H25" s="229"/>
      <c r="I25" s="232">
        <f>HO!L94</f>
        <v>0</v>
      </c>
      <c r="J25" s="387"/>
      <c r="K25" s="275">
        <f t="shared" si="47"/>
        <v>355038.9167</v>
      </c>
      <c r="L25" s="276">
        <f t="shared" si="48"/>
        <v>0.004822733398</v>
      </c>
      <c r="M25" s="277">
        <f t="shared" si="65"/>
        <v>0</v>
      </c>
      <c r="N25" s="386" t="str">
        <f t="shared" si="50"/>
        <v>#DIV/0!</v>
      </c>
      <c r="O25" s="287">
        <f>'The Table'!J95</f>
        <v>25091</v>
      </c>
      <c r="P25" s="284">
        <f t="shared" si="51"/>
        <v>0.001229494139</v>
      </c>
      <c r="Q25" s="232">
        <f>'The Table'!L95</f>
        <v>0</v>
      </c>
      <c r="R25" s="285" t="str">
        <f t="shared" si="52"/>
        <v>#DIV/0!</v>
      </c>
      <c r="S25" s="283">
        <f>Iktara!J89</f>
        <v>23090</v>
      </c>
      <c r="T25" s="284">
        <f t="shared" si="53"/>
        <v>0.02859442724</v>
      </c>
      <c r="U25" s="280">
        <f>Iktara!L89</f>
        <v>0</v>
      </c>
      <c r="V25" s="285" t="str">
        <f t="shared" si="54"/>
        <v>#DIV/0!</v>
      </c>
      <c r="W25" s="283">
        <f>'Mg St Colaba'!J107</f>
        <v>63685.33333</v>
      </c>
      <c r="X25" s="284">
        <f t="shared" si="55"/>
        <v>0.005122333186</v>
      </c>
      <c r="Y25" s="232"/>
      <c r="Z25" s="285" t="str">
        <f t="shared" si="56"/>
        <v>#DIV/0!</v>
      </c>
      <c r="AA25" s="283">
        <f>'Mg St LP'!J110</f>
        <v>49820.33333</v>
      </c>
      <c r="AB25" s="284">
        <f t="shared" si="57"/>
        <v>0.005349342169</v>
      </c>
      <c r="AC25" s="232">
        <f>'Mg St LP'!L110</f>
        <v>0</v>
      </c>
      <c r="AD25" s="285" t="str">
        <f t="shared" si="58"/>
        <v>#DIV/0!</v>
      </c>
      <c r="AE25" s="283">
        <f>'Mg St Bandra'!J110</f>
        <v>77845.33333</v>
      </c>
      <c r="AF25" s="284">
        <f t="shared" si="59"/>
        <v>0.004609893925</v>
      </c>
      <c r="AG25" s="232">
        <f>'Mg St Bandra'!L110</f>
        <v>0</v>
      </c>
      <c r="AH25" s="285" t="str">
        <f t="shared" si="60"/>
        <v>#DIV/0!</v>
      </c>
      <c r="AI25" s="283">
        <f>'MSK Events'!J103</f>
        <v>6806.25</v>
      </c>
      <c r="AJ25" s="284" t="str">
        <f t="shared" si="61"/>
        <v>#DIV/0!</v>
      </c>
      <c r="AK25" s="232">
        <f>'MSK Events'!L103</f>
        <v>0</v>
      </c>
      <c r="AL25" s="285" t="str">
        <f t="shared" si="62"/>
        <v>#DIV/0!</v>
      </c>
      <c r="AM25" s="283">
        <f>MSBC!J95</f>
        <v>36281</v>
      </c>
      <c r="AN25" s="284">
        <f t="shared" si="63"/>
        <v>0.07879226172</v>
      </c>
      <c r="AO25" s="232">
        <f>MSBC!L95</f>
        <v>0</v>
      </c>
      <c r="AP25" s="285" t="str">
        <f t="shared" si="64"/>
        <v>#DIV/0!</v>
      </c>
      <c r="AQ25" s="283">
        <f>Kaspers!J100</f>
        <v>3146.666667</v>
      </c>
      <c r="AR25" s="229"/>
      <c r="AS25" s="232">
        <f>Kaspers!L100</f>
        <v>0</v>
      </c>
      <c r="AT25" s="281"/>
      <c r="AU25" s="283">
        <f>'MSBC Andheri'!J106</f>
        <v>23091</v>
      </c>
      <c r="AV25" s="229"/>
      <c r="AW25" s="232">
        <f>'MSBC Andheri'!L106</f>
        <v>0</v>
      </c>
      <c r="AX25" s="281"/>
      <c r="AY25" s="283">
        <f>'MSBC Dahisar'!J93</f>
        <v>23091</v>
      </c>
      <c r="AZ25" s="229"/>
      <c r="BA25" s="232">
        <f>'MSBC Dahisar'!L93</f>
        <v>0</v>
      </c>
      <c r="BB25" s="281"/>
      <c r="BC25" s="283">
        <f>'MSBC Juhu  Goregoan'!J106</f>
        <v>23091</v>
      </c>
      <c r="BD25" s="229"/>
      <c r="BE25" s="232">
        <f>'MSBC Juhu  Goregoan'!L106</f>
        <v>0</v>
      </c>
      <c r="BF25" s="281"/>
      <c r="BG25" s="283">
        <f>'LOUD MOUTH'!J92</f>
        <v>0</v>
      </c>
      <c r="BH25" s="229"/>
      <c r="BI25" s="232">
        <f>'LOUD MOUTH'!L92</f>
        <v>0</v>
      </c>
      <c r="BJ25" s="281"/>
    </row>
    <row r="26" ht="15.75" customHeight="1">
      <c r="B26" s="385" t="s">
        <v>40</v>
      </c>
      <c r="C26" s="277">
        <f t="shared" si="43"/>
        <v>5072114.09</v>
      </c>
      <c r="D26" s="276">
        <f t="shared" si="44"/>
        <v>0.06889795139</v>
      </c>
      <c r="E26" s="277">
        <f t="shared" si="45"/>
        <v>0</v>
      </c>
      <c r="F26" s="386" t="str">
        <f t="shared" si="46"/>
        <v>#DIV/0!</v>
      </c>
      <c r="G26" s="287">
        <f>HO!J98</f>
        <v>1937450.5</v>
      </c>
      <c r="H26" s="229"/>
      <c r="I26" s="232">
        <f>HO!L98</f>
        <v>0</v>
      </c>
      <c r="J26" s="387"/>
      <c r="K26" s="275">
        <f t="shared" si="47"/>
        <v>3134663.59</v>
      </c>
      <c r="L26" s="276">
        <f t="shared" si="48"/>
        <v>0.04258025269</v>
      </c>
      <c r="M26" s="277">
        <f t="shared" si="65"/>
        <v>0</v>
      </c>
      <c r="N26" s="386" t="str">
        <f t="shared" si="50"/>
        <v>#DIV/0!</v>
      </c>
      <c r="O26" s="287">
        <f>'The Table'!J99+'The Table'!J106+'The Table'!J112+'The Table'!J114+'The Table'!J116+'The Table'!J118+'The Table'!J120</f>
        <v>1210775.667</v>
      </c>
      <c r="P26" s="284">
        <f t="shared" si="51"/>
        <v>0.05932970331</v>
      </c>
      <c r="Q26" s="232">
        <f>'The Table'!L99</f>
        <v>0</v>
      </c>
      <c r="R26" s="285" t="str">
        <f t="shared" si="52"/>
        <v>#DIV/0!</v>
      </c>
      <c r="S26" s="283">
        <f>Iktara!J93</f>
        <v>30642</v>
      </c>
      <c r="T26" s="284">
        <f t="shared" si="53"/>
        <v>0.03794674923</v>
      </c>
      <c r="U26" s="280">
        <f>Iktara!L93</f>
        <v>0</v>
      </c>
      <c r="V26" s="285" t="str">
        <f t="shared" si="54"/>
        <v>#DIV/0!</v>
      </c>
      <c r="W26" s="283">
        <f>'Mg St Colaba'!J111</f>
        <v>446614.75</v>
      </c>
      <c r="X26" s="284">
        <f t="shared" si="55"/>
        <v>0.03592207869</v>
      </c>
      <c r="Y26" s="232"/>
      <c r="Z26" s="285" t="str">
        <f t="shared" si="56"/>
        <v>#DIV/0!</v>
      </c>
      <c r="AA26" s="283">
        <f>'Mg St LP'!J114</f>
        <v>141618.25</v>
      </c>
      <c r="AB26" s="284">
        <f t="shared" si="57"/>
        <v>0.01520592951</v>
      </c>
      <c r="AC26" s="232">
        <f>'Mg St LP'!L114</f>
        <v>0</v>
      </c>
      <c r="AD26" s="285" t="str">
        <f t="shared" si="58"/>
        <v>#DIV/0!</v>
      </c>
      <c r="AE26" s="283">
        <f>'Mg St Bandra'!J114</f>
        <v>288798</v>
      </c>
      <c r="AF26" s="284">
        <f t="shared" si="59"/>
        <v>0.01710222166</v>
      </c>
      <c r="AG26" s="232">
        <f>'Mg St Bandra'!L114</f>
        <v>0</v>
      </c>
      <c r="AH26" s="285" t="str">
        <f t="shared" si="60"/>
        <v>#DIV/0!</v>
      </c>
      <c r="AI26" s="283">
        <f>'MSK Events'!J107</f>
        <v>551879.5067</v>
      </c>
      <c r="AJ26" s="284" t="str">
        <f t="shared" si="61"/>
        <v>#DIV/0!</v>
      </c>
      <c r="AK26" s="232">
        <f>'MSK Events'!L107</f>
        <v>0</v>
      </c>
      <c r="AL26" s="285" t="str">
        <f t="shared" si="62"/>
        <v>#DIV/0!</v>
      </c>
      <c r="AM26" s="283">
        <f>MSBC!J99</f>
        <v>100840.3333</v>
      </c>
      <c r="AN26" s="284">
        <f t="shared" si="63"/>
        <v>0.2189972144</v>
      </c>
      <c r="AO26" s="232">
        <f>MSBC!L99</f>
        <v>0</v>
      </c>
      <c r="AP26" s="285" t="str">
        <f t="shared" si="64"/>
        <v>#DIV/0!</v>
      </c>
      <c r="AQ26" s="283">
        <f>Kaspers!J104</f>
        <v>363495.0833</v>
      </c>
      <c r="AR26" s="229"/>
      <c r="AS26" s="232">
        <f>Kaspers!L104</f>
        <v>0</v>
      </c>
      <c r="AT26" s="281"/>
      <c r="AU26" s="283">
        <f>'MSBC Andheri'!J110</f>
        <v>0</v>
      </c>
      <c r="AV26" s="229"/>
      <c r="AW26" s="232">
        <f>'MSBC Andheri'!L110</f>
        <v>0</v>
      </c>
      <c r="AX26" s="281"/>
      <c r="AY26" s="283">
        <f>'MSBC Dahisar'!J97</f>
        <v>0</v>
      </c>
      <c r="AZ26" s="229"/>
      <c r="BA26" s="232">
        <f>'MSBC Dahisar'!L97</f>
        <v>0</v>
      </c>
      <c r="BB26" s="281"/>
      <c r="BC26" s="283">
        <f>'MSBC Juhu  Goregoan'!J110</f>
        <v>0</v>
      </c>
      <c r="BD26" s="229"/>
      <c r="BE26" s="232">
        <f>'MSBC Juhu  Goregoan'!L110</f>
        <v>0</v>
      </c>
      <c r="BF26" s="281"/>
      <c r="BG26" s="283">
        <f>'LOUD MOUTH'!J96</f>
        <v>0</v>
      </c>
      <c r="BH26" s="229"/>
      <c r="BI26" s="232">
        <f>'LOUD MOUTH'!L96</f>
        <v>0</v>
      </c>
      <c r="BJ26" s="281"/>
    </row>
    <row r="27" ht="15.75" customHeight="1">
      <c r="B27" s="385" t="s">
        <v>41</v>
      </c>
      <c r="C27" s="277">
        <f t="shared" si="43"/>
        <v>748613</v>
      </c>
      <c r="D27" s="276">
        <f t="shared" si="44"/>
        <v>0.01016891599</v>
      </c>
      <c r="E27" s="277">
        <f t="shared" si="45"/>
        <v>0</v>
      </c>
      <c r="F27" s="386" t="str">
        <f t="shared" si="46"/>
        <v>#DIV/0!</v>
      </c>
      <c r="G27" s="287">
        <f>HO!J113</f>
        <v>687949</v>
      </c>
      <c r="H27" s="229"/>
      <c r="I27" s="232">
        <f>HO!L113</f>
        <v>0</v>
      </c>
      <c r="J27" s="387"/>
      <c r="K27" s="275">
        <f t="shared" si="47"/>
        <v>60664</v>
      </c>
      <c r="L27" s="276">
        <f t="shared" si="48"/>
        <v>0.0008240400844</v>
      </c>
      <c r="M27" s="277">
        <f t="shared" si="65"/>
        <v>0</v>
      </c>
      <c r="N27" s="386" t="str">
        <f t="shared" si="50"/>
        <v>#DIV/0!</v>
      </c>
      <c r="O27" s="287">
        <f>'The Table'!J122</f>
        <v>32384</v>
      </c>
      <c r="P27" s="284">
        <f t="shared" si="51"/>
        <v>0.001586861352</v>
      </c>
      <c r="Q27" s="232">
        <f>'The Table'!L122</f>
        <v>0</v>
      </c>
      <c r="R27" s="285" t="str">
        <f t="shared" si="52"/>
        <v>#DIV/0!</v>
      </c>
      <c r="S27" s="283">
        <f>Iktara!J106</f>
        <v>0</v>
      </c>
      <c r="T27" s="284">
        <f t="shared" si="53"/>
        <v>0</v>
      </c>
      <c r="U27" s="280">
        <f>Iktara!L106</f>
        <v>0</v>
      </c>
      <c r="V27" s="285" t="str">
        <f t="shared" si="54"/>
        <v>#DIV/0!</v>
      </c>
      <c r="W27" s="283">
        <f>'Mg St Colaba'!J127</f>
        <v>10010</v>
      </c>
      <c r="X27" s="284">
        <f t="shared" si="55"/>
        <v>0.0008051234485</v>
      </c>
      <c r="Y27" s="229"/>
      <c r="Z27" s="285" t="str">
        <f t="shared" si="56"/>
        <v>#DIV/0!</v>
      </c>
      <c r="AA27" s="283">
        <f>'Mg St LP'!J130</f>
        <v>0</v>
      </c>
      <c r="AB27" s="284">
        <f t="shared" si="57"/>
        <v>0</v>
      </c>
      <c r="AC27" s="280">
        <f>'Mg St LP'!L130</f>
        <v>0</v>
      </c>
      <c r="AD27" s="285" t="str">
        <f t="shared" si="58"/>
        <v>#DIV/0!</v>
      </c>
      <c r="AE27" s="283">
        <f>'Mg St Bandra'!J131</f>
        <v>10010</v>
      </c>
      <c r="AF27" s="284">
        <f t="shared" si="59"/>
        <v>0.0005927784777</v>
      </c>
      <c r="AG27" s="232">
        <f>'Mg St Bandra'!L131</f>
        <v>0</v>
      </c>
      <c r="AH27" s="285" t="str">
        <f t="shared" si="60"/>
        <v>#DIV/0!</v>
      </c>
      <c r="AI27" s="283">
        <f>'MSK Events'!J125</f>
        <v>0</v>
      </c>
      <c r="AJ27" s="284" t="str">
        <f t="shared" si="61"/>
        <v>#DIV/0!</v>
      </c>
      <c r="AK27" s="232">
        <f>'MSK Events'!L125</f>
        <v>0</v>
      </c>
      <c r="AL27" s="285" t="str">
        <f t="shared" si="62"/>
        <v>#DIV/0!</v>
      </c>
      <c r="AM27" s="283">
        <f>MSBC!J115</f>
        <v>0</v>
      </c>
      <c r="AN27" s="284">
        <f t="shared" si="63"/>
        <v>0</v>
      </c>
      <c r="AO27" s="232">
        <f>MSBC!L115</f>
        <v>0</v>
      </c>
      <c r="AP27" s="285" t="str">
        <f t="shared" si="64"/>
        <v>#DIV/0!</v>
      </c>
      <c r="AQ27" s="283">
        <f>Kaspers!J127</f>
        <v>8260</v>
      </c>
      <c r="AR27" s="229"/>
      <c r="AS27" s="232">
        <f>Kaspers!L127</f>
        <v>0</v>
      </c>
      <c r="AT27" s="281"/>
      <c r="AU27" s="283">
        <f>'MSBC Andheri'!J125</f>
        <v>0</v>
      </c>
      <c r="AV27" s="229"/>
      <c r="AW27" s="232">
        <f>'MSBC Andheri'!L125</f>
        <v>0</v>
      </c>
      <c r="AX27" s="281"/>
      <c r="AY27" s="283">
        <f>'MSBC Dahisar'!J112</f>
        <v>0</v>
      </c>
      <c r="AZ27" s="229"/>
      <c r="BA27" s="232">
        <f>'MSBC Dahisar'!L112</f>
        <v>0</v>
      </c>
      <c r="BB27" s="281"/>
      <c r="BC27" s="283">
        <f>'MSBC Juhu  Goregoan'!J125</f>
        <v>0</v>
      </c>
      <c r="BD27" s="229"/>
      <c r="BE27" s="232">
        <f>'MSBC Juhu  Goregoan'!L125</f>
        <v>0</v>
      </c>
      <c r="BF27" s="281"/>
      <c r="BG27" s="283">
        <f>'LOUD MOUTH'!J112</f>
        <v>0</v>
      </c>
      <c r="BH27" s="229"/>
      <c r="BI27" s="232">
        <f>'LOUD MOUTH'!L112</f>
        <v>0</v>
      </c>
      <c r="BJ27" s="281"/>
    </row>
    <row r="28" ht="15.75" customHeight="1">
      <c r="B28" s="388" t="s">
        <v>42</v>
      </c>
      <c r="C28" s="292">
        <f t="shared" si="43"/>
        <v>-1937767</v>
      </c>
      <c r="D28" s="291">
        <f t="shared" si="44"/>
        <v>-0.02632199793</v>
      </c>
      <c r="E28" s="292">
        <f t="shared" si="45"/>
        <v>0</v>
      </c>
      <c r="F28" s="389" t="str">
        <f t="shared" si="46"/>
        <v>#DIV/0!</v>
      </c>
      <c r="G28" s="369">
        <f>HO!J117</f>
        <v>96048</v>
      </c>
      <c r="H28" s="364"/>
      <c r="I28" s="295">
        <f>HO!L117</f>
        <v>0</v>
      </c>
      <c r="J28" s="406"/>
      <c r="K28" s="275">
        <f t="shared" si="47"/>
        <v>-2033815</v>
      </c>
      <c r="L28" s="291">
        <f t="shared" si="48"/>
        <v>-0.02762668278</v>
      </c>
      <c r="M28" s="277">
        <f t="shared" si="65"/>
        <v>0</v>
      </c>
      <c r="N28" s="389" t="str">
        <f t="shared" si="50"/>
        <v>#DIV/0!</v>
      </c>
      <c r="O28" s="369">
        <f>'The Table'!J126</f>
        <v>0</v>
      </c>
      <c r="P28" s="366">
        <f t="shared" si="51"/>
        <v>0</v>
      </c>
      <c r="Q28" s="295">
        <f>'The Table'!L126</f>
        <v>0</v>
      </c>
      <c r="R28" s="367" t="str">
        <f t="shared" si="52"/>
        <v>#DIV/0!</v>
      </c>
      <c r="S28" s="297">
        <f>Iktara!J110</f>
        <v>0</v>
      </c>
      <c r="T28" s="366">
        <f t="shared" si="53"/>
        <v>0</v>
      </c>
      <c r="U28" s="295">
        <f>Iktara!L110</f>
        <v>0</v>
      </c>
      <c r="V28" s="367" t="str">
        <f t="shared" si="54"/>
        <v>#DIV/0!</v>
      </c>
      <c r="W28" s="297">
        <f>'Mg St Colaba'!J131</f>
        <v>0</v>
      </c>
      <c r="X28" s="366">
        <f t="shared" si="55"/>
        <v>0</v>
      </c>
      <c r="Y28" s="295"/>
      <c r="Z28" s="367" t="str">
        <f t="shared" si="56"/>
        <v>#DIV/0!</v>
      </c>
      <c r="AA28" s="297">
        <f>'Mg St LP'!J134</f>
        <v>0</v>
      </c>
      <c r="AB28" s="366">
        <f t="shared" si="57"/>
        <v>0</v>
      </c>
      <c r="AC28" s="295">
        <f>'Mg St LP'!L134</f>
        <v>0</v>
      </c>
      <c r="AD28" s="367" t="str">
        <f t="shared" si="58"/>
        <v>#DIV/0!</v>
      </c>
      <c r="AE28" s="297">
        <f>'Mg St Bandra'!J135</f>
        <v>0</v>
      </c>
      <c r="AF28" s="366">
        <f t="shared" si="59"/>
        <v>0</v>
      </c>
      <c r="AG28" s="295">
        <f>'Mg St Bandra'!L135</f>
        <v>0</v>
      </c>
      <c r="AH28" s="367" t="str">
        <f t="shared" si="60"/>
        <v>#DIV/0!</v>
      </c>
      <c r="AI28" s="297">
        <f>'MSK Events'!J129</f>
        <v>0</v>
      </c>
      <c r="AJ28" s="366" t="str">
        <f t="shared" si="61"/>
        <v>#DIV/0!</v>
      </c>
      <c r="AK28" s="295">
        <f>'MSK Events'!L129</f>
        <v>0</v>
      </c>
      <c r="AL28" s="367" t="str">
        <f t="shared" si="62"/>
        <v>#DIV/0!</v>
      </c>
      <c r="AM28" s="297">
        <f>MSBC!J119</f>
        <v>-2033815</v>
      </c>
      <c r="AN28" s="366">
        <f t="shared" si="63"/>
        <v>-4.416881667</v>
      </c>
      <c r="AO28" s="295">
        <f>MSBC!L119</f>
        <v>0</v>
      </c>
      <c r="AP28" s="367" t="str">
        <f t="shared" si="64"/>
        <v>#DIV/0!</v>
      </c>
      <c r="AQ28" s="297">
        <f>Kaspers!J131</f>
        <v>0</v>
      </c>
      <c r="AR28" s="364"/>
      <c r="AS28" s="295">
        <f>Kaspers!L131</f>
        <v>0</v>
      </c>
      <c r="AT28" s="365"/>
      <c r="AU28" s="297">
        <f>'MSBC Andheri'!J129</f>
        <v>0</v>
      </c>
      <c r="AV28" s="364"/>
      <c r="AW28" s="295">
        <f>'MSBC Andheri'!L129</f>
        <v>0</v>
      </c>
      <c r="AX28" s="365"/>
      <c r="AY28" s="297">
        <f>'MSBC Dahisar'!J116</f>
        <v>0</v>
      </c>
      <c r="AZ28" s="364"/>
      <c r="BA28" s="295">
        <f>'MSBC Dahisar'!L116</f>
        <v>0</v>
      </c>
      <c r="BB28" s="365"/>
      <c r="BC28" s="297">
        <f>'MSBC Juhu  Goregoan'!J129</f>
        <v>0</v>
      </c>
      <c r="BD28" s="364"/>
      <c r="BE28" s="295">
        <f>'MSBC Juhu  Goregoan'!L129</f>
        <v>0</v>
      </c>
      <c r="BF28" s="365"/>
      <c r="BG28" s="297">
        <f>'LOUD MOUTH'!J117</f>
        <v>0</v>
      </c>
      <c r="BH28" s="364"/>
      <c r="BI28" s="295">
        <f>'LOUD MOUTH'!L117</f>
        <v>0</v>
      </c>
      <c r="BJ28" s="365"/>
    </row>
    <row r="29" ht="15.75" customHeight="1">
      <c r="A29" s="354"/>
      <c r="B29" s="391" t="s">
        <v>43</v>
      </c>
      <c r="C29" s="161">
        <f>SUM(C19:C28)</f>
        <v>42780148.32</v>
      </c>
      <c r="D29" s="341">
        <f t="shared" si="44"/>
        <v>0.5811116483</v>
      </c>
      <c r="E29" s="161">
        <f t="shared" si="45"/>
        <v>0</v>
      </c>
      <c r="F29" s="345" t="str">
        <f t="shared" si="46"/>
        <v>#DIV/0!</v>
      </c>
      <c r="G29" s="164">
        <f>SUM(G19:G28)</f>
        <v>8100762.27</v>
      </c>
      <c r="H29" s="303"/>
      <c r="I29" s="161">
        <f>SUM(I19:I28)</f>
        <v>0</v>
      </c>
      <c r="J29" s="305"/>
      <c r="K29" s="164">
        <f>SUM(K19:K28)</f>
        <v>34679386.05</v>
      </c>
      <c r="L29" s="341">
        <f t="shared" si="48"/>
        <v>0.4710735231</v>
      </c>
      <c r="M29" s="161">
        <f>SUM(M19:M28)</f>
        <v>0</v>
      </c>
      <c r="N29" s="345" t="str">
        <f t="shared" si="50"/>
        <v>#DIV/0!</v>
      </c>
      <c r="O29" s="164">
        <f>SUM(O19:O28)</f>
        <v>9198912.357</v>
      </c>
      <c r="P29" s="341">
        <f t="shared" si="51"/>
        <v>0.4507595882</v>
      </c>
      <c r="Q29" s="161">
        <f>SUM(Q19:Q28)</f>
        <v>0</v>
      </c>
      <c r="R29" s="342" t="str">
        <f t="shared" si="52"/>
        <v>#DIV/0!</v>
      </c>
      <c r="S29" s="302">
        <f>SUM(S19:S28)</f>
        <v>749766.04</v>
      </c>
      <c r="T29" s="341">
        <f t="shared" si="53"/>
        <v>0.9285028359</v>
      </c>
      <c r="U29" s="161">
        <f>SUM(U19:U28)</f>
        <v>0</v>
      </c>
      <c r="V29" s="342" t="str">
        <f t="shared" si="54"/>
        <v>#DIV/0!</v>
      </c>
      <c r="W29" s="302">
        <f>SUM(W19:W28)</f>
        <v>6609500.95</v>
      </c>
      <c r="X29" s="341">
        <f t="shared" si="55"/>
        <v>0.531614805</v>
      </c>
      <c r="Y29" s="161">
        <f>SUM(Y19:Y28)</f>
        <v>0</v>
      </c>
      <c r="Z29" s="342" t="str">
        <f t="shared" si="56"/>
        <v>#DIV/0!</v>
      </c>
      <c r="AA29" s="302">
        <f>SUM(AA19:AA28)</f>
        <v>4220755.49</v>
      </c>
      <c r="AB29" s="341">
        <f t="shared" si="57"/>
        <v>0.4531937829</v>
      </c>
      <c r="AC29" s="161">
        <f>SUM(AC19:AC28)</f>
        <v>0</v>
      </c>
      <c r="AD29" s="342" t="str">
        <f t="shared" si="58"/>
        <v>#DIV/0!</v>
      </c>
      <c r="AE29" s="302">
        <f>SUM(AE19:AE28)</f>
        <v>6369335.98</v>
      </c>
      <c r="AF29" s="341">
        <f t="shared" si="59"/>
        <v>0.3771833453</v>
      </c>
      <c r="AG29" s="161">
        <f>SUM(AG19:AG28)</f>
        <v>0</v>
      </c>
      <c r="AH29" s="342" t="str">
        <f t="shared" si="60"/>
        <v>#DIV/0!</v>
      </c>
      <c r="AI29" s="302">
        <f>SUM(AI19:AI28)</f>
        <v>1130325.757</v>
      </c>
      <c r="AJ29" s="303"/>
      <c r="AK29" s="161">
        <f>SUM(AK19:AK28)</f>
        <v>0</v>
      </c>
      <c r="AL29" s="304"/>
      <c r="AM29" s="302">
        <f>SUM(AM19:AM28)</f>
        <v>0.05333333323</v>
      </c>
      <c r="AN29" s="341">
        <f t="shared" si="63"/>
        <v>0.0000001158251964</v>
      </c>
      <c r="AO29" s="161">
        <f>SUM(AO19:AO28)</f>
        <v>0</v>
      </c>
      <c r="AP29" s="342" t="str">
        <f t="shared" si="64"/>
        <v>#DIV/0!</v>
      </c>
      <c r="AQ29" s="302">
        <f>SUM(AQ19:AQ28)</f>
        <v>5381547.8</v>
      </c>
      <c r="AR29" s="303"/>
      <c r="AS29" s="161">
        <f>SUM(AS19:AS28)</f>
        <v>0</v>
      </c>
      <c r="AT29" s="304"/>
      <c r="AU29" s="302">
        <f>SUM(AU19:AU28)</f>
        <v>145015.7</v>
      </c>
      <c r="AV29" s="303"/>
      <c r="AW29" s="161">
        <f>SUM(AW19:AW28)</f>
        <v>0</v>
      </c>
      <c r="AX29" s="304"/>
      <c r="AY29" s="302">
        <f>SUM(AY19:AY28)</f>
        <v>43675.92</v>
      </c>
      <c r="AZ29" s="303"/>
      <c r="BA29" s="161">
        <f>SUM(BA19:BA28)</f>
        <v>0</v>
      </c>
      <c r="BB29" s="304"/>
      <c r="BC29" s="302">
        <f>SUM(BC19:BC28)</f>
        <v>47233</v>
      </c>
      <c r="BD29" s="303"/>
      <c r="BE29" s="161">
        <f>SUM(BE19:BE28)</f>
        <v>0</v>
      </c>
      <c r="BF29" s="304"/>
      <c r="BG29" s="302">
        <f>SUM(BG19:BG28)</f>
        <v>783317</v>
      </c>
      <c r="BH29" s="303"/>
      <c r="BI29" s="161">
        <f>SUM(BI19:BI28)</f>
        <v>0</v>
      </c>
      <c r="BJ29" s="304"/>
    </row>
    <row r="30" ht="15.75" customHeight="1">
      <c r="B30" s="407"/>
      <c r="C30" s="372"/>
      <c r="D30" s="372"/>
      <c r="E30" s="372"/>
      <c r="F30" s="408"/>
      <c r="G30" s="317"/>
      <c r="H30" s="311"/>
      <c r="I30" s="312"/>
      <c r="J30" s="316"/>
      <c r="K30" s="371"/>
      <c r="L30" s="372"/>
      <c r="M30" s="375"/>
      <c r="N30" s="408"/>
      <c r="O30" s="317"/>
      <c r="P30" s="311"/>
      <c r="Q30" s="311"/>
      <c r="R30" s="313"/>
      <c r="S30" s="310"/>
      <c r="T30" s="311"/>
      <c r="U30" s="311"/>
      <c r="V30" s="313"/>
      <c r="W30" s="310"/>
      <c r="X30" s="311"/>
      <c r="Y30" s="311"/>
      <c r="Z30" s="313"/>
      <c r="AA30" s="310"/>
      <c r="AB30" s="311"/>
      <c r="AC30" s="311"/>
      <c r="AD30" s="313"/>
      <c r="AE30" s="310"/>
      <c r="AF30" s="311"/>
      <c r="AG30" s="311"/>
      <c r="AH30" s="313"/>
      <c r="AI30" s="310"/>
      <c r="AJ30" s="311"/>
      <c r="AK30" s="311"/>
      <c r="AL30" s="313"/>
      <c r="AM30" s="310"/>
      <c r="AN30" s="311"/>
      <c r="AO30" s="311"/>
      <c r="AP30" s="313"/>
      <c r="AQ30" s="310"/>
      <c r="AR30" s="311"/>
      <c r="AS30" s="311"/>
      <c r="AT30" s="313"/>
      <c r="AU30" s="376"/>
      <c r="AV30" s="377"/>
      <c r="AW30" s="378">
        <f>AW17-AW29</f>
        <v>0</v>
      </c>
      <c r="AX30" s="379"/>
      <c r="AY30" s="376"/>
      <c r="AZ30" s="377"/>
      <c r="BA30" s="378">
        <f>BA17-BA29</f>
        <v>0</v>
      </c>
      <c r="BB30" s="379"/>
      <c r="BC30" s="376"/>
      <c r="BD30" s="377"/>
      <c r="BE30" s="378">
        <f>BE17-BE29</f>
        <v>0</v>
      </c>
      <c r="BF30" s="379"/>
      <c r="BG30" s="376"/>
      <c r="BH30" s="377"/>
      <c r="BI30" s="378">
        <f>BI17-BI29</f>
        <v>0</v>
      </c>
      <c r="BJ30" s="379"/>
    </row>
    <row r="31" ht="15.75" customHeight="1">
      <c r="A31" s="354"/>
      <c r="B31" s="391" t="s">
        <v>44</v>
      </c>
      <c r="C31" s="161">
        <f>C17-C29</f>
        <v>1539521.861</v>
      </c>
      <c r="D31" s="341">
        <f>C31/C$10</f>
        <v>0.02091236524</v>
      </c>
      <c r="E31" s="161">
        <f>E17-E29</f>
        <v>0</v>
      </c>
      <c r="F31" s="345" t="str">
        <f>E31/E$10</f>
        <v>#DIV/0!</v>
      </c>
      <c r="G31" s="164">
        <f>G17-G29</f>
        <v>-8100762.27</v>
      </c>
      <c r="H31" s="303"/>
      <c r="I31" s="161">
        <f>I17-I29</f>
        <v>0</v>
      </c>
      <c r="J31" s="305"/>
      <c r="K31" s="164">
        <f>K17-K29</f>
        <v>9640284.131</v>
      </c>
      <c r="L31" s="341">
        <f>K31/K$10</f>
        <v>0.1309504904</v>
      </c>
      <c r="M31" s="161">
        <f>M17-M29</f>
        <v>0</v>
      </c>
      <c r="N31" s="345" t="str">
        <f>M31/M$10</f>
        <v>#DIV/0!</v>
      </c>
      <c r="O31" s="164">
        <f>O17-O29</f>
        <v>3953343.47</v>
      </c>
      <c r="P31" s="341">
        <f>O31/O$10</f>
        <v>0.1937193665</v>
      </c>
      <c r="Q31" s="161">
        <f>Q17-Q29</f>
        <v>0</v>
      </c>
      <c r="R31" s="342" t="str">
        <f>Q31/Q$10</f>
        <v>#DIV/0!</v>
      </c>
      <c r="S31" s="302">
        <f>S17-S29</f>
        <v>-258983.0629</v>
      </c>
      <c r="T31" s="341">
        <f>S31/S$10</f>
        <v>-0.3207220593</v>
      </c>
      <c r="U31" s="161">
        <f>U17-U29</f>
        <v>0</v>
      </c>
      <c r="V31" s="342" t="str">
        <f>U31/U$10</f>
        <v>#DIV/0!</v>
      </c>
      <c r="W31" s="302">
        <f>W17-W29</f>
        <v>631729.5839</v>
      </c>
      <c r="X31" s="341">
        <f>W31/W$10</f>
        <v>0.05081121889</v>
      </c>
      <c r="Y31" s="161">
        <f>Y17-Y29</f>
        <v>0</v>
      </c>
      <c r="Z31" s="342" t="str">
        <f>Y31/Y$10</f>
        <v>#DIV/0!</v>
      </c>
      <c r="AA31" s="302">
        <f>AA17-AA29</f>
        <v>1234107.576</v>
      </c>
      <c r="AB31" s="341">
        <f>AA31/AA$10</f>
        <v>0.1325094245</v>
      </c>
      <c r="AC31" s="161">
        <f>AC17-AC29</f>
        <v>0</v>
      </c>
      <c r="AD31" s="342" t="str">
        <f>AC31/AC$10</f>
        <v>#DIV/0!</v>
      </c>
      <c r="AE31" s="302">
        <f>AE17-AE29</f>
        <v>4336730.22</v>
      </c>
      <c r="AF31" s="341">
        <f>AE31/AE$10</f>
        <v>0.2568152186</v>
      </c>
      <c r="AG31" s="161">
        <f>AG17-AG29</f>
        <v>0</v>
      </c>
      <c r="AH31" s="342" t="str">
        <f>AG31/AG$10</f>
        <v>#DIV/0!</v>
      </c>
      <c r="AI31" s="302">
        <f>AI17-AI29</f>
        <v>-1131355.757</v>
      </c>
      <c r="AJ31" s="303"/>
      <c r="AK31" s="161">
        <f>AK17-AK29</f>
        <v>0</v>
      </c>
      <c r="AL31" s="304"/>
      <c r="AM31" s="302">
        <f>AM17-AM29</f>
        <v>-526562.1895</v>
      </c>
      <c r="AN31" s="341">
        <f>AM31/AM$10</f>
        <v>-1.143546921</v>
      </c>
      <c r="AO31" s="161">
        <f>AO17-AO29</f>
        <v>0</v>
      </c>
      <c r="AP31" s="342" t="str">
        <f>AO31/AO$10</f>
        <v>#DIV/0!</v>
      </c>
      <c r="AQ31" s="302">
        <f>AQ17-AQ29</f>
        <v>2018857.304</v>
      </c>
      <c r="AR31" s="303"/>
      <c r="AS31" s="161">
        <f>AS17-AS29</f>
        <v>0</v>
      </c>
      <c r="AT31" s="304"/>
      <c r="AU31" s="302">
        <f t="shared" ref="AU31:BJ31" si="66">AU17-AU29</f>
        <v>81836.53</v>
      </c>
      <c r="AV31" s="161">
        <f t="shared" si="66"/>
        <v>0</v>
      </c>
      <c r="AW31" s="161">
        <f t="shared" si="66"/>
        <v>0</v>
      </c>
      <c r="AX31" s="347">
        <f t="shared" si="66"/>
        <v>0</v>
      </c>
      <c r="AY31" s="302">
        <f t="shared" si="66"/>
        <v>-123284.3069</v>
      </c>
      <c r="AZ31" s="161">
        <f t="shared" si="66"/>
        <v>0</v>
      </c>
      <c r="BA31" s="161">
        <f t="shared" si="66"/>
        <v>0</v>
      </c>
      <c r="BB31" s="347">
        <f t="shared" si="66"/>
        <v>0</v>
      </c>
      <c r="BC31" s="302">
        <f t="shared" si="66"/>
        <v>-139322.6562</v>
      </c>
      <c r="BD31" s="161">
        <f t="shared" si="66"/>
        <v>0</v>
      </c>
      <c r="BE31" s="161">
        <f t="shared" si="66"/>
        <v>0</v>
      </c>
      <c r="BF31" s="347">
        <f t="shared" si="66"/>
        <v>0</v>
      </c>
      <c r="BG31" s="302">
        <f t="shared" si="66"/>
        <v>-436812.58</v>
      </c>
      <c r="BH31" s="161">
        <f t="shared" si="66"/>
        <v>0</v>
      </c>
      <c r="BI31" s="161">
        <f t="shared" si="66"/>
        <v>0</v>
      </c>
      <c r="BJ31" s="347">
        <f t="shared" si="66"/>
        <v>0</v>
      </c>
    </row>
    <row r="32" ht="15.75" customHeight="1"/>
    <row r="33" ht="15.75" customHeight="1">
      <c r="C33" s="121">
        <f>+G33+K33</f>
        <v>1539521.861</v>
      </c>
      <c r="G33" s="121">
        <f>HO!J123</f>
        <v>-8100762.27</v>
      </c>
      <c r="H33" s="121"/>
      <c r="I33" s="121"/>
      <c r="J33" s="125"/>
      <c r="K33" s="125">
        <f>SUM(O33:BJ33)</f>
        <v>9640284.131</v>
      </c>
      <c r="L33" s="121"/>
      <c r="M33" s="121"/>
      <c r="N33" s="121"/>
      <c r="O33" s="121">
        <f>'The Table'!J132</f>
        <v>3953343.47</v>
      </c>
      <c r="P33" s="121"/>
      <c r="Q33" s="121"/>
      <c r="R33" s="121"/>
      <c r="S33" s="121">
        <f>Iktara!J117</f>
        <v>-258983.0629</v>
      </c>
      <c r="T33" s="121"/>
      <c r="U33" s="121"/>
      <c r="V33" s="121"/>
      <c r="W33" s="121">
        <f>'Mg St Colaba'!J137</f>
        <v>631729.5839</v>
      </c>
      <c r="X33" s="121"/>
      <c r="Y33" s="121"/>
      <c r="Z33" s="121"/>
      <c r="AA33" s="121">
        <f>'Mg St LP'!J141</f>
        <v>1234107.576</v>
      </c>
      <c r="AB33" s="121"/>
      <c r="AC33" s="121"/>
      <c r="AD33" s="121"/>
      <c r="AE33" s="121">
        <f>'Mg St Bandra'!J142</f>
        <v>4336730.22</v>
      </c>
      <c r="AF33" s="121"/>
      <c r="AG33" s="121"/>
      <c r="AH33" s="121"/>
      <c r="AI33" s="121">
        <f>'MSK Events'!J136</f>
        <v>-1131355.757</v>
      </c>
      <c r="AJ33" s="121"/>
      <c r="AK33" s="121"/>
      <c r="AL33" s="121"/>
      <c r="AM33" s="121">
        <f>MSBC!J125</f>
        <v>-526562.1895</v>
      </c>
      <c r="AN33" s="121"/>
      <c r="AO33" s="121"/>
      <c r="AP33" s="121"/>
      <c r="AQ33" s="121">
        <f>Kaspers!J138</f>
        <v>2018857.304</v>
      </c>
      <c r="AR33" s="121"/>
      <c r="AS33" s="121"/>
      <c r="AT33" s="121"/>
      <c r="AU33" s="121">
        <f>'MSBC Andheri'!J136</f>
        <v>81836.53</v>
      </c>
      <c r="AV33" s="121"/>
      <c r="AW33" s="121"/>
      <c r="AX33" s="121"/>
      <c r="AY33" s="121">
        <f>'MSBC Dahisar'!J123</f>
        <v>-123284.3069</v>
      </c>
      <c r="AZ33" s="121"/>
      <c r="BA33" s="121"/>
      <c r="BB33" s="121"/>
      <c r="BC33" s="121">
        <f>'MSBC Juhu  Goregoan'!J135</f>
        <v>-139322.6562</v>
      </c>
      <c r="BD33" s="121"/>
      <c r="BE33" s="121"/>
      <c r="BF33" s="121"/>
      <c r="BG33" s="121">
        <f>'LOUD MOUTH'!J123</f>
        <v>-436812.58</v>
      </c>
      <c r="BH33" s="121"/>
      <c r="BI33" s="121"/>
      <c r="BJ33" s="121"/>
    </row>
    <row r="34" ht="15.75" customHeight="1">
      <c r="C34" s="121">
        <f>+C31-C33</f>
        <v>0.000000001862645149</v>
      </c>
      <c r="G34" s="121">
        <f>+G31-G33</f>
        <v>0</v>
      </c>
      <c r="H34" s="121"/>
      <c r="I34" s="121"/>
      <c r="J34" s="125"/>
      <c r="K34" s="125">
        <f>+K31-K33</f>
        <v>-0.000000001862645149</v>
      </c>
      <c r="L34" s="121"/>
      <c r="M34" s="121"/>
      <c r="N34" s="121"/>
      <c r="O34" s="121">
        <f>+O31-O33</f>
        <v>0</v>
      </c>
      <c r="P34" s="121"/>
      <c r="Q34" s="121"/>
      <c r="R34" s="121"/>
      <c r="S34" s="121">
        <f>+S31-S33</f>
        <v>0</v>
      </c>
      <c r="T34" s="121"/>
      <c r="U34" s="121"/>
      <c r="V34" s="121"/>
      <c r="W34" s="121">
        <f>+W31-W33</f>
        <v>0</v>
      </c>
      <c r="X34" s="121"/>
      <c r="Y34" s="121"/>
      <c r="Z34" s="121"/>
      <c r="AA34" s="121">
        <f>+AA31-AA33</f>
        <v>0</v>
      </c>
      <c r="AB34" s="121"/>
      <c r="AC34" s="121"/>
      <c r="AD34" s="121"/>
      <c r="AE34" s="121">
        <f>+AE31-AE33</f>
        <v>0</v>
      </c>
      <c r="AF34" s="121"/>
      <c r="AG34" s="121"/>
      <c r="AH34" s="121"/>
      <c r="AI34" s="121">
        <f>+AI31-AI33</f>
        <v>0</v>
      </c>
      <c r="AJ34" s="121"/>
      <c r="AK34" s="121"/>
      <c r="AL34" s="121"/>
      <c r="AM34" s="121">
        <f>+AM31-AM33</f>
        <v>0</v>
      </c>
      <c r="AN34" s="121"/>
      <c r="AO34" s="121"/>
      <c r="AP34" s="121"/>
      <c r="AQ34" s="121">
        <f>+AQ31-AQ33</f>
        <v>0</v>
      </c>
      <c r="AR34" s="121"/>
      <c r="AS34" s="121"/>
      <c r="AT34" s="121"/>
      <c r="AU34" s="121">
        <f>+AU31-AU33</f>
        <v>0</v>
      </c>
      <c r="AV34" s="121"/>
      <c r="AW34" s="121"/>
      <c r="AX34" s="121"/>
      <c r="AY34" s="121">
        <f>+AY31-AY33</f>
        <v>0</v>
      </c>
      <c r="AZ34" s="121"/>
      <c r="BA34" s="121"/>
      <c r="BB34" s="121"/>
      <c r="BC34" s="121">
        <f>+BC31-BC33</f>
        <v>0</v>
      </c>
      <c r="BD34" s="121"/>
      <c r="BE34" s="121"/>
      <c r="BF34" s="121"/>
      <c r="BG34" s="121">
        <f>+BG31-BG33</f>
        <v>0</v>
      </c>
      <c r="BH34" s="121"/>
      <c r="BI34" s="121"/>
      <c r="BJ34" s="121"/>
    </row>
    <row r="35" ht="15.75" customHeight="1">
      <c r="J35" s="381"/>
      <c r="K35" s="123"/>
    </row>
    <row r="36" ht="15.75" customHeight="1">
      <c r="J36" s="381"/>
      <c r="K36" s="12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3:F3"/>
    <mergeCell ref="G3:J3"/>
    <mergeCell ref="K3:N3"/>
    <mergeCell ref="O3:R3"/>
    <mergeCell ref="S3:V3"/>
    <mergeCell ref="W3:Z3"/>
    <mergeCell ref="BC3:BF3"/>
    <mergeCell ref="BG3:BJ3"/>
    <mergeCell ref="AA3:AD3"/>
    <mergeCell ref="AE3:AH3"/>
    <mergeCell ref="AI3:AL3"/>
    <mergeCell ref="AM3:AP3"/>
    <mergeCell ref="AQ3:AT3"/>
    <mergeCell ref="AU3:AX3"/>
    <mergeCell ref="AY3:BB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.0"/>
    <col customWidth="1" min="2" max="2" width="22.38"/>
    <col customWidth="1" min="3" max="6" width="12.63"/>
    <col customWidth="1" min="7" max="7" width="13.63"/>
  </cols>
  <sheetData>
    <row r="1" ht="15.75" customHeight="1">
      <c r="A1" s="227" t="s">
        <v>0</v>
      </c>
      <c r="O1" s="124"/>
      <c r="S1" s="124"/>
      <c r="W1" s="124">
        <f>W12/$K$12</f>
        <v>0.176429959</v>
      </c>
      <c r="AA1" s="124">
        <f>AA12/$K$12</f>
        <v>0.120370166</v>
      </c>
      <c r="AE1" s="124">
        <f>AE12/$K$12</f>
        <v>0.2016667952</v>
      </c>
      <c r="BC1" s="124" t="s">
        <v>159</v>
      </c>
      <c r="BG1" s="124" t="s">
        <v>159</v>
      </c>
    </row>
    <row r="2" ht="15.75" customHeight="1">
      <c r="A2" s="124" t="s">
        <v>160</v>
      </c>
    </row>
    <row r="3" ht="15.75" customHeight="1">
      <c r="B3" s="4"/>
      <c r="C3" s="131" t="s">
        <v>46</v>
      </c>
      <c r="D3" s="10"/>
      <c r="E3" s="10"/>
      <c r="F3" s="12"/>
      <c r="G3" s="131" t="s">
        <v>3</v>
      </c>
      <c r="H3" s="10"/>
      <c r="I3" s="10"/>
      <c r="J3" s="12"/>
      <c r="K3" s="131" t="s">
        <v>4</v>
      </c>
      <c r="L3" s="10"/>
      <c r="M3" s="10"/>
      <c r="N3" s="12"/>
      <c r="O3" s="131" t="s">
        <v>5</v>
      </c>
      <c r="P3" s="10"/>
      <c r="Q3" s="10"/>
      <c r="R3" s="12"/>
      <c r="S3" s="131" t="s">
        <v>6</v>
      </c>
      <c r="T3" s="10"/>
      <c r="U3" s="10"/>
      <c r="V3" s="12"/>
      <c r="W3" s="131" t="s">
        <v>7</v>
      </c>
      <c r="X3" s="10"/>
      <c r="Y3" s="10"/>
      <c r="Z3" s="12"/>
      <c r="AA3" s="131" t="s">
        <v>8</v>
      </c>
      <c r="AB3" s="10"/>
      <c r="AC3" s="10"/>
      <c r="AD3" s="12"/>
      <c r="AE3" s="131" t="s">
        <v>9</v>
      </c>
      <c r="AF3" s="10"/>
      <c r="AG3" s="10"/>
      <c r="AH3" s="12"/>
      <c r="AI3" s="131" t="s">
        <v>10</v>
      </c>
      <c r="AJ3" s="10"/>
      <c r="AK3" s="10"/>
      <c r="AL3" s="12"/>
      <c r="AM3" s="131" t="s">
        <v>11</v>
      </c>
      <c r="AN3" s="10"/>
      <c r="AO3" s="10"/>
      <c r="AP3" s="12"/>
      <c r="AQ3" s="131" t="s">
        <v>12</v>
      </c>
      <c r="AR3" s="10"/>
      <c r="AS3" s="10"/>
      <c r="AT3" s="12"/>
      <c r="AU3" s="131" t="s">
        <v>13</v>
      </c>
      <c r="AV3" s="10"/>
      <c r="AW3" s="10"/>
      <c r="AX3" s="12"/>
      <c r="AY3" s="131" t="s">
        <v>14</v>
      </c>
      <c r="AZ3" s="10"/>
      <c r="BA3" s="10"/>
      <c r="BB3" s="12"/>
      <c r="BC3" s="131" t="s">
        <v>161</v>
      </c>
      <c r="BD3" s="10"/>
      <c r="BE3" s="10"/>
      <c r="BF3" s="12"/>
      <c r="BG3" s="131" t="s">
        <v>47</v>
      </c>
      <c r="BH3" s="10"/>
      <c r="BI3" s="10"/>
      <c r="BJ3" s="12"/>
    </row>
    <row r="4" ht="15.75" customHeight="1">
      <c r="B4" s="13"/>
      <c r="C4" s="160" t="s">
        <v>20</v>
      </c>
      <c r="D4" s="160" t="s">
        <v>18</v>
      </c>
      <c r="E4" s="160" t="s">
        <v>19</v>
      </c>
      <c r="F4" s="160" t="s">
        <v>18</v>
      </c>
      <c r="G4" s="160" t="s">
        <v>20</v>
      </c>
      <c r="H4" s="160" t="s">
        <v>18</v>
      </c>
      <c r="I4" s="160" t="s">
        <v>19</v>
      </c>
      <c r="J4" s="160" t="s">
        <v>18</v>
      </c>
      <c r="K4" s="160" t="s">
        <v>20</v>
      </c>
      <c r="L4" s="160" t="s">
        <v>18</v>
      </c>
      <c r="M4" s="160" t="s">
        <v>19</v>
      </c>
      <c r="N4" s="160" t="s">
        <v>18</v>
      </c>
      <c r="O4" s="160" t="s">
        <v>20</v>
      </c>
      <c r="P4" s="160" t="s">
        <v>18</v>
      </c>
      <c r="Q4" s="160" t="s">
        <v>19</v>
      </c>
      <c r="R4" s="160" t="s">
        <v>18</v>
      </c>
      <c r="S4" s="160" t="s">
        <v>20</v>
      </c>
      <c r="T4" s="160" t="s">
        <v>18</v>
      </c>
      <c r="U4" s="160" t="s">
        <v>19</v>
      </c>
      <c r="V4" s="160" t="s">
        <v>18</v>
      </c>
      <c r="W4" s="160" t="s">
        <v>20</v>
      </c>
      <c r="X4" s="160" t="s">
        <v>18</v>
      </c>
      <c r="Y4" s="160" t="s">
        <v>19</v>
      </c>
      <c r="Z4" s="160" t="s">
        <v>18</v>
      </c>
      <c r="AA4" s="160" t="s">
        <v>20</v>
      </c>
      <c r="AB4" s="160" t="s">
        <v>18</v>
      </c>
      <c r="AC4" s="160" t="s">
        <v>19</v>
      </c>
      <c r="AD4" s="160" t="s">
        <v>18</v>
      </c>
      <c r="AE4" s="160" t="s">
        <v>20</v>
      </c>
      <c r="AF4" s="160" t="s">
        <v>18</v>
      </c>
      <c r="AG4" s="160" t="s">
        <v>19</v>
      </c>
      <c r="AH4" s="160" t="s">
        <v>18</v>
      </c>
      <c r="AI4" s="160" t="s">
        <v>20</v>
      </c>
      <c r="AJ4" s="160" t="s">
        <v>18</v>
      </c>
      <c r="AK4" s="160" t="s">
        <v>19</v>
      </c>
      <c r="AL4" s="160" t="s">
        <v>18</v>
      </c>
      <c r="AM4" s="160" t="s">
        <v>20</v>
      </c>
      <c r="AN4" s="160" t="s">
        <v>18</v>
      </c>
      <c r="AO4" s="160" t="s">
        <v>19</v>
      </c>
      <c r="AP4" s="160" t="s">
        <v>18</v>
      </c>
      <c r="AQ4" s="160" t="s">
        <v>20</v>
      </c>
      <c r="AR4" s="160" t="s">
        <v>18</v>
      </c>
      <c r="AS4" s="160" t="s">
        <v>19</v>
      </c>
      <c r="AT4" s="160" t="s">
        <v>18</v>
      </c>
      <c r="AU4" s="160" t="s">
        <v>17</v>
      </c>
      <c r="AV4" s="160" t="s">
        <v>18</v>
      </c>
      <c r="AW4" s="160" t="s">
        <v>19</v>
      </c>
      <c r="AX4" s="160" t="s">
        <v>18</v>
      </c>
      <c r="AY4" s="160" t="s">
        <v>17</v>
      </c>
      <c r="AZ4" s="160" t="s">
        <v>18</v>
      </c>
      <c r="BA4" s="160" t="s">
        <v>19</v>
      </c>
      <c r="BB4" s="160" t="s">
        <v>18</v>
      </c>
      <c r="BC4" s="160" t="s">
        <v>17</v>
      </c>
      <c r="BD4" s="160" t="s">
        <v>18</v>
      </c>
      <c r="BE4" s="160" t="s">
        <v>19</v>
      </c>
      <c r="BF4" s="160" t="s">
        <v>18</v>
      </c>
      <c r="BG4" s="160" t="s">
        <v>17</v>
      </c>
      <c r="BH4" s="160" t="s">
        <v>18</v>
      </c>
      <c r="BI4" s="160" t="s">
        <v>19</v>
      </c>
      <c r="BJ4" s="160" t="s">
        <v>18</v>
      </c>
    </row>
    <row r="5" ht="15.75" customHeight="1">
      <c r="B5" s="258" t="s">
        <v>21</v>
      </c>
      <c r="C5" s="259">
        <f t="shared" ref="C5:C9" si="1">G5+K5</f>
        <v>5710543.75</v>
      </c>
      <c r="D5" s="260">
        <f t="shared" ref="D5:D10" si="2">C5/C$10</f>
        <v>0.07593684191</v>
      </c>
      <c r="E5" s="261">
        <f t="shared" ref="E5:E9" si="3">I5+M5</f>
        <v>0</v>
      </c>
      <c r="F5" s="262" t="str">
        <f t="shared" ref="F5:F10" si="4">E5/E$10</f>
        <v>#DIV/0!</v>
      </c>
      <c r="G5" s="263">
        <f>HO!D14</f>
        <v>0</v>
      </c>
      <c r="H5" s="264"/>
      <c r="I5" s="265" t="str">
        <f>HO!F14</f>
        <v/>
      </c>
      <c r="J5" s="362"/>
      <c r="K5" s="259">
        <f t="shared" ref="K5:K9" si="5">O5+S5+W5+AA5+AE5+AI5+AM5+AQ5+AU5+AY5+BC5+BG5</f>
        <v>5710543.75</v>
      </c>
      <c r="L5" s="260">
        <f t="shared" ref="L5:L10" si="6">K5/K$10</f>
        <v>0.07593684191</v>
      </c>
      <c r="M5" s="261">
        <f t="shared" ref="M5:M9" si="7">Q5+U5+Y5+AC5+AG5+AK5+AO5+AS5+AW5+BA5+BE5+BI5</f>
        <v>0</v>
      </c>
      <c r="N5" s="262" t="str">
        <f t="shared" ref="N5:N10" si="8">M5/M$10</f>
        <v>#DIV/0!</v>
      </c>
      <c r="O5" s="268">
        <f>'The Table'!D24</f>
        <v>1172105</v>
      </c>
      <c r="P5" s="269">
        <f t="shared" ref="P5:P8" si="9">O5/O$10</f>
        <v>0.05710144666</v>
      </c>
      <c r="Q5" s="270" t="str">
        <f>'The Table'!F24</f>
        <v/>
      </c>
      <c r="R5" s="271" t="str">
        <f t="shared" ref="R5:R8" si="10">Q5/Q$10</f>
        <v>#DIV/0!</v>
      </c>
      <c r="S5" s="268">
        <f>Iktara!D24</f>
        <v>0</v>
      </c>
      <c r="T5" s="269">
        <f t="shared" ref="T5:T8" si="11">S5/S$10</f>
        <v>0</v>
      </c>
      <c r="U5" s="270" t="str">
        <f>Iktara!F24</f>
        <v/>
      </c>
      <c r="V5" s="271" t="str">
        <f t="shared" ref="V5:V8" si="12">U5/U$10</f>
        <v>#DIV/0!</v>
      </c>
      <c r="W5" s="268">
        <f>'Mg St Colaba'!D24</f>
        <v>1181100</v>
      </c>
      <c r="X5" s="269">
        <f t="shared" ref="X5:X8" si="13">W5/W$10</f>
        <v>0.09191296283</v>
      </c>
      <c r="Y5" s="270" t="str">
        <f>'Mg St Colaba'!F24</f>
        <v/>
      </c>
      <c r="Z5" s="271" t="str">
        <f t="shared" ref="Z5:Z8" si="14">Y5/Y$10</f>
        <v>#DIV/0!</v>
      </c>
      <c r="AA5" s="268">
        <f>'Mg St LP'!D24</f>
        <v>1273758.75</v>
      </c>
      <c r="AB5" s="269">
        <f t="shared" ref="AB5:AB8" si="15">AA5/AA$10</f>
        <v>0.1295483628</v>
      </c>
      <c r="AC5" s="270" t="str">
        <f>'Mg St LP'!F24</f>
        <v/>
      </c>
      <c r="AD5" s="271" t="str">
        <f t="shared" ref="AD5:AD8" si="16">AC5/AC$10</f>
        <v>#DIV/0!</v>
      </c>
      <c r="AE5" s="268">
        <f>'Mg St Bandra'!D24</f>
        <v>1555917.5</v>
      </c>
      <c r="AF5" s="269">
        <f t="shared" ref="AF5:AF8" si="17">AE5/AE$10</f>
        <v>0.0896980881</v>
      </c>
      <c r="AG5" s="270" t="str">
        <f>'Mg St Bandra'!F24</f>
        <v/>
      </c>
      <c r="AH5" s="271" t="str">
        <f t="shared" ref="AH5:AH8" si="18">AG5/AG$10</f>
        <v>#DIV/0!</v>
      </c>
      <c r="AI5" s="268" t="str">
        <f>'MSK Events'!D24</f>
        <v/>
      </c>
      <c r="AJ5" s="269" t="str">
        <f t="shared" ref="AJ5:AJ8" si="19">AI5/AI$10</f>
        <v>#DIV/0!</v>
      </c>
      <c r="AK5" s="270" t="str">
        <f>'MSK Events'!F24</f>
        <v/>
      </c>
      <c r="AL5" s="266"/>
      <c r="AM5" s="268" t="str">
        <f>MSBC!D24</f>
        <v/>
      </c>
      <c r="AN5" s="269">
        <f t="shared" ref="AN5:AN8" si="20">AM5/AM$10</f>
        <v>0</v>
      </c>
      <c r="AO5" s="270">
        <f>MSBC!F24</f>
        <v>0</v>
      </c>
      <c r="AP5" s="272" t="str">
        <f t="shared" ref="AP5:AP8" si="21">AO5/AO$10</f>
        <v>#DIV/0!</v>
      </c>
      <c r="AQ5" s="273">
        <f>Kaspers!D24</f>
        <v>527662.5</v>
      </c>
      <c r="AR5" s="269"/>
      <c r="AS5" s="270" t="str">
        <f>Kaspers!F24</f>
        <v/>
      </c>
      <c r="AT5" s="266"/>
      <c r="AU5" s="268">
        <f>'MSBC Andheri'!D24</f>
        <v>0</v>
      </c>
      <c r="AV5" s="264"/>
      <c r="AW5" s="270">
        <v>0.0</v>
      </c>
      <c r="AX5" s="362"/>
      <c r="AY5" s="273">
        <f>'MSBC Dahisar'!D22</f>
        <v>0</v>
      </c>
      <c r="AZ5" s="264"/>
      <c r="BA5" s="270">
        <v>0.0</v>
      </c>
      <c r="BB5" s="266"/>
      <c r="BC5" s="268">
        <f>'MSBC Juhu  Goregoan'!D22</f>
        <v>0</v>
      </c>
      <c r="BD5" s="264"/>
      <c r="BE5" s="270">
        <v>0.0</v>
      </c>
      <c r="BF5" s="362"/>
      <c r="BG5" s="273" t="str">
        <f>'LOUD MOUTH'!D24</f>
        <v/>
      </c>
      <c r="BH5" s="264"/>
      <c r="BI5" s="270">
        <v>0.0</v>
      </c>
      <c r="BJ5" s="266"/>
    </row>
    <row r="6" ht="15.75" customHeight="1">
      <c r="B6" s="274" t="s">
        <v>22</v>
      </c>
      <c r="C6" s="275">
        <f t="shared" si="1"/>
        <v>12228470</v>
      </c>
      <c r="D6" s="276">
        <f t="shared" si="2"/>
        <v>0.1626099779</v>
      </c>
      <c r="E6" s="277">
        <f t="shared" si="3"/>
        <v>0</v>
      </c>
      <c r="F6" s="278" t="str">
        <f t="shared" si="4"/>
        <v>#DIV/0!</v>
      </c>
      <c r="G6" s="279">
        <f>HO!D15</f>
        <v>0</v>
      </c>
      <c r="H6" s="229"/>
      <c r="I6" s="280" t="str">
        <f>HO!F15</f>
        <v/>
      </c>
      <c r="J6" s="387"/>
      <c r="K6" s="275">
        <f t="shared" si="5"/>
        <v>12228470</v>
      </c>
      <c r="L6" s="276">
        <f t="shared" si="6"/>
        <v>0.1626099779</v>
      </c>
      <c r="M6" s="277">
        <f t="shared" si="7"/>
        <v>0</v>
      </c>
      <c r="N6" s="278" t="str">
        <f t="shared" si="8"/>
        <v>#DIV/0!</v>
      </c>
      <c r="O6" s="283">
        <f>'The Table'!D25</f>
        <v>4966546</v>
      </c>
      <c r="P6" s="284">
        <f t="shared" si="9"/>
        <v>0.2419552527</v>
      </c>
      <c r="Q6" s="232" t="str">
        <f>'The Table'!F25</f>
        <v/>
      </c>
      <c r="R6" s="285" t="str">
        <f t="shared" si="10"/>
        <v>#DIV/0!</v>
      </c>
      <c r="S6" s="283">
        <f>Iktara!D25</f>
        <v>0</v>
      </c>
      <c r="T6" s="284">
        <f t="shared" si="11"/>
        <v>0</v>
      </c>
      <c r="U6" s="232" t="str">
        <f>Iktara!F25</f>
        <v/>
      </c>
      <c r="V6" s="285" t="str">
        <f t="shared" si="12"/>
        <v>#DIV/0!</v>
      </c>
      <c r="W6" s="283">
        <f>'Mg St Colaba'!D25</f>
        <v>769660</v>
      </c>
      <c r="X6" s="284">
        <f t="shared" si="13"/>
        <v>0.05989478535</v>
      </c>
      <c r="Y6" s="232" t="str">
        <f>'Mg St Colaba'!F25</f>
        <v/>
      </c>
      <c r="Z6" s="285" t="str">
        <f t="shared" si="14"/>
        <v>#DIV/0!</v>
      </c>
      <c r="AA6" s="283">
        <f>'Mg St LP'!D25</f>
        <v>0</v>
      </c>
      <c r="AB6" s="284">
        <f t="shared" si="15"/>
        <v>0</v>
      </c>
      <c r="AC6" s="232" t="str">
        <f>'Mg St LP'!F25</f>
        <v/>
      </c>
      <c r="AD6" s="285" t="str">
        <f t="shared" si="16"/>
        <v>#DIV/0!</v>
      </c>
      <c r="AE6" s="283">
        <f>'Mg St Bandra'!D25</f>
        <v>2119471.5</v>
      </c>
      <c r="AF6" s="284">
        <f t="shared" si="17"/>
        <v>0.1221867749</v>
      </c>
      <c r="AG6" s="232" t="str">
        <f>'Mg St Bandra'!F25</f>
        <v/>
      </c>
      <c r="AH6" s="285" t="str">
        <f t="shared" si="18"/>
        <v>#DIV/0!</v>
      </c>
      <c r="AI6" s="283" t="str">
        <f>'MSK Events'!D25</f>
        <v/>
      </c>
      <c r="AJ6" s="284" t="str">
        <f t="shared" si="19"/>
        <v>#DIV/0!</v>
      </c>
      <c r="AK6" s="232" t="str">
        <f>'MSK Events'!F25</f>
        <v/>
      </c>
      <c r="AL6" s="281"/>
      <c r="AM6" s="283" t="str">
        <f>MSBC!D25</f>
        <v/>
      </c>
      <c r="AN6" s="284">
        <f t="shared" si="20"/>
        <v>0</v>
      </c>
      <c r="AO6" s="232">
        <f>MSBC!F25</f>
        <v>0</v>
      </c>
      <c r="AP6" s="286" t="str">
        <f t="shared" si="21"/>
        <v>#DIV/0!</v>
      </c>
      <c r="AQ6" s="287">
        <f>Kaspers!D25</f>
        <v>4372792.5</v>
      </c>
      <c r="AR6" s="284"/>
      <c r="AS6" s="232" t="str">
        <f>Kaspers!F25</f>
        <v/>
      </c>
      <c r="AT6" s="281"/>
      <c r="AU6" s="283">
        <f>'MSBC Andheri'!D25</f>
        <v>0</v>
      </c>
      <c r="AV6" s="229"/>
      <c r="AW6" s="232">
        <v>0.0</v>
      </c>
      <c r="AX6" s="387"/>
      <c r="AY6" s="287">
        <f>'MSBC Dahisar'!D23</f>
        <v>0</v>
      </c>
      <c r="AZ6" s="229"/>
      <c r="BA6" s="232">
        <v>0.0</v>
      </c>
      <c r="BB6" s="281"/>
      <c r="BC6" s="283">
        <f>'MSBC Juhu  Goregoan'!D23</f>
        <v>0</v>
      </c>
      <c r="BD6" s="229"/>
      <c r="BE6" s="232">
        <v>0.0</v>
      </c>
      <c r="BF6" s="387"/>
      <c r="BG6" s="287" t="str">
        <f>'LOUD MOUTH'!D25</f>
        <v/>
      </c>
      <c r="BH6" s="229"/>
      <c r="BI6" s="232">
        <v>0.0</v>
      </c>
      <c r="BJ6" s="281"/>
    </row>
    <row r="7" ht="15.75" customHeight="1">
      <c r="B7" s="274" t="s">
        <v>23</v>
      </c>
      <c r="C7" s="275">
        <f t="shared" si="1"/>
        <v>52367609.04</v>
      </c>
      <c r="D7" s="276">
        <f t="shared" si="2"/>
        <v>0.6963664098</v>
      </c>
      <c r="E7" s="277">
        <f t="shared" si="3"/>
        <v>0</v>
      </c>
      <c r="F7" s="278" t="str">
        <f t="shared" si="4"/>
        <v>#DIV/0!</v>
      </c>
      <c r="G7" s="279">
        <f>HO!D16</f>
        <v>0</v>
      </c>
      <c r="H7" s="229"/>
      <c r="I7" s="280" t="str">
        <f>HO!F16</f>
        <v/>
      </c>
      <c r="J7" s="387"/>
      <c r="K7" s="275">
        <f t="shared" si="5"/>
        <v>52367609.04</v>
      </c>
      <c r="L7" s="276">
        <f t="shared" si="6"/>
        <v>0.6963664098</v>
      </c>
      <c r="M7" s="277">
        <f t="shared" si="7"/>
        <v>0</v>
      </c>
      <c r="N7" s="278" t="str">
        <f t="shared" si="8"/>
        <v>#DIV/0!</v>
      </c>
      <c r="O7" s="283">
        <f>'The Table'!D26</f>
        <v>12668923.87</v>
      </c>
      <c r="P7" s="284">
        <f t="shared" si="9"/>
        <v>0.6171920439</v>
      </c>
      <c r="Q7" s="232" t="str">
        <f>'The Table'!F26</f>
        <v/>
      </c>
      <c r="R7" s="285" t="str">
        <f t="shared" si="10"/>
        <v>#DIV/0!</v>
      </c>
      <c r="S7" s="283">
        <f>Iktara!D26</f>
        <v>859748</v>
      </c>
      <c r="T7" s="284">
        <f t="shared" si="11"/>
        <v>1</v>
      </c>
      <c r="U7" s="232" t="str">
        <f>Iktara!F26</f>
        <v/>
      </c>
      <c r="V7" s="285" t="str">
        <f t="shared" si="12"/>
        <v>#DIV/0!</v>
      </c>
      <c r="W7" s="283">
        <f>'Mg St Colaba'!D26</f>
        <v>10177814.49</v>
      </c>
      <c r="X7" s="284">
        <f t="shared" si="13"/>
        <v>0.7920354626</v>
      </c>
      <c r="Y7" s="232" t="str">
        <f>'Mg St Colaba'!F26</f>
        <v/>
      </c>
      <c r="Z7" s="285" t="str">
        <f t="shared" si="14"/>
        <v>#DIV/0!</v>
      </c>
      <c r="AA7" s="283">
        <f>'Mg St LP'!D26</f>
        <v>8201572.15</v>
      </c>
      <c r="AB7" s="284">
        <f t="shared" si="15"/>
        <v>0.8341455905</v>
      </c>
      <c r="AC7" s="232" t="str">
        <f>'Mg St LP'!F26</f>
        <v/>
      </c>
      <c r="AD7" s="285" t="str">
        <f t="shared" si="16"/>
        <v>#DIV/0!</v>
      </c>
      <c r="AE7" s="283">
        <f>'Mg St Bandra'!D26</f>
        <v>12642063.25</v>
      </c>
      <c r="AF7" s="284">
        <f t="shared" si="17"/>
        <v>0.7288104306</v>
      </c>
      <c r="AG7" s="232" t="str">
        <f>'Mg St Bandra'!F26</f>
        <v/>
      </c>
      <c r="AH7" s="285" t="str">
        <f t="shared" si="18"/>
        <v>#DIV/0!</v>
      </c>
      <c r="AI7" s="283" t="str">
        <f>'MSK Events'!D26</f>
        <v/>
      </c>
      <c r="AJ7" s="284" t="str">
        <f t="shared" si="19"/>
        <v>#DIV/0!</v>
      </c>
      <c r="AK7" s="232" t="str">
        <f>'MSK Events'!F26</f>
        <v/>
      </c>
      <c r="AL7" s="281"/>
      <c r="AM7" s="283">
        <f>MSBC!D26</f>
        <v>510529.82</v>
      </c>
      <c r="AN7" s="284">
        <f t="shared" si="20"/>
        <v>1</v>
      </c>
      <c r="AO7" s="232">
        <f>MSBC!F26</f>
        <v>0</v>
      </c>
      <c r="AP7" s="286" t="str">
        <f t="shared" si="21"/>
        <v>#DIV/0!</v>
      </c>
      <c r="AQ7" s="287">
        <f>Kaspers!D26</f>
        <v>6037327.5</v>
      </c>
      <c r="AR7" s="284"/>
      <c r="AS7" s="232">
        <f>Kaspers!F26</f>
        <v>0</v>
      </c>
      <c r="AT7" s="281"/>
      <c r="AU7" s="283">
        <f>'MSBC Andheri'!D26</f>
        <v>334509.99</v>
      </c>
      <c r="AV7" s="229"/>
      <c r="AW7" s="232">
        <v>0.0</v>
      </c>
      <c r="AX7" s="387"/>
      <c r="AY7" s="287">
        <f>'MSBC Dahisar'!D24</f>
        <v>124708.89</v>
      </c>
      <c r="AZ7" s="229"/>
      <c r="BA7" s="232">
        <v>0.0</v>
      </c>
      <c r="BB7" s="281"/>
      <c r="BC7" s="283">
        <f>'MSBC Juhu  Goregoan'!D24</f>
        <v>174122.08</v>
      </c>
      <c r="BD7" s="229"/>
      <c r="BE7" s="232">
        <v>0.0</v>
      </c>
      <c r="BF7" s="387"/>
      <c r="BG7" s="287">
        <f>'LOUD MOUTH'!D26</f>
        <v>636289</v>
      </c>
      <c r="BH7" s="229"/>
      <c r="BI7" s="232">
        <v>0.0</v>
      </c>
      <c r="BJ7" s="281"/>
    </row>
    <row r="8" ht="15.75" customHeight="1">
      <c r="B8" s="274" t="s">
        <v>24</v>
      </c>
      <c r="C8" s="275">
        <f t="shared" si="1"/>
        <v>4894605.05</v>
      </c>
      <c r="D8" s="276">
        <f t="shared" si="2"/>
        <v>0.0650867704</v>
      </c>
      <c r="E8" s="277">
        <f t="shared" si="3"/>
        <v>0</v>
      </c>
      <c r="F8" s="278" t="str">
        <f t="shared" si="4"/>
        <v>#DIV/0!</v>
      </c>
      <c r="G8" s="279">
        <f>HO!D18</f>
        <v>0</v>
      </c>
      <c r="H8" s="229"/>
      <c r="I8" s="280" t="str">
        <f>HO!F18</f>
        <v/>
      </c>
      <c r="J8" s="387"/>
      <c r="K8" s="275">
        <f t="shared" si="5"/>
        <v>4894605.05</v>
      </c>
      <c r="L8" s="276">
        <f t="shared" si="6"/>
        <v>0.0650867704</v>
      </c>
      <c r="M8" s="277">
        <f t="shared" si="7"/>
        <v>0</v>
      </c>
      <c r="N8" s="278" t="str">
        <f t="shared" si="8"/>
        <v>#DIV/0!</v>
      </c>
      <c r="O8" s="283">
        <f>'The Table'!D28</f>
        <v>1719138</v>
      </c>
      <c r="P8" s="284">
        <f t="shared" si="9"/>
        <v>0.08375125676</v>
      </c>
      <c r="Q8" s="232" t="str">
        <f>'The Table'!F28</f>
        <v/>
      </c>
      <c r="R8" s="285" t="str">
        <f t="shared" si="10"/>
        <v>#DIV/0!</v>
      </c>
      <c r="S8" s="279" t="str">
        <f>Iktara!D28</f>
        <v/>
      </c>
      <c r="T8" s="284">
        <f t="shared" si="11"/>
        <v>0</v>
      </c>
      <c r="U8" s="280">
        <f>Iktara!F28</f>
        <v>0</v>
      </c>
      <c r="V8" s="285" t="str">
        <f t="shared" si="12"/>
        <v>#DIV/0!</v>
      </c>
      <c r="W8" s="283">
        <f>'Mg St Colaba'!D28</f>
        <v>721626</v>
      </c>
      <c r="X8" s="284">
        <f t="shared" si="13"/>
        <v>0.05615678919</v>
      </c>
      <c r="Y8" s="232" t="str">
        <f>'Mg St Colaba'!F28</f>
        <v/>
      </c>
      <c r="Z8" s="285" t="str">
        <f t="shared" si="14"/>
        <v>#DIV/0!</v>
      </c>
      <c r="AA8" s="283">
        <f>'Mg St LP'!D28</f>
        <v>356972.05</v>
      </c>
      <c r="AB8" s="284">
        <f t="shared" si="15"/>
        <v>0.03630604669</v>
      </c>
      <c r="AC8" s="232" t="str">
        <f>'Mg St LP'!F28</f>
        <v/>
      </c>
      <c r="AD8" s="285" t="str">
        <f t="shared" si="16"/>
        <v>#DIV/0!</v>
      </c>
      <c r="AE8" s="283">
        <f>'Mg St Bandra'!D28</f>
        <v>1028709</v>
      </c>
      <c r="AF8" s="284">
        <f t="shared" si="17"/>
        <v>0.05930470639</v>
      </c>
      <c r="AG8" s="232">
        <f>'Mg St Bandra'!F28</f>
        <v>0</v>
      </c>
      <c r="AH8" s="285" t="str">
        <f t="shared" si="18"/>
        <v>#DIV/0!</v>
      </c>
      <c r="AI8" s="279" t="str">
        <f>'MSK Events'!D28</f>
        <v/>
      </c>
      <c r="AJ8" s="284" t="str">
        <f t="shared" si="19"/>
        <v>#DIV/0!</v>
      </c>
      <c r="AK8" s="280" t="str">
        <f>'MSK Events'!F28</f>
        <v/>
      </c>
      <c r="AL8" s="281"/>
      <c r="AM8" s="283" t="str">
        <f>MSBC!D28</f>
        <v/>
      </c>
      <c r="AN8" s="284">
        <f t="shared" si="20"/>
        <v>0</v>
      </c>
      <c r="AO8" s="280" t="str">
        <f>MSBC!F28</f>
        <v/>
      </c>
      <c r="AP8" s="286" t="str">
        <f t="shared" si="21"/>
        <v>#DIV/0!</v>
      </c>
      <c r="AQ8" s="287">
        <f>Kaspers!D28</f>
        <v>1068160</v>
      </c>
      <c r="AR8" s="284"/>
      <c r="AS8" s="232" t="str">
        <f>Kaspers!F28</f>
        <v/>
      </c>
      <c r="AT8" s="281"/>
      <c r="AU8" s="283">
        <v>0.0</v>
      </c>
      <c r="AV8" s="229"/>
      <c r="AW8" s="232">
        <v>0.0</v>
      </c>
      <c r="AX8" s="387"/>
      <c r="AY8" s="287">
        <v>0.0</v>
      </c>
      <c r="AZ8" s="229"/>
      <c r="BA8" s="232">
        <v>0.0</v>
      </c>
      <c r="BB8" s="281"/>
      <c r="BC8" s="283">
        <v>0.0</v>
      </c>
      <c r="BD8" s="229"/>
      <c r="BE8" s="232">
        <v>0.0</v>
      </c>
      <c r="BF8" s="387"/>
      <c r="BG8" s="287" t="str">
        <f>'LOUD MOUTH'!D28</f>
        <v/>
      </c>
      <c r="BH8" s="229"/>
      <c r="BI8" s="232">
        <v>0.0</v>
      </c>
      <c r="BJ8" s="281"/>
    </row>
    <row r="9" ht="15.75" customHeight="1">
      <c r="B9" s="289" t="s">
        <v>162</v>
      </c>
      <c r="C9" s="290">
        <f t="shared" si="1"/>
        <v>0</v>
      </c>
      <c r="D9" s="291">
        <f t="shared" si="2"/>
        <v>0</v>
      </c>
      <c r="E9" s="292">
        <f t="shared" si="3"/>
        <v>0</v>
      </c>
      <c r="F9" s="293" t="str">
        <f t="shared" si="4"/>
        <v>#DIV/0!</v>
      </c>
      <c r="G9" s="409"/>
      <c r="H9" s="410"/>
      <c r="I9" s="411"/>
      <c r="J9" s="412"/>
      <c r="K9" s="290">
        <f t="shared" si="5"/>
        <v>0</v>
      </c>
      <c r="L9" s="291">
        <f t="shared" si="6"/>
        <v>0</v>
      </c>
      <c r="M9" s="277">
        <f t="shared" si="7"/>
        <v>0</v>
      </c>
      <c r="N9" s="293" t="str">
        <f t="shared" si="8"/>
        <v>#DIV/0!</v>
      </c>
      <c r="O9" s="297" t="str">
        <f>'The Table'!D22</f>
        <v/>
      </c>
      <c r="P9" s="295"/>
      <c r="Q9" s="295" t="str">
        <f>'The Table'!F22</f>
        <v/>
      </c>
      <c r="R9" s="296"/>
      <c r="S9" s="297">
        <v>0.0</v>
      </c>
      <c r="T9" s="295"/>
      <c r="U9" s="295">
        <v>0.0</v>
      </c>
      <c r="V9" s="296"/>
      <c r="W9" s="297" t="str">
        <f>'Mg St Colaba'!D22</f>
        <v/>
      </c>
      <c r="X9" s="295"/>
      <c r="Y9" s="295" t="str">
        <f>'Mg St Colaba'!F22</f>
        <v/>
      </c>
      <c r="Z9" s="296"/>
      <c r="AA9" s="297" t="str">
        <f>'Mg St LP'!D22</f>
        <v/>
      </c>
      <c r="AB9" s="295"/>
      <c r="AC9" s="295" t="str">
        <f>'Mg St LP'!F22</f>
        <v/>
      </c>
      <c r="AD9" s="296"/>
      <c r="AE9" s="297" t="str">
        <f>'Mg St Bandra'!D22</f>
        <v/>
      </c>
      <c r="AF9" s="295"/>
      <c r="AG9" s="295" t="str">
        <f>'Mg St Bandra'!F22</f>
        <v/>
      </c>
      <c r="AH9" s="296"/>
      <c r="AI9" s="297">
        <v>0.0</v>
      </c>
      <c r="AJ9" s="295"/>
      <c r="AK9" s="295">
        <v>0.0</v>
      </c>
      <c r="AL9" s="296"/>
      <c r="AM9" s="297">
        <v>0.0</v>
      </c>
      <c r="AN9" s="295"/>
      <c r="AO9" s="295">
        <v>0.0</v>
      </c>
      <c r="AP9" s="298"/>
      <c r="AQ9" s="369" t="str">
        <f>Kaspers!D22</f>
        <v/>
      </c>
      <c r="AR9" s="295"/>
      <c r="AS9" s="295" t="str">
        <f>Kaspers!F22</f>
        <v/>
      </c>
      <c r="AT9" s="296"/>
      <c r="AU9" s="297">
        <v>0.0</v>
      </c>
      <c r="AV9" s="295"/>
      <c r="AW9" s="295">
        <v>0.0</v>
      </c>
      <c r="AX9" s="298"/>
      <c r="AY9" s="369">
        <v>0.0</v>
      </c>
      <c r="AZ9" s="295"/>
      <c r="BA9" s="295">
        <v>0.0</v>
      </c>
      <c r="BB9" s="296"/>
      <c r="BC9" s="297">
        <v>0.0</v>
      </c>
      <c r="BD9" s="295"/>
      <c r="BE9" s="295">
        <v>0.0</v>
      </c>
      <c r="BF9" s="298"/>
      <c r="BG9" s="369"/>
      <c r="BH9" s="295"/>
      <c r="BI9" s="295">
        <v>0.0</v>
      </c>
      <c r="BJ9" s="296"/>
    </row>
    <row r="10" ht="15.75" customHeight="1">
      <c r="B10" s="299" t="s">
        <v>26</v>
      </c>
      <c r="C10" s="164">
        <f>SUM(C5:C9)</f>
        <v>75201227.84</v>
      </c>
      <c r="D10" s="300">
        <f t="shared" si="2"/>
        <v>1</v>
      </c>
      <c r="E10" s="161">
        <f>SUM(E5:E9)</f>
        <v>0</v>
      </c>
      <c r="F10" s="301" t="str">
        <f t="shared" si="4"/>
        <v>#DIV/0!</v>
      </c>
      <c r="G10" s="302">
        <f>SUM(G5:G9)</f>
        <v>0</v>
      </c>
      <c r="H10" s="303"/>
      <c r="I10" s="161">
        <f>SUM(I5:I9)</f>
        <v>0</v>
      </c>
      <c r="J10" s="305"/>
      <c r="K10" s="164">
        <f>SUM(K5:K9)</f>
        <v>75201227.84</v>
      </c>
      <c r="L10" s="300">
        <f t="shared" si="6"/>
        <v>1</v>
      </c>
      <c r="M10" s="161">
        <f>SUM(M5:M9)</f>
        <v>0</v>
      </c>
      <c r="N10" s="301" t="str">
        <f t="shared" si="8"/>
        <v>#DIV/0!</v>
      </c>
      <c r="O10" s="302">
        <f>SUM(O5:O9)</f>
        <v>20526712.87</v>
      </c>
      <c r="P10" s="303"/>
      <c r="Q10" s="161">
        <f>SUM(Q5:Q9)</f>
        <v>0</v>
      </c>
      <c r="R10" s="304"/>
      <c r="S10" s="302">
        <f>SUM(S5:S9)</f>
        <v>859748</v>
      </c>
      <c r="T10" s="303"/>
      <c r="U10" s="161">
        <f>SUM(U5:U9)</f>
        <v>0</v>
      </c>
      <c r="V10" s="304"/>
      <c r="W10" s="302">
        <f>SUM(W5:W9)</f>
        <v>12850200.49</v>
      </c>
      <c r="X10" s="303"/>
      <c r="Y10" s="161">
        <f>SUM(Y5:Y9)</f>
        <v>0</v>
      </c>
      <c r="Z10" s="304"/>
      <c r="AA10" s="302">
        <f>SUM(AA5:AA9)</f>
        <v>9832302.95</v>
      </c>
      <c r="AB10" s="303"/>
      <c r="AC10" s="161">
        <f>SUM(AC5:AC9)</f>
        <v>0</v>
      </c>
      <c r="AD10" s="304"/>
      <c r="AE10" s="302">
        <f>SUM(AE5:AE9)</f>
        <v>17346161.25</v>
      </c>
      <c r="AF10" s="303"/>
      <c r="AG10" s="161">
        <f>SUM(AG5:AG9)</f>
        <v>0</v>
      </c>
      <c r="AH10" s="304"/>
      <c r="AI10" s="302">
        <f>SUM(AI5:AI9)</f>
        <v>0</v>
      </c>
      <c r="AJ10" s="303"/>
      <c r="AK10" s="161">
        <f>SUM(AK5:AK9)</f>
        <v>0</v>
      </c>
      <c r="AL10" s="304"/>
      <c r="AM10" s="302">
        <f>SUM(AM5:AM9)</f>
        <v>510529.82</v>
      </c>
      <c r="AN10" s="303"/>
      <c r="AO10" s="161">
        <f>SUM(AO5:AO9)</f>
        <v>0</v>
      </c>
      <c r="AP10" s="305"/>
      <c r="AQ10" s="164">
        <f>SUM(AQ5:AQ9)</f>
        <v>12005942.5</v>
      </c>
      <c r="AR10" s="303"/>
      <c r="AS10" s="161">
        <f>SUM(AS5:AS9)</f>
        <v>0</v>
      </c>
      <c r="AT10" s="304"/>
      <c r="AU10" s="302">
        <f>SUM(AU5:AU9)</f>
        <v>334509.99</v>
      </c>
      <c r="AV10" s="303"/>
      <c r="AW10" s="161">
        <f>SUM(AW5:AW9)</f>
        <v>0</v>
      </c>
      <c r="AX10" s="305"/>
      <c r="AY10" s="164">
        <f>SUM(AY5:AY9)</f>
        <v>124708.89</v>
      </c>
      <c r="AZ10" s="303"/>
      <c r="BA10" s="161">
        <f>SUM(BA5:BA9)</f>
        <v>0</v>
      </c>
      <c r="BB10" s="304"/>
      <c r="BC10" s="302">
        <f>SUM(BC5:BC9)</f>
        <v>174122.08</v>
      </c>
      <c r="BD10" s="303"/>
      <c r="BE10" s="161">
        <f>SUM(BE5:BE9)</f>
        <v>0</v>
      </c>
      <c r="BF10" s="305"/>
      <c r="BG10" s="164">
        <f>SUM(BG5:BG9)</f>
        <v>636289</v>
      </c>
      <c r="BH10" s="303"/>
      <c r="BI10" s="161">
        <f>SUM(BI5:BI9)</f>
        <v>0</v>
      </c>
      <c r="BJ10" s="304"/>
    </row>
    <row r="11" ht="15.75" customHeight="1">
      <c r="B11" s="370"/>
      <c r="C11" s="371"/>
      <c r="D11" s="372"/>
      <c r="E11" s="372"/>
      <c r="F11" s="373"/>
      <c r="G11" s="310"/>
      <c r="H11" s="311"/>
      <c r="I11" s="312"/>
      <c r="J11" s="316"/>
      <c r="K11" s="407"/>
      <c r="L11" s="372"/>
      <c r="M11" s="375"/>
      <c r="N11" s="373"/>
      <c r="O11" s="310"/>
      <c r="P11" s="311"/>
      <c r="Q11" s="311"/>
      <c r="R11" s="313"/>
      <c r="S11" s="310"/>
      <c r="T11" s="311"/>
      <c r="U11" s="311"/>
      <c r="V11" s="313"/>
      <c r="W11" s="310"/>
      <c r="X11" s="311"/>
      <c r="Y11" s="311"/>
      <c r="Z11" s="313"/>
      <c r="AA11" s="310"/>
      <c r="AB11" s="311"/>
      <c r="AC11" s="311"/>
      <c r="AD11" s="313"/>
      <c r="AE11" s="310"/>
      <c r="AF11" s="311"/>
      <c r="AG11" s="311"/>
      <c r="AH11" s="313"/>
      <c r="AI11" s="310"/>
      <c r="AJ11" s="311"/>
      <c r="AK11" s="311"/>
      <c r="AL11" s="313"/>
      <c r="AM11" s="310"/>
      <c r="AN11" s="311"/>
      <c r="AO11" s="311"/>
      <c r="AP11" s="316"/>
      <c r="AQ11" s="317"/>
      <c r="AR11" s="311"/>
      <c r="AS11" s="311"/>
      <c r="AT11" s="313"/>
      <c r="AU11" s="310">
        <v>0.0</v>
      </c>
      <c r="AV11" s="311"/>
      <c r="AW11" s="311">
        <v>0.0</v>
      </c>
      <c r="AX11" s="316"/>
      <c r="AY11" s="317">
        <v>0.0</v>
      </c>
      <c r="AZ11" s="311"/>
      <c r="BA11" s="311"/>
      <c r="BB11" s="313"/>
      <c r="BC11" s="310"/>
      <c r="BD11" s="311"/>
      <c r="BE11" s="311">
        <v>0.0</v>
      </c>
      <c r="BF11" s="316"/>
      <c r="BG11" s="317"/>
      <c r="BH11" s="311"/>
      <c r="BI11" s="311">
        <v>0.0</v>
      </c>
      <c r="BJ11" s="313"/>
    </row>
    <row r="12" ht="15.75" customHeight="1">
      <c r="B12" s="299" t="s">
        <v>28</v>
      </c>
      <c r="C12" s="318">
        <f t="shared" ref="C12:C14" si="22">G12+K12</f>
        <v>27530552.35</v>
      </c>
      <c r="D12" s="300">
        <f t="shared" ref="D12:D14" si="23">C12/C$10</f>
        <v>0.3660917932</v>
      </c>
      <c r="E12" s="319">
        <f t="shared" ref="E12:E13" si="24">I12+M12</f>
        <v>0</v>
      </c>
      <c r="F12" s="301" t="str">
        <f t="shared" ref="F12:F13" si="25">E12/E$10</f>
        <v>#DIV/0!</v>
      </c>
      <c r="G12" s="320">
        <f>HO!D32</f>
        <v>0</v>
      </c>
      <c r="H12" s="321"/>
      <c r="I12" s="331" t="str">
        <f>HO!F32</f>
        <v/>
      </c>
      <c r="J12" s="395"/>
      <c r="K12" s="318">
        <f t="shared" ref="K12:K13" si="26">O12+S12+W12+AA12+AE12+AI12+AM12+AQ12+AU12+AY12+BC12+BG12</f>
        <v>27530552.35</v>
      </c>
      <c r="L12" s="300">
        <f t="shared" ref="L12:L13" si="27">K12/K$10</f>
        <v>0.3660917932</v>
      </c>
      <c r="M12" s="319">
        <f t="shared" ref="M12:M13" si="28">Q12+U12+Y12+AC12+AG12+AK12+AO12+AS12+AW12+BA12+BE12+BI12</f>
        <v>0</v>
      </c>
      <c r="N12" s="301" t="str">
        <f t="shared" ref="N12:N13" si="29">M12/M$10</f>
        <v>#DIV/0!</v>
      </c>
      <c r="O12" s="325">
        <f>'The Table'!D39</f>
        <v>7063497.628</v>
      </c>
      <c r="P12" s="326">
        <f t="shared" ref="P12:P13" si="30">O12/O$10</f>
        <v>0.3441124584</v>
      </c>
      <c r="Q12" s="327">
        <f>'The Table'!F39</f>
        <v>0</v>
      </c>
      <c r="R12" s="328" t="str">
        <f t="shared" ref="R12:R13" si="31">Q12/Q$10</f>
        <v>#DIV/0!</v>
      </c>
      <c r="S12" s="325">
        <f>Iktara!D40</f>
        <v>286256.4304</v>
      </c>
      <c r="T12" s="326">
        <f t="shared" ref="T12:T13" si="32">S12/S$10</f>
        <v>0.3329538777</v>
      </c>
      <c r="U12" s="327">
        <f>Iktara!F40</f>
        <v>0</v>
      </c>
      <c r="V12" s="328" t="str">
        <f t="shared" ref="V12:V13" si="33">U12/U$10</f>
        <v>#DIV/0!</v>
      </c>
      <c r="W12" s="325">
        <f>'Mg St Colaba'!D47</f>
        <v>4857214.223</v>
      </c>
      <c r="X12" s="326">
        <f t="shared" ref="X12:X13" si="34">W12/W$10</f>
        <v>0.3779874272</v>
      </c>
      <c r="Y12" s="327" t="str">
        <f>'Mg St Colaba'!F47</f>
        <v/>
      </c>
      <c r="Z12" s="328" t="str">
        <f t="shared" ref="Z12:Z13" si="35">Y12/Y$10</f>
        <v>#DIV/0!</v>
      </c>
      <c r="AA12" s="325">
        <f>'Mg St LP'!D49</f>
        <v>3313857.157</v>
      </c>
      <c r="AB12" s="326">
        <f t="shared" ref="AB12:AB13" si="36">AA12/AA$10</f>
        <v>0.3370377391</v>
      </c>
      <c r="AC12" s="327" t="str">
        <f>'Mg St LP'!F49</f>
        <v/>
      </c>
      <c r="AD12" s="328" t="str">
        <f t="shared" ref="AD12:AD13" si="37">AC12/AC$10</f>
        <v>#DIV/0!</v>
      </c>
      <c r="AE12" s="325">
        <f>'Mg St Bandra'!D47</f>
        <v>5551998.263</v>
      </c>
      <c r="AF12" s="326">
        <f t="shared" ref="AF12:AF13" si="38">AE12/AE$10</f>
        <v>0.3200707167</v>
      </c>
      <c r="AG12" s="327">
        <f>'Mg St Bandra'!F47</f>
        <v>0</v>
      </c>
      <c r="AH12" s="328" t="str">
        <f t="shared" ref="AH12:AH13" si="39">AG12/AG$10</f>
        <v>#DIV/0!</v>
      </c>
      <c r="AI12" s="320">
        <f>'MSK Events'!D47</f>
        <v>0</v>
      </c>
      <c r="AJ12" s="326" t="str">
        <f>AI12/AI$10</f>
        <v>#DIV/0!</v>
      </c>
      <c r="AK12" s="322">
        <f>'MSK Events'!F47</f>
        <v>0</v>
      </c>
      <c r="AL12" s="323"/>
      <c r="AM12" s="325">
        <f>MSBC!D47</f>
        <v>820110.3479</v>
      </c>
      <c r="AN12" s="321"/>
      <c r="AO12" s="322">
        <f>MSBC!F47</f>
        <v>0</v>
      </c>
      <c r="AP12" s="395"/>
      <c r="AQ12" s="396">
        <f>Kaspers!D47</f>
        <v>4723937.592</v>
      </c>
      <c r="AR12" s="321"/>
      <c r="AS12" s="327">
        <f>Kaspers!F47</f>
        <v>0</v>
      </c>
      <c r="AT12" s="323"/>
      <c r="AU12" s="325">
        <f>'MSBC Andheri'!D46</f>
        <v>339659.3518</v>
      </c>
      <c r="AV12" s="321"/>
      <c r="AW12" s="327">
        <v>0.0</v>
      </c>
      <c r="AX12" s="395"/>
      <c r="AY12" s="396">
        <f>'MSBC Dahisar'!D44</f>
        <v>156893.6185</v>
      </c>
      <c r="AZ12" s="321"/>
      <c r="BA12" s="327">
        <v>0.0</v>
      </c>
      <c r="BB12" s="323"/>
      <c r="BC12" s="325">
        <f>'MSBC Juhu  Goregoan'!D37</f>
        <v>273784.0788</v>
      </c>
      <c r="BD12" s="321"/>
      <c r="BE12" s="327">
        <v>0.0</v>
      </c>
      <c r="BF12" s="395"/>
      <c r="BG12" s="396">
        <f>'LOUD MOUTH'!D39</f>
        <v>143343.6609</v>
      </c>
      <c r="BH12" s="321"/>
      <c r="BI12" s="327">
        <v>0.0</v>
      </c>
      <c r="BJ12" s="323"/>
    </row>
    <row r="13" ht="15.75" customHeight="1">
      <c r="B13" s="299" t="s">
        <v>29</v>
      </c>
      <c r="C13" s="318">
        <f t="shared" si="22"/>
        <v>903723.95</v>
      </c>
      <c r="D13" s="300">
        <f t="shared" si="23"/>
        <v>0.0120174095</v>
      </c>
      <c r="E13" s="319">
        <f t="shared" si="24"/>
        <v>0</v>
      </c>
      <c r="F13" s="301" t="str">
        <f t="shared" si="25"/>
        <v>#DIV/0!</v>
      </c>
      <c r="G13" s="320" t="str">
        <f>HO!D33</f>
        <v/>
      </c>
      <c r="H13" s="321"/>
      <c r="I13" s="331" t="str">
        <f>HO!F33</f>
        <v/>
      </c>
      <c r="J13" s="395"/>
      <c r="K13" s="318">
        <f t="shared" si="26"/>
        <v>903723.95</v>
      </c>
      <c r="L13" s="300">
        <f t="shared" si="27"/>
        <v>0.0120174095</v>
      </c>
      <c r="M13" s="319">
        <f t="shared" si="28"/>
        <v>0</v>
      </c>
      <c r="N13" s="301" t="str">
        <f t="shared" si="29"/>
        <v>#DIV/0!</v>
      </c>
      <c r="O13" s="325">
        <f>'The Table'!D40</f>
        <v>47598.75</v>
      </c>
      <c r="P13" s="326">
        <f t="shared" si="30"/>
        <v>0.002318868603</v>
      </c>
      <c r="Q13" s="327">
        <f>'The Table'!F40</f>
        <v>0</v>
      </c>
      <c r="R13" s="328" t="str">
        <f t="shared" si="31"/>
        <v>#DIV/0!</v>
      </c>
      <c r="S13" s="325">
        <f>Iktara!D41</f>
        <v>43654</v>
      </c>
      <c r="T13" s="326">
        <f t="shared" si="32"/>
        <v>0.05077534347</v>
      </c>
      <c r="U13" s="327" t="str">
        <f>Iktara!F41</f>
        <v/>
      </c>
      <c r="V13" s="328" t="str">
        <f t="shared" si="33"/>
        <v>#DIV/0!</v>
      </c>
      <c r="W13" s="325">
        <f>'Mg St Colaba'!D48</f>
        <v>187031.4</v>
      </c>
      <c r="X13" s="326">
        <f t="shared" si="34"/>
        <v>0.01455474567</v>
      </c>
      <c r="Y13" s="327" t="str">
        <f>'Mg St Colaba'!F48</f>
        <v/>
      </c>
      <c r="Z13" s="328" t="str">
        <f t="shared" si="35"/>
        <v>#DIV/0!</v>
      </c>
      <c r="AA13" s="325">
        <f>'Mg St LP'!D50</f>
        <v>213063</v>
      </c>
      <c r="AB13" s="326">
        <f t="shared" si="36"/>
        <v>0.02166969438</v>
      </c>
      <c r="AC13" s="327" t="str">
        <f>'Mg St LP'!F50</f>
        <v/>
      </c>
      <c r="AD13" s="328" t="str">
        <f t="shared" si="37"/>
        <v>#DIV/0!</v>
      </c>
      <c r="AE13" s="325">
        <f>'Mg St Bandra'!D48</f>
        <v>202872.5</v>
      </c>
      <c r="AF13" s="326">
        <f t="shared" si="38"/>
        <v>0.01169552716</v>
      </c>
      <c r="AG13" s="327" t="str">
        <f>'Mg St Bandra'!F48</f>
        <v/>
      </c>
      <c r="AH13" s="328" t="str">
        <f t="shared" si="39"/>
        <v>#DIV/0!</v>
      </c>
      <c r="AI13" s="320" t="str">
        <f>'MSK Events'!D48</f>
        <v/>
      </c>
      <c r="AJ13" s="321"/>
      <c r="AK13" s="322" t="str">
        <f>'MSK Events'!F48</f>
        <v/>
      </c>
      <c r="AL13" s="323"/>
      <c r="AM13" s="325">
        <f>MSBC!D48</f>
        <v>93423.5</v>
      </c>
      <c r="AN13" s="321"/>
      <c r="AO13" s="322" t="str">
        <f>MSBC!F48</f>
        <v/>
      </c>
      <c r="AP13" s="395"/>
      <c r="AQ13" s="396">
        <f>Kaspers!D48</f>
        <v>57613.8</v>
      </c>
      <c r="AR13" s="321"/>
      <c r="AS13" s="327">
        <f>Kaspers!F48</f>
        <v>0</v>
      </c>
      <c r="AT13" s="323"/>
      <c r="AU13" s="325">
        <f>'MSBC Andheri'!D47</f>
        <v>2004</v>
      </c>
      <c r="AV13" s="321"/>
      <c r="AW13" s="327">
        <v>0.0</v>
      </c>
      <c r="AX13" s="395"/>
      <c r="AY13" s="396">
        <f>'MSBC Dahisar'!D45</f>
        <v>8754</v>
      </c>
      <c r="AZ13" s="321"/>
      <c r="BA13" s="327">
        <v>0.0</v>
      </c>
      <c r="BB13" s="323"/>
      <c r="BC13" s="325">
        <f>'MSBC Juhu  Goregoan'!D38</f>
        <v>2354</v>
      </c>
      <c r="BD13" s="321"/>
      <c r="BE13" s="327">
        <v>0.0</v>
      </c>
      <c r="BF13" s="395"/>
      <c r="BG13" s="396">
        <f>'LOUD MOUTH'!D40</f>
        <v>45355</v>
      </c>
      <c r="BH13" s="321"/>
      <c r="BI13" s="327">
        <v>0.0</v>
      </c>
      <c r="BJ13" s="323"/>
    </row>
    <row r="14" ht="15.75" customHeight="1">
      <c r="B14" s="299" t="s">
        <v>163</v>
      </c>
      <c r="C14" s="332">
        <f t="shared" si="22"/>
        <v>0</v>
      </c>
      <c r="D14" s="333">
        <f t="shared" si="23"/>
        <v>0</v>
      </c>
      <c r="E14" s="334"/>
      <c r="F14" s="335"/>
      <c r="G14" s="413"/>
      <c r="H14" s="303"/>
      <c r="I14" s="303"/>
      <c r="J14" s="305"/>
      <c r="K14" s="332"/>
      <c r="L14" s="333"/>
      <c r="M14" s="319"/>
      <c r="N14" s="335"/>
      <c r="O14" s="325"/>
      <c r="P14" s="326"/>
      <c r="Q14" s="327"/>
      <c r="R14" s="328"/>
      <c r="S14" s="325"/>
      <c r="T14" s="326"/>
      <c r="U14" s="321"/>
      <c r="V14" s="328"/>
      <c r="W14" s="325"/>
      <c r="X14" s="326"/>
      <c r="Y14" s="321"/>
      <c r="Z14" s="328"/>
      <c r="AA14" s="325"/>
      <c r="AB14" s="326"/>
      <c r="AC14" s="327"/>
      <c r="AD14" s="328"/>
      <c r="AE14" s="325"/>
      <c r="AF14" s="326"/>
      <c r="AG14" s="321"/>
      <c r="AH14" s="328"/>
      <c r="AI14" s="398"/>
      <c r="AJ14" s="321"/>
      <c r="AK14" s="321"/>
      <c r="AL14" s="323"/>
      <c r="AM14" s="325"/>
      <c r="AN14" s="321"/>
      <c r="AO14" s="321"/>
      <c r="AP14" s="395"/>
      <c r="AQ14" s="414"/>
      <c r="AR14" s="321"/>
      <c r="AS14" s="327"/>
      <c r="AT14" s="323"/>
      <c r="AU14" s="415"/>
      <c r="AV14" s="415"/>
      <c r="AW14" s="415"/>
      <c r="AX14" s="415"/>
      <c r="AY14" s="414"/>
      <c r="AZ14" s="415"/>
      <c r="BA14" s="415"/>
      <c r="BB14" s="416"/>
      <c r="BC14" s="415"/>
      <c r="BD14" s="415"/>
      <c r="BE14" s="415"/>
      <c r="BF14" s="415"/>
      <c r="BG14" s="414"/>
      <c r="BH14" s="415"/>
      <c r="BI14" s="415"/>
      <c r="BJ14" s="416"/>
    </row>
    <row r="15" ht="15.75" customHeight="1">
      <c r="B15" s="299" t="s">
        <v>30</v>
      </c>
      <c r="C15" s="164">
        <f t="shared" ref="C15:AM15" si="40">SUM(C12:C14)</f>
        <v>28434276.3</v>
      </c>
      <c r="D15" s="341">
        <f t="shared" si="40"/>
        <v>0.3781092027</v>
      </c>
      <c r="E15" s="161">
        <f t="shared" si="40"/>
        <v>0</v>
      </c>
      <c r="F15" s="342" t="str">
        <f t="shared" si="40"/>
        <v>#DIV/0!</v>
      </c>
      <c r="G15" s="343">
        <f t="shared" si="40"/>
        <v>0</v>
      </c>
      <c r="H15" s="303">
        <f t="shared" si="40"/>
        <v>0</v>
      </c>
      <c r="I15" s="161">
        <f t="shared" si="40"/>
        <v>0</v>
      </c>
      <c r="J15" s="305">
        <f t="shared" si="40"/>
        <v>0</v>
      </c>
      <c r="K15" s="164">
        <f t="shared" si="40"/>
        <v>28434276.3</v>
      </c>
      <c r="L15" s="341">
        <f t="shared" si="40"/>
        <v>0.3781092027</v>
      </c>
      <c r="M15" s="161">
        <f t="shared" si="40"/>
        <v>0</v>
      </c>
      <c r="N15" s="342" t="str">
        <f t="shared" si="40"/>
        <v>#DIV/0!</v>
      </c>
      <c r="O15" s="302">
        <f t="shared" si="40"/>
        <v>7111096.378</v>
      </c>
      <c r="P15" s="341">
        <f t="shared" si="40"/>
        <v>0.346431327</v>
      </c>
      <c r="Q15" s="161">
        <f t="shared" si="40"/>
        <v>0</v>
      </c>
      <c r="R15" s="342" t="str">
        <f t="shared" si="40"/>
        <v>#DIV/0!</v>
      </c>
      <c r="S15" s="302">
        <f t="shared" si="40"/>
        <v>329910.4304</v>
      </c>
      <c r="T15" s="341">
        <f t="shared" si="40"/>
        <v>0.3837292212</v>
      </c>
      <c r="U15" s="161">
        <f t="shared" si="40"/>
        <v>0</v>
      </c>
      <c r="V15" s="342" t="str">
        <f t="shared" si="40"/>
        <v>#DIV/0!</v>
      </c>
      <c r="W15" s="302">
        <f t="shared" si="40"/>
        <v>5044245.623</v>
      </c>
      <c r="X15" s="341">
        <f t="shared" si="40"/>
        <v>0.3925421729</v>
      </c>
      <c r="Y15" s="161">
        <f t="shared" si="40"/>
        <v>0</v>
      </c>
      <c r="Z15" s="342" t="str">
        <f t="shared" si="40"/>
        <v>#DIV/0!</v>
      </c>
      <c r="AA15" s="302">
        <f t="shared" si="40"/>
        <v>3526920.157</v>
      </c>
      <c r="AB15" s="341">
        <f t="shared" si="40"/>
        <v>0.3587074335</v>
      </c>
      <c r="AC15" s="161">
        <f t="shared" si="40"/>
        <v>0</v>
      </c>
      <c r="AD15" s="342" t="str">
        <f t="shared" si="40"/>
        <v>#DIV/0!</v>
      </c>
      <c r="AE15" s="302">
        <f t="shared" si="40"/>
        <v>5754870.763</v>
      </c>
      <c r="AF15" s="341">
        <f t="shared" si="40"/>
        <v>0.3317662439</v>
      </c>
      <c r="AG15" s="161">
        <f t="shared" si="40"/>
        <v>0</v>
      </c>
      <c r="AH15" s="342" t="str">
        <f t="shared" si="40"/>
        <v>#DIV/0!</v>
      </c>
      <c r="AI15" s="343">
        <f t="shared" si="40"/>
        <v>0</v>
      </c>
      <c r="AJ15" s="341" t="str">
        <f t="shared" si="40"/>
        <v>#DIV/0!</v>
      </c>
      <c r="AK15" s="344">
        <f t="shared" si="40"/>
        <v>0</v>
      </c>
      <c r="AL15" s="304">
        <f t="shared" si="40"/>
        <v>0</v>
      </c>
      <c r="AM15" s="302">
        <f t="shared" si="40"/>
        <v>913533.8479</v>
      </c>
      <c r="AN15" s="303"/>
      <c r="AO15" s="344">
        <f>SUM(AO12:AO14)</f>
        <v>0</v>
      </c>
      <c r="AP15" s="305"/>
      <c r="AQ15" s="164">
        <f>SUM(AQ12:AQ13)</f>
        <v>4781551.392</v>
      </c>
      <c r="AR15" s="303"/>
      <c r="AS15" s="161">
        <f>SUM(AS12:AS14)</f>
        <v>0</v>
      </c>
      <c r="AT15" s="304"/>
      <c r="AU15" s="302">
        <f t="shared" ref="AU15:BJ15" si="41">SUM(AU12:AU14)</f>
        <v>341663.3518</v>
      </c>
      <c r="AV15" s="161">
        <f t="shared" si="41"/>
        <v>0</v>
      </c>
      <c r="AW15" s="161">
        <f t="shared" si="41"/>
        <v>0</v>
      </c>
      <c r="AX15" s="417">
        <f t="shared" si="41"/>
        <v>0</v>
      </c>
      <c r="AY15" s="164">
        <f t="shared" si="41"/>
        <v>165647.6185</v>
      </c>
      <c r="AZ15" s="161">
        <f t="shared" si="41"/>
        <v>0</v>
      </c>
      <c r="BA15" s="161">
        <f t="shared" si="41"/>
        <v>0</v>
      </c>
      <c r="BB15" s="347">
        <f t="shared" si="41"/>
        <v>0</v>
      </c>
      <c r="BC15" s="302">
        <f t="shared" si="41"/>
        <v>276138.0788</v>
      </c>
      <c r="BD15" s="161">
        <f t="shared" si="41"/>
        <v>0</v>
      </c>
      <c r="BE15" s="161">
        <f t="shared" si="41"/>
        <v>0</v>
      </c>
      <c r="BF15" s="417">
        <f t="shared" si="41"/>
        <v>0</v>
      </c>
      <c r="BG15" s="164">
        <f t="shared" si="41"/>
        <v>188698.6609</v>
      </c>
      <c r="BH15" s="161">
        <f t="shared" si="41"/>
        <v>0</v>
      </c>
      <c r="BI15" s="161">
        <f t="shared" si="41"/>
        <v>0</v>
      </c>
      <c r="BJ15" s="347">
        <f t="shared" si="41"/>
        <v>0</v>
      </c>
    </row>
    <row r="16" ht="15.75" customHeight="1">
      <c r="B16" s="370"/>
      <c r="C16" s="371"/>
      <c r="D16" s="372"/>
      <c r="E16" s="372"/>
      <c r="F16" s="373"/>
      <c r="G16" s="310"/>
      <c r="H16" s="311"/>
      <c r="I16" s="312"/>
      <c r="J16" s="316"/>
      <c r="K16" s="371"/>
      <c r="L16" s="372"/>
      <c r="M16" s="375"/>
      <c r="N16" s="373"/>
      <c r="O16" s="310"/>
      <c r="P16" s="311"/>
      <c r="Q16" s="311"/>
      <c r="R16" s="313"/>
      <c r="S16" s="310"/>
      <c r="T16" s="311"/>
      <c r="U16" s="311"/>
      <c r="V16" s="313"/>
      <c r="W16" s="310"/>
      <c r="X16" s="311"/>
      <c r="Y16" s="311"/>
      <c r="Z16" s="313"/>
      <c r="AA16" s="310"/>
      <c r="AB16" s="311"/>
      <c r="AC16" s="311"/>
      <c r="AD16" s="313"/>
      <c r="AE16" s="310"/>
      <c r="AF16" s="311"/>
      <c r="AG16" s="311"/>
      <c r="AH16" s="313"/>
      <c r="AI16" s="310"/>
      <c r="AJ16" s="311"/>
      <c r="AK16" s="311"/>
      <c r="AL16" s="313"/>
      <c r="AM16" s="310"/>
      <c r="AN16" s="311"/>
      <c r="AO16" s="311"/>
      <c r="AP16" s="316"/>
      <c r="AQ16" s="317"/>
      <c r="AR16" s="311"/>
      <c r="AS16" s="311"/>
      <c r="AT16" s="313"/>
      <c r="AU16" s="310">
        <v>0.0</v>
      </c>
      <c r="AV16" s="311"/>
      <c r="AW16" s="311">
        <v>0.0</v>
      </c>
      <c r="AX16" s="316"/>
      <c r="AY16" s="317">
        <v>0.0</v>
      </c>
      <c r="AZ16" s="311"/>
      <c r="BA16" s="311">
        <v>0.0</v>
      </c>
      <c r="BB16" s="313"/>
      <c r="BC16" s="310">
        <v>0.0</v>
      </c>
      <c r="BD16" s="311"/>
      <c r="BE16" s="311">
        <v>0.0</v>
      </c>
      <c r="BF16" s="316"/>
      <c r="BG16" s="317">
        <v>0.0</v>
      </c>
      <c r="BH16" s="311"/>
      <c r="BI16" s="311">
        <v>0.0</v>
      </c>
      <c r="BJ16" s="313"/>
    </row>
    <row r="17" ht="15.75" customHeight="1">
      <c r="B17" s="299" t="s">
        <v>32</v>
      </c>
      <c r="C17" s="164">
        <f>C10-C15</f>
        <v>46766951.54</v>
      </c>
      <c r="D17" s="300">
        <f>C17/C$10</f>
        <v>0.6218907973</v>
      </c>
      <c r="E17" s="319">
        <f>E10-E15</f>
        <v>0</v>
      </c>
      <c r="F17" s="301" t="str">
        <f>E17/E$10</f>
        <v>#DIV/0!</v>
      </c>
      <c r="G17" s="324">
        <f>G10-G15</f>
        <v>0</v>
      </c>
      <c r="H17" s="418"/>
      <c r="I17" s="319">
        <f>I10-I15</f>
        <v>0</v>
      </c>
      <c r="J17" s="419"/>
      <c r="K17" s="164">
        <f>K10-K15</f>
        <v>46766951.54</v>
      </c>
      <c r="L17" s="300">
        <f>K17/K$10</f>
        <v>0.6218907973</v>
      </c>
      <c r="M17" s="319">
        <f>Q17+U17+Y17+AC17+AG17+AK17+AO17+AS17+AW17+BA17+BE17+BI17</f>
        <v>0</v>
      </c>
      <c r="N17" s="301" t="str">
        <f>M17/M$10</f>
        <v>#DIV/0!</v>
      </c>
      <c r="O17" s="324">
        <f>O10-O15</f>
        <v>13415616.49</v>
      </c>
      <c r="P17" s="300">
        <f>O17/O$10</f>
        <v>0.653568673</v>
      </c>
      <c r="Q17" s="319">
        <f>Q10-Q15</f>
        <v>0</v>
      </c>
      <c r="R17" s="301" t="str">
        <f>Q17/Q$10</f>
        <v>#DIV/0!</v>
      </c>
      <c r="S17" s="324">
        <f>S10-S15</f>
        <v>529837.5696</v>
      </c>
      <c r="T17" s="300">
        <f>S17/S$10</f>
        <v>0.6162707788</v>
      </c>
      <c r="U17" s="319">
        <f>U10-U15</f>
        <v>0</v>
      </c>
      <c r="V17" s="301" t="str">
        <f>U17/U$10</f>
        <v>#DIV/0!</v>
      </c>
      <c r="W17" s="324">
        <f>W10-W15</f>
        <v>7805954.867</v>
      </c>
      <c r="X17" s="300">
        <f>W17/W$10</f>
        <v>0.6074578271</v>
      </c>
      <c r="Y17" s="319">
        <f>Y10-Y15</f>
        <v>0</v>
      </c>
      <c r="Z17" s="301" t="str">
        <f>Y17/Y$10</f>
        <v>#DIV/0!</v>
      </c>
      <c r="AA17" s="324">
        <f>AA10-AA15</f>
        <v>6305382.793</v>
      </c>
      <c r="AB17" s="300">
        <f>AA17/AA$10</f>
        <v>0.6412925665</v>
      </c>
      <c r="AC17" s="319">
        <f>AC10-AC15</f>
        <v>0</v>
      </c>
      <c r="AD17" s="301" t="str">
        <f>AC17/AC$10</f>
        <v>#DIV/0!</v>
      </c>
      <c r="AE17" s="324">
        <f>AE10-AE15</f>
        <v>11591290.49</v>
      </c>
      <c r="AF17" s="300">
        <f>AE17/AE$10</f>
        <v>0.6682337561</v>
      </c>
      <c r="AG17" s="319">
        <f>AG10-AG15</f>
        <v>0</v>
      </c>
      <c r="AH17" s="301" t="str">
        <f>AG17/AG$10</f>
        <v>#DIV/0!</v>
      </c>
      <c r="AI17" s="324">
        <f>AI10-AI15</f>
        <v>0</v>
      </c>
      <c r="AJ17" s="300" t="str">
        <f>AI17/AI$10</f>
        <v>#DIV/0!</v>
      </c>
      <c r="AK17" s="319">
        <f>AK10-AK15</f>
        <v>0</v>
      </c>
      <c r="AL17" s="420"/>
      <c r="AM17" s="324">
        <f>AM10-AM15</f>
        <v>-403004.0279</v>
      </c>
      <c r="AN17" s="418"/>
      <c r="AO17" s="319">
        <f>AO10-AO15</f>
        <v>0</v>
      </c>
      <c r="AP17" s="419"/>
      <c r="AQ17" s="318">
        <f>AQ10-AQ15</f>
        <v>7224391.108</v>
      </c>
      <c r="AR17" s="418"/>
      <c r="AS17" s="319">
        <f>AS10-AS15</f>
        <v>0</v>
      </c>
      <c r="AT17" s="420"/>
      <c r="AU17" s="324">
        <f t="shared" ref="AU17:BJ17" si="42">AU10-AU15</f>
        <v>-7153.361778</v>
      </c>
      <c r="AV17" s="319">
        <f t="shared" si="42"/>
        <v>0</v>
      </c>
      <c r="AW17" s="319">
        <f t="shared" si="42"/>
        <v>0</v>
      </c>
      <c r="AX17" s="421">
        <f t="shared" si="42"/>
        <v>0</v>
      </c>
      <c r="AY17" s="318">
        <f t="shared" si="42"/>
        <v>-40938.72853</v>
      </c>
      <c r="AZ17" s="319">
        <f t="shared" si="42"/>
        <v>0</v>
      </c>
      <c r="BA17" s="319">
        <f t="shared" si="42"/>
        <v>0</v>
      </c>
      <c r="BB17" s="422">
        <f t="shared" si="42"/>
        <v>0</v>
      </c>
      <c r="BC17" s="324">
        <f t="shared" si="42"/>
        <v>-102015.9988</v>
      </c>
      <c r="BD17" s="319">
        <f t="shared" si="42"/>
        <v>0</v>
      </c>
      <c r="BE17" s="319">
        <f t="shared" si="42"/>
        <v>0</v>
      </c>
      <c r="BF17" s="421">
        <f t="shared" si="42"/>
        <v>0</v>
      </c>
      <c r="BG17" s="318">
        <f t="shared" si="42"/>
        <v>447590.3391</v>
      </c>
      <c r="BH17" s="319">
        <f t="shared" si="42"/>
        <v>0</v>
      </c>
      <c r="BI17" s="319">
        <f t="shared" si="42"/>
        <v>0</v>
      </c>
      <c r="BJ17" s="422">
        <f t="shared" si="42"/>
        <v>0</v>
      </c>
    </row>
    <row r="18" ht="15.75" customHeight="1">
      <c r="B18" s="355"/>
      <c r="C18" s="356"/>
      <c r="D18" s="357"/>
      <c r="E18" s="357"/>
      <c r="F18" s="358"/>
      <c r="G18" s="359"/>
      <c r="H18" s="264"/>
      <c r="I18" s="270"/>
      <c r="J18" s="362"/>
      <c r="K18" s="356"/>
      <c r="L18" s="357"/>
      <c r="M18" s="361"/>
      <c r="N18" s="358"/>
      <c r="O18" s="268"/>
      <c r="P18" s="264"/>
      <c r="Q18" s="264"/>
      <c r="R18" s="266"/>
      <c r="S18" s="359"/>
      <c r="T18" s="264"/>
      <c r="U18" s="264"/>
      <c r="V18" s="266"/>
      <c r="W18" s="359"/>
      <c r="X18" s="264"/>
      <c r="Y18" s="264"/>
      <c r="Z18" s="266"/>
      <c r="AA18" s="359"/>
      <c r="AB18" s="264"/>
      <c r="AC18" s="264"/>
      <c r="AD18" s="266"/>
      <c r="AE18" s="359"/>
      <c r="AF18" s="264"/>
      <c r="AG18" s="264"/>
      <c r="AH18" s="266"/>
      <c r="AI18" s="359"/>
      <c r="AJ18" s="264"/>
      <c r="AK18" s="264"/>
      <c r="AL18" s="266"/>
      <c r="AM18" s="268"/>
      <c r="AN18" s="264"/>
      <c r="AO18" s="264"/>
      <c r="AP18" s="362"/>
      <c r="AQ18" s="363"/>
      <c r="AR18" s="264"/>
      <c r="AS18" s="264"/>
      <c r="AT18" s="266"/>
      <c r="AU18" s="359"/>
      <c r="AV18" s="264"/>
      <c r="AW18" s="264"/>
      <c r="AX18" s="362"/>
      <c r="AY18" s="363"/>
      <c r="AZ18" s="264"/>
      <c r="BA18" s="264"/>
      <c r="BB18" s="266"/>
      <c r="BC18" s="359"/>
      <c r="BD18" s="264"/>
      <c r="BE18" s="264"/>
      <c r="BF18" s="362"/>
      <c r="BG18" s="363"/>
      <c r="BH18" s="264"/>
      <c r="BI18" s="264"/>
      <c r="BJ18" s="266"/>
    </row>
    <row r="19" ht="15.75" customHeight="1">
      <c r="B19" s="274" t="s">
        <v>33</v>
      </c>
      <c r="C19" s="275">
        <f t="shared" ref="C19:C28" si="43">G19+K19</f>
        <v>2063958.57</v>
      </c>
      <c r="D19" s="276">
        <f t="shared" ref="D19:D29" si="44">C19/C$10</f>
        <v>0.02744580945</v>
      </c>
      <c r="E19" s="277">
        <f t="shared" ref="E19:E29" si="45">I19+M19</f>
        <v>0</v>
      </c>
      <c r="F19" s="278" t="str">
        <f t="shared" ref="F19:F29" si="46">E19/E$10</f>
        <v>#DIV/0!</v>
      </c>
      <c r="G19" s="283">
        <f>HO!D43</f>
        <v>106727.5133</v>
      </c>
      <c r="H19" s="229"/>
      <c r="I19" s="232" t="str">
        <f>HO!F43</f>
        <v/>
      </c>
      <c r="J19" s="387"/>
      <c r="K19" s="275">
        <f t="shared" ref="K19:K28" si="47">O19+S19+W19+AA19+AE19+AI19+AM19+AQ19+AU19+AY19+BC19+BG19</f>
        <v>1957231.057</v>
      </c>
      <c r="L19" s="276">
        <f t="shared" ref="L19:L29" si="48">K19/K$10</f>
        <v>0.02602658378</v>
      </c>
      <c r="M19" s="277">
        <f t="shared" ref="M19:M28" si="49">Q19+U19+Y19+AC19+AG19+AK19+AO19+AS19+AW19+BA19+BE19+BI19</f>
        <v>0</v>
      </c>
      <c r="N19" s="278" t="str">
        <f t="shared" ref="N19:N29" si="50">M19/M$10</f>
        <v>#DIV/0!</v>
      </c>
      <c r="O19" s="283">
        <f>'The Table'!D51</f>
        <v>528195.6233</v>
      </c>
      <c r="P19" s="284">
        <f t="shared" ref="P19:P29" si="51">O19/O$10</f>
        <v>0.0257321095</v>
      </c>
      <c r="Q19" s="232">
        <f>'The Table'!F51</f>
        <v>0</v>
      </c>
      <c r="R19" s="285" t="str">
        <f t="shared" ref="R19:R29" si="52">Q19/Q$10</f>
        <v>#DIV/0!</v>
      </c>
      <c r="S19" s="283">
        <f>Iktara!D52</f>
        <v>47889.29</v>
      </c>
      <c r="T19" s="284">
        <f t="shared" ref="T19:T29" si="53">S19/S$10</f>
        <v>0.05570154278</v>
      </c>
      <c r="U19" s="232">
        <f>Iktara!F52</f>
        <v>0</v>
      </c>
      <c r="V19" s="285" t="str">
        <f t="shared" ref="V19:V29" si="54">U19/U$10</f>
        <v>#DIV/0!</v>
      </c>
      <c r="W19" s="283">
        <f>'Mg St Colaba'!D60</f>
        <v>393268.8733</v>
      </c>
      <c r="X19" s="284">
        <f t="shared" ref="X19:X29" si="55">W19/W$10</f>
        <v>0.03060410409</v>
      </c>
      <c r="Y19" s="232">
        <f>'Mg St Colaba'!F60</f>
        <v>0</v>
      </c>
      <c r="Z19" s="285" t="str">
        <f t="shared" ref="Z19:Z29" si="56">Y19/Y$10</f>
        <v>#DIV/0!</v>
      </c>
      <c r="AA19" s="283">
        <f>'Mg St LP'!D61</f>
        <v>229487.8233</v>
      </c>
      <c r="AB19" s="284">
        <f t="shared" ref="AB19:AB29" si="57">AA19/AA$10</f>
        <v>0.02334019044</v>
      </c>
      <c r="AC19" s="232">
        <f>'Mg St LP'!F61</f>
        <v>0</v>
      </c>
      <c r="AD19" s="285" t="str">
        <f t="shared" ref="AD19:AD29" si="58">AC19/AC$10</f>
        <v>#DIV/0!</v>
      </c>
      <c r="AE19" s="283">
        <f>'Mg St Bandra'!D58</f>
        <v>439199.4533</v>
      </c>
      <c r="AF19" s="284">
        <f t="shared" ref="AF19:AF29" si="59">AE19/AE$10</f>
        <v>0.0253196916</v>
      </c>
      <c r="AG19" s="232">
        <f>'Mg St Bandra'!F58</f>
        <v>0</v>
      </c>
      <c r="AH19" s="285" t="str">
        <f t="shared" ref="AH19:AH29" si="60">AG19/AG$10</f>
        <v>#DIV/0!</v>
      </c>
      <c r="AI19" s="283">
        <f>'MSK Events'!D59</f>
        <v>11280</v>
      </c>
      <c r="AJ19" s="284" t="str">
        <f t="shared" ref="AJ19:AJ28" si="61">AI19/AI$10</f>
        <v>#DIV/0!</v>
      </c>
      <c r="AK19" s="232">
        <f>'MSK Events'!F59</f>
        <v>0</v>
      </c>
      <c r="AL19" s="285" t="str">
        <f t="shared" ref="AL19:AL28" si="62">AK19/AK$10</f>
        <v>#DIV/0!</v>
      </c>
      <c r="AM19" s="283">
        <f>MSBC!D59</f>
        <v>28683.86</v>
      </c>
      <c r="AN19" s="284">
        <f t="shared" ref="AN19:AN29" si="63">AM19/AM$10</f>
        <v>0.05618449477</v>
      </c>
      <c r="AO19" s="232">
        <f>MSBC!F59</f>
        <v>0</v>
      </c>
      <c r="AP19" s="286" t="str">
        <f t="shared" ref="AP19:AP29" si="64">AO19/AO$10</f>
        <v>#DIV/0!</v>
      </c>
      <c r="AQ19" s="287">
        <f>Kaspers!D62</f>
        <v>277726.1333</v>
      </c>
      <c r="AR19" s="229"/>
      <c r="AS19" s="232">
        <f>Kaspers!F62</f>
        <v>0</v>
      </c>
      <c r="AT19" s="281"/>
      <c r="AU19" s="283">
        <f>'MSBC Andheri'!D58</f>
        <v>0</v>
      </c>
      <c r="AV19" s="229"/>
      <c r="AW19" s="232">
        <f>'MSBC Andheri'!F58</f>
        <v>0</v>
      </c>
      <c r="AX19" s="387"/>
      <c r="AY19" s="287">
        <f>'MSBC Dahisar'!D55</f>
        <v>0</v>
      </c>
      <c r="AZ19" s="229"/>
      <c r="BA19" s="232">
        <f>'MSBC Dahisar'!F55</f>
        <v>0</v>
      </c>
      <c r="BB19" s="281"/>
      <c r="BC19" s="283">
        <f>'MSBC Juhu  Goregoan'!D60</f>
        <v>0</v>
      </c>
      <c r="BD19" s="229"/>
      <c r="BE19" s="232">
        <f>'MSBC Juhu  Goregoan'!F60</f>
        <v>0</v>
      </c>
      <c r="BF19" s="387"/>
      <c r="BG19" s="287">
        <f>'LOUD MOUTH'!D51</f>
        <v>1500</v>
      </c>
      <c r="BH19" s="229"/>
      <c r="BI19" s="232">
        <f>'LOUD MOUTH'!F51</f>
        <v>0</v>
      </c>
      <c r="BJ19" s="281"/>
    </row>
    <row r="20" ht="15.75" customHeight="1">
      <c r="B20" s="274" t="s">
        <v>34</v>
      </c>
      <c r="C20" s="275">
        <f t="shared" si="43"/>
        <v>842478.4</v>
      </c>
      <c r="D20" s="276">
        <f t="shared" si="44"/>
        <v>0.01120298729</v>
      </c>
      <c r="E20" s="277">
        <f t="shared" si="45"/>
        <v>88100</v>
      </c>
      <c r="F20" s="278" t="str">
        <f t="shared" si="46"/>
        <v>#DIV/0!</v>
      </c>
      <c r="G20" s="283">
        <f>HO!D52</f>
        <v>53100</v>
      </c>
      <c r="H20" s="229"/>
      <c r="I20" s="232">
        <f>HO!F52</f>
        <v>53100</v>
      </c>
      <c r="J20" s="387"/>
      <c r="K20" s="275">
        <f t="shared" si="47"/>
        <v>789378.4</v>
      </c>
      <c r="L20" s="276">
        <f t="shared" si="48"/>
        <v>0.0104968818</v>
      </c>
      <c r="M20" s="277">
        <f t="shared" si="49"/>
        <v>35000</v>
      </c>
      <c r="N20" s="278" t="str">
        <f t="shared" si="50"/>
        <v>#DIV/0!</v>
      </c>
      <c r="O20" s="283">
        <f>'The Table'!D60</f>
        <v>72049</v>
      </c>
      <c r="P20" s="284">
        <f t="shared" si="51"/>
        <v>0.003510011586</v>
      </c>
      <c r="Q20" s="232">
        <f>'The Table'!F60</f>
        <v>0</v>
      </c>
      <c r="R20" s="285" t="str">
        <f t="shared" si="52"/>
        <v>#DIV/0!</v>
      </c>
      <c r="S20" s="283">
        <f>Iktara!D54</f>
        <v>89556.69</v>
      </c>
      <c r="T20" s="284">
        <f t="shared" si="53"/>
        <v>0.1041662092</v>
      </c>
      <c r="U20" s="232">
        <f>Iktara!F54</f>
        <v>0</v>
      </c>
      <c r="V20" s="285" t="str">
        <f t="shared" si="54"/>
        <v>#DIV/0!</v>
      </c>
      <c r="W20" s="283">
        <f>'Mg St Colaba'!D69</f>
        <v>196105.44</v>
      </c>
      <c r="X20" s="284">
        <f t="shared" si="55"/>
        <v>0.01526088563</v>
      </c>
      <c r="Y20" s="232">
        <f>'Mg St Colaba'!F69</f>
        <v>0</v>
      </c>
      <c r="Z20" s="285" t="str">
        <f t="shared" si="56"/>
        <v>#DIV/0!</v>
      </c>
      <c r="AA20" s="283">
        <f>'Mg St LP'!D70</f>
        <v>98796.5</v>
      </c>
      <c r="AB20" s="284">
        <f t="shared" si="57"/>
        <v>0.01004815459</v>
      </c>
      <c r="AC20" s="232">
        <f>'Mg St LP'!F70</f>
        <v>0</v>
      </c>
      <c r="AD20" s="285" t="str">
        <f t="shared" si="58"/>
        <v>#DIV/0!</v>
      </c>
      <c r="AE20" s="283">
        <f>'Mg St Bandra'!D70</f>
        <v>86882</v>
      </c>
      <c r="AF20" s="284">
        <f t="shared" si="59"/>
        <v>0.005008716266</v>
      </c>
      <c r="AG20" s="232">
        <f>'Mg St Bandra'!F70</f>
        <v>0</v>
      </c>
      <c r="AH20" s="285" t="str">
        <f t="shared" si="60"/>
        <v>#DIV/0!</v>
      </c>
      <c r="AI20" s="283">
        <f>'MSK Events'!D70</f>
        <v>0</v>
      </c>
      <c r="AJ20" s="284" t="str">
        <f t="shared" si="61"/>
        <v>#DIV/0!</v>
      </c>
      <c r="AK20" s="232">
        <f>'MSK Events'!F70</f>
        <v>0</v>
      </c>
      <c r="AL20" s="285" t="str">
        <f t="shared" si="62"/>
        <v>#DIV/0!</v>
      </c>
      <c r="AM20" s="283">
        <f>MSBC!D61</f>
        <v>77809.78</v>
      </c>
      <c r="AN20" s="284">
        <f t="shared" si="63"/>
        <v>0.1524098631</v>
      </c>
      <c r="AO20" s="232">
        <f>MSBC!F61</f>
        <v>0</v>
      </c>
      <c r="AP20" s="286" t="str">
        <f t="shared" si="64"/>
        <v>#DIV/0!</v>
      </c>
      <c r="AQ20" s="287">
        <f>Kaspers!D65</f>
        <v>17063.98</v>
      </c>
      <c r="AR20" s="229"/>
      <c r="AS20" s="232">
        <f>Kaspers!F65</f>
        <v>35000</v>
      </c>
      <c r="AT20" s="281"/>
      <c r="AU20" s="283">
        <f>'MSBC Andheri'!D70</f>
        <v>57894.52</v>
      </c>
      <c r="AV20" s="229"/>
      <c r="AW20" s="232">
        <f>'MSBC Andheri'!F70</f>
        <v>0</v>
      </c>
      <c r="AX20" s="387"/>
      <c r="AY20" s="287">
        <f>'MSBC Dahisar'!D57</f>
        <v>38620.46</v>
      </c>
      <c r="AZ20" s="229"/>
      <c r="BA20" s="232">
        <f>'MSBC Dahisar'!F57</f>
        <v>0</v>
      </c>
      <c r="BB20" s="281"/>
      <c r="BC20" s="283">
        <f>'MSBC Juhu  Goregoan'!D72</f>
        <v>39752.03</v>
      </c>
      <c r="BD20" s="229"/>
      <c r="BE20" s="232">
        <f>'MSBC Juhu  Goregoan'!F72</f>
        <v>0</v>
      </c>
      <c r="BF20" s="387"/>
      <c r="BG20" s="287">
        <f>'LOUD MOUTH'!D54</f>
        <v>14848</v>
      </c>
      <c r="BH20" s="229"/>
      <c r="BI20" s="232">
        <f>'LOUD MOUTH'!F54</f>
        <v>0</v>
      </c>
      <c r="BJ20" s="281"/>
    </row>
    <row r="21" ht="15.75" customHeight="1">
      <c r="B21" s="274" t="s">
        <v>35</v>
      </c>
      <c r="C21" s="275">
        <f t="shared" si="43"/>
        <v>2313629.91</v>
      </c>
      <c r="D21" s="276">
        <f t="shared" si="44"/>
        <v>0.03076585285</v>
      </c>
      <c r="E21" s="277">
        <f t="shared" si="45"/>
        <v>0</v>
      </c>
      <c r="F21" s="278" t="str">
        <f t="shared" si="46"/>
        <v>#DIV/0!</v>
      </c>
      <c r="G21" s="283">
        <f>HO!D63</f>
        <v>0</v>
      </c>
      <c r="H21" s="229"/>
      <c r="I21" s="232">
        <f>HO!F63</f>
        <v>0</v>
      </c>
      <c r="J21" s="387"/>
      <c r="K21" s="275">
        <f t="shared" si="47"/>
        <v>2313629.91</v>
      </c>
      <c r="L21" s="276">
        <f t="shared" si="48"/>
        <v>0.03076585285</v>
      </c>
      <c r="M21" s="277">
        <f t="shared" si="49"/>
        <v>0</v>
      </c>
      <c r="N21" s="278" t="str">
        <f t="shared" si="50"/>
        <v>#DIV/0!</v>
      </c>
      <c r="O21" s="283">
        <f>'The Table'!D69</f>
        <v>89699.51</v>
      </c>
      <c r="P21" s="284">
        <f t="shared" si="51"/>
        <v>0.004369891593</v>
      </c>
      <c r="Q21" s="232">
        <f>'The Table'!F69</f>
        <v>0</v>
      </c>
      <c r="R21" s="285" t="str">
        <f t="shared" si="52"/>
        <v>#DIV/0!</v>
      </c>
      <c r="S21" s="283">
        <f>Iktara!D64</f>
        <v>112186.48</v>
      </c>
      <c r="T21" s="284">
        <f t="shared" si="53"/>
        <v>0.1304876313</v>
      </c>
      <c r="U21" s="232" t="str">
        <f>Iktara!F64</f>
        <v/>
      </c>
      <c r="V21" s="285" t="str">
        <f t="shared" si="54"/>
        <v>#DIV/0!</v>
      </c>
      <c r="W21" s="283">
        <f>'Mg St Colaba'!D81</f>
        <v>480580.79</v>
      </c>
      <c r="X21" s="284">
        <f t="shared" si="55"/>
        <v>0.03739869976</v>
      </c>
      <c r="Y21" s="232"/>
      <c r="Z21" s="285" t="str">
        <f t="shared" si="56"/>
        <v>#DIV/0!</v>
      </c>
      <c r="AA21" s="283">
        <f>'Mg St LP'!D83</f>
        <v>674779.24</v>
      </c>
      <c r="AB21" s="284">
        <f t="shared" si="57"/>
        <v>0.06862880888</v>
      </c>
      <c r="AC21" s="232">
        <f>'Mg St LP'!F83</f>
        <v>0</v>
      </c>
      <c r="AD21" s="285" t="str">
        <f t="shared" si="58"/>
        <v>#DIV/0!</v>
      </c>
      <c r="AE21" s="283">
        <f>'Mg St Bandra'!D81</f>
        <v>628442</v>
      </c>
      <c r="AF21" s="284">
        <f t="shared" si="59"/>
        <v>0.03622945682</v>
      </c>
      <c r="AG21" s="232">
        <f>'Mg St Bandra'!F81</f>
        <v>0</v>
      </c>
      <c r="AH21" s="285" t="str">
        <f t="shared" si="60"/>
        <v>#DIV/0!</v>
      </c>
      <c r="AI21" s="283">
        <f>'MSK Events'!D77</f>
        <v>0</v>
      </c>
      <c r="AJ21" s="284" t="str">
        <f t="shared" si="61"/>
        <v>#DIV/0!</v>
      </c>
      <c r="AK21" s="232">
        <f>'MSK Events'!F77</f>
        <v>0</v>
      </c>
      <c r="AL21" s="285" t="str">
        <f t="shared" si="62"/>
        <v>#DIV/0!</v>
      </c>
      <c r="AM21" s="283">
        <f>MSBC!D69</f>
        <v>39923.37</v>
      </c>
      <c r="AN21" s="284">
        <f t="shared" si="63"/>
        <v>0.07819987871</v>
      </c>
      <c r="AO21" s="232">
        <f>MSBC!F69</f>
        <v>0</v>
      </c>
      <c r="AP21" s="286" t="str">
        <f t="shared" si="64"/>
        <v>#DIV/0!</v>
      </c>
      <c r="AQ21" s="287">
        <f>Kaspers!D73</f>
        <v>0</v>
      </c>
      <c r="AR21" s="229"/>
      <c r="AS21" s="232">
        <f>Kaspers!F73</f>
        <v>0</v>
      </c>
      <c r="AT21" s="281"/>
      <c r="AU21" s="283">
        <f>'MSBC Andheri'!D78</f>
        <v>96492.09</v>
      </c>
      <c r="AV21" s="229"/>
      <c r="AW21" s="232">
        <f>'MSBC Andheri'!F78</f>
        <v>0</v>
      </c>
      <c r="AX21" s="387"/>
      <c r="AY21" s="287">
        <f>'MSBC Dahisar'!D65</f>
        <v>53013.93</v>
      </c>
      <c r="AZ21" s="229"/>
      <c r="BA21" s="232">
        <f>'MSBC Dahisar'!F65</f>
        <v>0</v>
      </c>
      <c r="BB21" s="281"/>
      <c r="BC21" s="283">
        <f>'MSBC Juhu  Goregoan'!D80</f>
        <v>65245.94</v>
      </c>
      <c r="BD21" s="229"/>
      <c r="BE21" s="232">
        <f>'MSBC Juhu  Goregoan'!F80</f>
        <v>0</v>
      </c>
      <c r="BF21" s="387"/>
      <c r="BG21" s="287">
        <f>'LOUD MOUTH'!D63</f>
        <v>73266.56</v>
      </c>
      <c r="BH21" s="229"/>
      <c r="BI21" s="232">
        <f>'LOUD MOUTH'!F63</f>
        <v>0</v>
      </c>
      <c r="BJ21" s="281"/>
    </row>
    <row r="22" ht="15.75" customHeight="1">
      <c r="B22" s="274" t="s">
        <v>36</v>
      </c>
      <c r="C22" s="275">
        <f t="shared" si="43"/>
        <v>8395259.9</v>
      </c>
      <c r="D22" s="276">
        <f t="shared" si="44"/>
        <v>0.1116372716</v>
      </c>
      <c r="E22" s="277">
        <f t="shared" si="45"/>
        <v>3059965</v>
      </c>
      <c r="F22" s="278" t="str">
        <f t="shared" si="46"/>
        <v>#DIV/0!</v>
      </c>
      <c r="G22" s="283">
        <f>HO!D70</f>
        <v>813461.7333</v>
      </c>
      <c r="H22" s="229"/>
      <c r="I22" s="232">
        <f>HO!F70</f>
        <v>0</v>
      </c>
      <c r="J22" s="387"/>
      <c r="K22" s="275">
        <f t="shared" si="47"/>
        <v>7581798.167</v>
      </c>
      <c r="L22" s="276">
        <f t="shared" si="48"/>
        <v>0.100820138</v>
      </c>
      <c r="M22" s="277">
        <f t="shared" si="49"/>
        <v>3059965</v>
      </c>
      <c r="N22" s="278" t="str">
        <f t="shared" si="50"/>
        <v>#DIV/0!</v>
      </c>
      <c r="O22" s="283">
        <f>'The Table'!D75</f>
        <v>1817305.833</v>
      </c>
      <c r="P22" s="284">
        <f t="shared" si="51"/>
        <v>0.08853369971</v>
      </c>
      <c r="Q22" s="232">
        <f>'The Table'!F75</f>
        <v>1419717</v>
      </c>
      <c r="R22" s="285" t="str">
        <f t="shared" si="52"/>
        <v>#DIV/0!</v>
      </c>
      <c r="S22" s="283">
        <f>Iktara!D70</f>
        <v>103623</v>
      </c>
      <c r="T22" s="284">
        <f t="shared" si="53"/>
        <v>0.1205271777</v>
      </c>
      <c r="U22" s="232">
        <f>Iktara!F70</f>
        <v>76212</v>
      </c>
      <c r="V22" s="285" t="str">
        <f t="shared" si="54"/>
        <v>#DIV/0!</v>
      </c>
      <c r="W22" s="283">
        <f>'Mg St Colaba'!D88</f>
        <v>1695349.333</v>
      </c>
      <c r="X22" s="284">
        <f t="shared" si="55"/>
        <v>0.1319317418</v>
      </c>
      <c r="Y22" s="232">
        <f>'Mg St Colaba'!F88</f>
        <v>1314963</v>
      </c>
      <c r="Z22" s="285" t="str">
        <f t="shared" si="56"/>
        <v>#DIV/0!</v>
      </c>
      <c r="AA22" s="283">
        <f>'Mg St LP'!D90</f>
        <v>1093486</v>
      </c>
      <c r="AB22" s="284">
        <f t="shared" si="57"/>
        <v>0.1112136196</v>
      </c>
      <c r="AC22" s="232">
        <f>'Mg St LP'!F90</f>
        <v>0</v>
      </c>
      <c r="AD22" s="285" t="str">
        <f t="shared" si="58"/>
        <v>#DIV/0!</v>
      </c>
      <c r="AE22" s="283">
        <f>'Mg St Bandra'!D88</f>
        <v>1542823</v>
      </c>
      <c r="AF22" s="284">
        <f t="shared" si="59"/>
        <v>0.08894319485</v>
      </c>
      <c r="AG22" s="232">
        <f>'Mg St Bandra'!F88</f>
        <v>0</v>
      </c>
      <c r="AH22" s="285" t="str">
        <f t="shared" si="60"/>
        <v>#DIV/0!</v>
      </c>
      <c r="AI22" s="283">
        <f>'MSK Events'!D84</f>
        <v>92581</v>
      </c>
      <c r="AJ22" s="284" t="str">
        <f t="shared" si="61"/>
        <v>#DIV/0!</v>
      </c>
      <c r="AK22" s="232">
        <f>'MSK Events'!F84</f>
        <v>90931</v>
      </c>
      <c r="AL22" s="285" t="str">
        <f t="shared" si="62"/>
        <v>#DIV/0!</v>
      </c>
      <c r="AM22" s="283">
        <f>MSBC!D75</f>
        <v>253151</v>
      </c>
      <c r="AN22" s="284">
        <f t="shared" si="63"/>
        <v>0.49585938</v>
      </c>
      <c r="AO22" s="232">
        <f>MSBC!F75</f>
        <v>155723</v>
      </c>
      <c r="AP22" s="286" t="str">
        <f t="shared" si="64"/>
        <v>#DIV/0!</v>
      </c>
      <c r="AQ22" s="287">
        <f>Kaspers!D80</f>
        <v>983479</v>
      </c>
      <c r="AR22" s="229"/>
      <c r="AS22" s="232">
        <f>Kaspers!F80</f>
        <v>2419</v>
      </c>
      <c r="AT22" s="281"/>
      <c r="AU22" s="283">
        <f>'MSBC Andheri'!D87</f>
        <v>0</v>
      </c>
      <c r="AV22" s="229"/>
      <c r="AW22" s="232">
        <f>'MSBC Andheri'!F87</f>
        <v>0</v>
      </c>
      <c r="AX22" s="387"/>
      <c r="AY22" s="287">
        <f>'MSBC Dahisar'!D74</f>
        <v>0</v>
      </c>
      <c r="AZ22" s="229"/>
      <c r="BA22" s="232">
        <f>'MSBC Dahisar'!F74</f>
        <v>0</v>
      </c>
      <c r="BB22" s="281"/>
      <c r="BC22" s="283">
        <v>0.0</v>
      </c>
      <c r="BD22" s="229"/>
      <c r="BE22" s="232">
        <v>0.0</v>
      </c>
      <c r="BF22" s="387"/>
      <c r="BG22" s="287">
        <f>'LOUD MOUTH'!D70</f>
        <v>0</v>
      </c>
      <c r="BH22" s="229"/>
      <c r="BI22" s="232">
        <f>'LOUD MOUTH'!F70</f>
        <v>0</v>
      </c>
      <c r="BJ22" s="281"/>
    </row>
    <row r="23" ht="15.75" customHeight="1">
      <c r="B23" s="274" t="s">
        <v>37</v>
      </c>
      <c r="C23" s="275">
        <f t="shared" si="43"/>
        <v>24339367.57</v>
      </c>
      <c r="D23" s="276">
        <f t="shared" si="44"/>
        <v>0.3236565182</v>
      </c>
      <c r="E23" s="277">
        <f t="shared" si="45"/>
        <v>758150</v>
      </c>
      <c r="F23" s="278" t="str">
        <f t="shared" si="46"/>
        <v>#DIV/0!</v>
      </c>
      <c r="G23" s="283">
        <f>HO!D76</f>
        <v>3772299.27</v>
      </c>
      <c r="H23" s="229"/>
      <c r="I23" s="232">
        <f>HO!F76</f>
        <v>0</v>
      </c>
      <c r="J23" s="387"/>
      <c r="K23" s="275">
        <f t="shared" si="47"/>
        <v>20567068.3</v>
      </c>
      <c r="L23" s="276">
        <f t="shared" si="48"/>
        <v>0.2734937832</v>
      </c>
      <c r="M23" s="277">
        <f t="shared" si="49"/>
        <v>758150</v>
      </c>
      <c r="N23" s="278" t="str">
        <f t="shared" si="50"/>
        <v>#DIV/0!</v>
      </c>
      <c r="O23" s="283">
        <f>'The Table'!D81</f>
        <v>5546943.66</v>
      </c>
      <c r="P23" s="284">
        <f t="shared" si="51"/>
        <v>0.2702304892</v>
      </c>
      <c r="Q23" s="232">
        <f>'The Table'!F81</f>
        <v>663750</v>
      </c>
      <c r="R23" s="285" t="str">
        <f t="shared" si="52"/>
        <v>#DIV/0!</v>
      </c>
      <c r="S23" s="283">
        <f>Iktara!D76</f>
        <v>343104.24</v>
      </c>
      <c r="T23" s="284">
        <f t="shared" si="53"/>
        <v>0.399075357</v>
      </c>
      <c r="U23" s="232">
        <f>Iktara!F76</f>
        <v>0</v>
      </c>
      <c r="V23" s="285" t="str">
        <f t="shared" si="54"/>
        <v>#DIV/0!</v>
      </c>
      <c r="W23" s="283">
        <f>'Mg St Colaba'!D94</f>
        <v>3187826.767</v>
      </c>
      <c r="X23" s="284">
        <f t="shared" si="55"/>
        <v>0.2480760335</v>
      </c>
      <c r="Y23" s="232">
        <f>'Mg St Colaba'!F94</f>
        <v>0</v>
      </c>
      <c r="Z23" s="285" t="str">
        <f t="shared" si="56"/>
        <v>#DIV/0!</v>
      </c>
      <c r="AA23" s="283">
        <f>'Mg St LP'!D97</f>
        <v>1746002.687</v>
      </c>
      <c r="AB23" s="284">
        <f t="shared" si="57"/>
        <v>0.1775782027</v>
      </c>
      <c r="AC23" s="232">
        <f>'Mg St LP'!F97</f>
        <v>0</v>
      </c>
      <c r="AD23" s="285" t="str">
        <f t="shared" si="58"/>
        <v>#DIV/0!</v>
      </c>
      <c r="AE23" s="283">
        <f>'Mg St Bandra'!D96</f>
        <v>3711761.087</v>
      </c>
      <c r="AF23" s="284">
        <f t="shared" si="59"/>
        <v>0.2139817008</v>
      </c>
      <c r="AG23" s="232">
        <f>'Mg St Bandra'!F96</f>
        <v>0</v>
      </c>
      <c r="AH23" s="285" t="str">
        <f t="shared" si="60"/>
        <v>#DIV/0!</v>
      </c>
      <c r="AI23" s="283">
        <f>'MSK Events'!D90</f>
        <v>271146</v>
      </c>
      <c r="AJ23" s="284" t="str">
        <f t="shared" si="61"/>
        <v>#DIV/0!</v>
      </c>
      <c r="AK23" s="232">
        <f>'MSK Events'!F90</f>
        <v>0</v>
      </c>
      <c r="AL23" s="285" t="str">
        <f t="shared" si="62"/>
        <v>#DIV/0!</v>
      </c>
      <c r="AM23" s="283">
        <f>MSBC!D81</f>
        <v>1480962.86</v>
      </c>
      <c r="AN23" s="284">
        <f t="shared" si="63"/>
        <v>2.900835176</v>
      </c>
      <c r="AO23" s="232">
        <f>MSBC!F81</f>
        <v>94400</v>
      </c>
      <c r="AP23" s="286" t="str">
        <f t="shared" si="64"/>
        <v>#DIV/0!</v>
      </c>
      <c r="AQ23" s="287">
        <f>Kaspers!D86</f>
        <v>3781770.5</v>
      </c>
      <c r="AR23" s="229"/>
      <c r="AS23" s="232">
        <f>Kaspers!F86</f>
        <v>0</v>
      </c>
      <c r="AT23" s="281"/>
      <c r="AU23" s="283">
        <f>'MSBC Andheri'!D93</f>
        <v>0</v>
      </c>
      <c r="AV23" s="229"/>
      <c r="AW23" s="232">
        <f>'MSBC Andheri'!F93</f>
        <v>0</v>
      </c>
      <c r="AX23" s="387"/>
      <c r="AY23" s="287">
        <f>'MSBC Dahisar'!D80</f>
        <v>0</v>
      </c>
      <c r="AZ23" s="229"/>
      <c r="BA23" s="232">
        <f>'MSBC Dahisar'!F80</f>
        <v>0</v>
      </c>
      <c r="BB23" s="281"/>
      <c r="BC23" s="283">
        <v>0.0</v>
      </c>
      <c r="BD23" s="229"/>
      <c r="BE23" s="232">
        <v>0.0</v>
      </c>
      <c r="BF23" s="387"/>
      <c r="BG23" s="287">
        <f>'LOUD MOUTH'!D77</f>
        <v>497550.5</v>
      </c>
      <c r="BH23" s="229"/>
      <c r="BI23" s="232">
        <f>'LOUD MOUTH'!F77</f>
        <v>0</v>
      </c>
      <c r="BJ23" s="281"/>
    </row>
    <row r="24" ht="15.75" customHeight="1">
      <c r="B24" s="274" t="s">
        <v>38</v>
      </c>
      <c r="C24" s="275">
        <f t="shared" si="43"/>
        <v>955289.82</v>
      </c>
      <c r="D24" s="276">
        <f t="shared" si="44"/>
        <v>0.01270311466</v>
      </c>
      <c r="E24" s="277">
        <f t="shared" si="45"/>
        <v>0</v>
      </c>
      <c r="F24" s="278" t="str">
        <f t="shared" si="46"/>
        <v>#DIV/0!</v>
      </c>
      <c r="G24" s="283">
        <f>HO!D87</f>
        <v>412150</v>
      </c>
      <c r="H24" s="229"/>
      <c r="I24" s="232">
        <f>HO!F87</f>
        <v>0</v>
      </c>
      <c r="J24" s="387"/>
      <c r="K24" s="275">
        <f t="shared" si="47"/>
        <v>543139.82</v>
      </c>
      <c r="L24" s="276">
        <f t="shared" si="48"/>
        <v>0.007222486063</v>
      </c>
      <c r="M24" s="277">
        <f t="shared" si="49"/>
        <v>0</v>
      </c>
      <c r="N24" s="278" t="str">
        <f t="shared" si="50"/>
        <v>#DIV/0!</v>
      </c>
      <c r="O24" s="283">
        <f>'The Table'!D92</f>
        <v>425771.88</v>
      </c>
      <c r="P24" s="284">
        <f t="shared" si="51"/>
        <v>0.02074233136</v>
      </c>
      <c r="Q24" s="232">
        <f>'The Table'!F92</f>
        <v>0</v>
      </c>
      <c r="R24" s="285" t="str">
        <f t="shared" si="52"/>
        <v>#DIV/0!</v>
      </c>
      <c r="S24" s="283">
        <f>Iktara!D86</f>
        <v>0</v>
      </c>
      <c r="T24" s="284">
        <f t="shared" si="53"/>
        <v>0</v>
      </c>
      <c r="U24" s="280">
        <f>Iktara!F86</f>
        <v>0</v>
      </c>
      <c r="V24" s="285" t="str">
        <f t="shared" si="54"/>
        <v>#DIV/0!</v>
      </c>
      <c r="W24" s="283">
        <f>'Mg St Colaba'!D104</f>
        <v>24118.9</v>
      </c>
      <c r="X24" s="284">
        <f t="shared" si="55"/>
        <v>0.001876927914</v>
      </c>
      <c r="Y24" s="232">
        <f>'Mg St Colaba'!F104</f>
        <v>0</v>
      </c>
      <c r="Z24" s="285" t="str">
        <f t="shared" si="56"/>
        <v>#DIV/0!</v>
      </c>
      <c r="AA24" s="283">
        <f>'Mg St LP'!D107</f>
        <v>25508</v>
      </c>
      <c r="AB24" s="284">
        <f t="shared" si="57"/>
        <v>0.002594305742</v>
      </c>
      <c r="AC24" s="232">
        <f>'Mg St LP'!F107</f>
        <v>0</v>
      </c>
      <c r="AD24" s="285" t="str">
        <f t="shared" si="58"/>
        <v>#DIV/0!</v>
      </c>
      <c r="AE24" s="283">
        <f>'Mg St Bandra'!D107</f>
        <v>27152</v>
      </c>
      <c r="AF24" s="284">
        <f t="shared" si="59"/>
        <v>0.001565303101</v>
      </c>
      <c r="AG24" s="232">
        <f>'Mg St Bandra'!F107</f>
        <v>0</v>
      </c>
      <c r="AH24" s="285" t="str">
        <f t="shared" si="60"/>
        <v>#DIV/0!</v>
      </c>
      <c r="AI24" s="283">
        <f>'MSK Events'!D100</f>
        <v>0</v>
      </c>
      <c r="AJ24" s="284" t="str">
        <f t="shared" si="61"/>
        <v>#DIV/0!</v>
      </c>
      <c r="AK24" s="232">
        <f>'MSK Events'!F100</f>
        <v>0</v>
      </c>
      <c r="AL24" s="285" t="str">
        <f t="shared" si="62"/>
        <v>#DIV/0!</v>
      </c>
      <c r="AM24" s="283">
        <f>MSBC!D92</f>
        <v>5730.42</v>
      </c>
      <c r="AN24" s="284">
        <f t="shared" si="63"/>
        <v>0.01122445698</v>
      </c>
      <c r="AO24" s="232">
        <f>MSBC!F92</f>
        <v>0</v>
      </c>
      <c r="AP24" s="286" t="str">
        <f t="shared" si="64"/>
        <v>#DIV/0!</v>
      </c>
      <c r="AQ24" s="287">
        <f>Kaspers!D97</f>
        <v>34858.62</v>
      </c>
      <c r="AR24" s="229"/>
      <c r="AS24" s="232">
        <f>Kaspers!F97</f>
        <v>0</v>
      </c>
      <c r="AT24" s="281"/>
      <c r="AU24" s="283">
        <f>'MSBC Andheri'!D103</f>
        <v>0</v>
      </c>
      <c r="AV24" s="229"/>
      <c r="AW24" s="232">
        <f>'MSBC Andheri'!F103</f>
        <v>0</v>
      </c>
      <c r="AX24" s="387"/>
      <c r="AY24" s="287">
        <f>'MSBC Dahisar'!D90</f>
        <v>0</v>
      </c>
      <c r="AZ24" s="229"/>
      <c r="BA24" s="232">
        <f>'MSBC Dahisar'!F90</f>
        <v>0</v>
      </c>
      <c r="BB24" s="281"/>
      <c r="BC24" s="283">
        <f>'MSBC Juhu  Goregoan'!D103</f>
        <v>0</v>
      </c>
      <c r="BD24" s="229"/>
      <c r="BE24" s="232">
        <f>'MSBC Juhu  Goregoan'!F103</f>
        <v>0</v>
      </c>
      <c r="BF24" s="387"/>
      <c r="BG24" s="287">
        <f>'LOUD MOUTH'!D89</f>
        <v>0</v>
      </c>
      <c r="BH24" s="229"/>
      <c r="BI24" s="232">
        <f>'LOUD MOUTH'!F89</f>
        <v>0</v>
      </c>
      <c r="BJ24" s="281"/>
    </row>
    <row r="25" ht="15.75" customHeight="1">
      <c r="B25" s="274" t="s">
        <v>39</v>
      </c>
      <c r="C25" s="275">
        <f t="shared" si="43"/>
        <v>495926.6533</v>
      </c>
      <c r="D25" s="276">
        <f t="shared" si="44"/>
        <v>0.006594661651</v>
      </c>
      <c r="E25" s="277">
        <f t="shared" si="45"/>
        <v>137618.5833</v>
      </c>
      <c r="F25" s="278" t="str">
        <f t="shared" si="46"/>
        <v>#DIV/0!</v>
      </c>
      <c r="G25" s="283">
        <f>HO!D94</f>
        <v>127944.07</v>
      </c>
      <c r="H25" s="229"/>
      <c r="I25" s="232">
        <f>HO!F94</f>
        <v>0</v>
      </c>
      <c r="J25" s="387"/>
      <c r="K25" s="275">
        <f t="shared" si="47"/>
        <v>367982.5833</v>
      </c>
      <c r="L25" s="276">
        <f t="shared" si="48"/>
        <v>0.00489330552</v>
      </c>
      <c r="M25" s="277">
        <f t="shared" si="49"/>
        <v>137618.5833</v>
      </c>
      <c r="N25" s="278" t="str">
        <f t="shared" si="50"/>
        <v>#DIV/0!</v>
      </c>
      <c r="O25" s="283">
        <f>'The Table'!D95</f>
        <v>23403.33333</v>
      </c>
      <c r="P25" s="284">
        <f t="shared" si="51"/>
        <v>0.001140140337</v>
      </c>
      <c r="Q25" s="232">
        <f>'The Table'!F95</f>
        <v>0</v>
      </c>
      <c r="R25" s="285" t="str">
        <f t="shared" si="52"/>
        <v>#DIV/0!</v>
      </c>
      <c r="S25" s="283">
        <f>Iktara!D89</f>
        <v>23091</v>
      </c>
      <c r="T25" s="284">
        <f t="shared" si="53"/>
        <v>0.02685786998</v>
      </c>
      <c r="U25" s="280">
        <f>Iktara!F89</f>
        <v>0</v>
      </c>
      <c r="V25" s="285" t="str">
        <f t="shared" si="54"/>
        <v>#DIV/0!</v>
      </c>
      <c r="W25" s="283">
        <f>'Mg St Colaba'!D107</f>
        <v>63685.33333</v>
      </c>
      <c r="X25" s="284">
        <f t="shared" si="55"/>
        <v>0.004955979744</v>
      </c>
      <c r="Y25" s="232" t="str">
        <f>'Mg St Colaba'!F107</f>
        <v/>
      </c>
      <c r="Z25" s="285" t="str">
        <f t="shared" si="56"/>
        <v>#DIV/0!</v>
      </c>
      <c r="AA25" s="283">
        <f>'Mg St LP'!D110</f>
        <v>49820.33333</v>
      </c>
      <c r="AB25" s="284">
        <f t="shared" si="57"/>
        <v>0.005067005521</v>
      </c>
      <c r="AC25" s="232">
        <f>'Mg St LP'!F110</f>
        <v>49820.33333</v>
      </c>
      <c r="AD25" s="285" t="str">
        <f t="shared" si="58"/>
        <v>#DIV/0!</v>
      </c>
      <c r="AE25" s="283">
        <f>'Mg St Bandra'!D110</f>
        <v>77845.33333</v>
      </c>
      <c r="AF25" s="284">
        <f t="shared" si="59"/>
        <v>0.00448775566</v>
      </c>
      <c r="AG25" s="232">
        <f>'Mg St Bandra'!F110</f>
        <v>77845.33333</v>
      </c>
      <c r="AH25" s="285" t="str">
        <f t="shared" si="60"/>
        <v>#DIV/0!</v>
      </c>
      <c r="AI25" s="283">
        <f>'MSK Events'!D103</f>
        <v>6806.25</v>
      </c>
      <c r="AJ25" s="284" t="str">
        <f t="shared" si="61"/>
        <v>#DIV/0!</v>
      </c>
      <c r="AK25" s="232">
        <f>'MSK Events'!F103</f>
        <v>6806.25</v>
      </c>
      <c r="AL25" s="285" t="str">
        <f t="shared" si="62"/>
        <v>#DIV/0!</v>
      </c>
      <c r="AM25" s="283">
        <f>MSBC!D95</f>
        <v>36280.33333</v>
      </c>
      <c r="AN25" s="284">
        <f t="shared" si="63"/>
        <v>0.07106408267</v>
      </c>
      <c r="AO25" s="232">
        <f>MSBC!F95</f>
        <v>0</v>
      </c>
      <c r="AP25" s="286" t="str">
        <f t="shared" si="64"/>
        <v>#DIV/0!</v>
      </c>
      <c r="AQ25" s="287">
        <f>Kaspers!D100</f>
        <v>3146.666667</v>
      </c>
      <c r="AR25" s="229"/>
      <c r="AS25" s="232">
        <f>Kaspers!F100</f>
        <v>3146.666667</v>
      </c>
      <c r="AT25" s="281"/>
      <c r="AU25" s="283">
        <f>'MSBC Andheri'!D106</f>
        <v>35728</v>
      </c>
      <c r="AV25" s="229"/>
      <c r="AW25" s="232">
        <f>'MSBC Andheri'!F106</f>
        <v>0</v>
      </c>
      <c r="AX25" s="387"/>
      <c r="AY25" s="287">
        <f>'MSBC Dahisar'!D93</f>
        <v>23091</v>
      </c>
      <c r="AZ25" s="229"/>
      <c r="BA25" s="232">
        <f>'MSBC Dahisar'!F93</f>
        <v>0</v>
      </c>
      <c r="BB25" s="281"/>
      <c r="BC25" s="283">
        <f>'MSBC Juhu  Goregoan'!D106</f>
        <v>23091</v>
      </c>
      <c r="BD25" s="229"/>
      <c r="BE25" s="232">
        <f>'MSBC Juhu  Goregoan'!F106</f>
        <v>0</v>
      </c>
      <c r="BF25" s="387"/>
      <c r="BG25" s="287">
        <f>'LOUD MOUTH'!D92</f>
        <v>1994</v>
      </c>
      <c r="BH25" s="229"/>
      <c r="BI25" s="232">
        <f>'LOUD MOUTH'!F92</f>
        <v>0</v>
      </c>
      <c r="BJ25" s="281"/>
    </row>
    <row r="26" ht="15.75" customHeight="1">
      <c r="B26" s="274" t="s">
        <v>40</v>
      </c>
      <c r="C26" s="275">
        <f t="shared" si="43"/>
        <v>4810189.99</v>
      </c>
      <c r="D26" s="276">
        <f t="shared" si="44"/>
        <v>0.06396424803</v>
      </c>
      <c r="E26" s="277">
        <f t="shared" si="45"/>
        <v>569187.6667</v>
      </c>
      <c r="F26" s="278" t="str">
        <f t="shared" si="46"/>
        <v>#DIV/0!</v>
      </c>
      <c r="G26" s="283">
        <f>HO!D98</f>
        <v>246613.5</v>
      </c>
      <c r="H26" s="229"/>
      <c r="I26" s="232">
        <f>HO!F98</f>
        <v>737.5</v>
      </c>
      <c r="J26" s="387"/>
      <c r="K26" s="275">
        <f t="shared" si="47"/>
        <v>4563576.49</v>
      </c>
      <c r="L26" s="276">
        <f t="shared" si="48"/>
        <v>0.06068486674</v>
      </c>
      <c r="M26" s="277">
        <f t="shared" si="49"/>
        <v>568450.1667</v>
      </c>
      <c r="N26" s="278" t="str">
        <f t="shared" si="50"/>
        <v>#DIV/0!</v>
      </c>
      <c r="O26" s="283">
        <f>'The Table'!D99+'The Table'!D106+'The Table'!D112+'The Table'!D114+'The Table'!D116+'The Table'!D118+'The Table'!D120</f>
        <v>1163565.597</v>
      </c>
      <c r="P26" s="284">
        <f t="shared" si="51"/>
        <v>0.05668543249</v>
      </c>
      <c r="Q26" s="232">
        <f>'The Table'!F99</f>
        <v>184154.5833</v>
      </c>
      <c r="R26" s="285" t="str">
        <f t="shared" si="52"/>
        <v>#DIV/0!</v>
      </c>
      <c r="S26" s="283">
        <f>Iktara!D93</f>
        <v>125277</v>
      </c>
      <c r="T26" s="284">
        <f t="shared" si="53"/>
        <v>0.1457136277</v>
      </c>
      <c r="U26" s="280">
        <f>Iktara!F93</f>
        <v>0</v>
      </c>
      <c r="V26" s="285" t="str">
        <f t="shared" si="54"/>
        <v>#DIV/0!</v>
      </c>
      <c r="W26" s="283">
        <f>'Mg St Colaba'!D111</f>
        <v>667797.9167</v>
      </c>
      <c r="X26" s="284">
        <f t="shared" si="55"/>
        <v>0.05196789865</v>
      </c>
      <c r="Y26" s="232" t="str">
        <f>'Mg St Colaba'!F111</f>
        <v/>
      </c>
      <c r="Z26" s="285" t="str">
        <f t="shared" si="56"/>
        <v>#DIV/0!</v>
      </c>
      <c r="AA26" s="283">
        <f>'Mg St LP'!D114</f>
        <v>327269.25</v>
      </c>
      <c r="AB26" s="284">
        <f t="shared" si="57"/>
        <v>0.03328510642</v>
      </c>
      <c r="AC26" s="232">
        <f>'Mg St LP'!F114</f>
        <v>15522.25</v>
      </c>
      <c r="AD26" s="285" t="str">
        <f t="shared" si="58"/>
        <v>#DIV/0!</v>
      </c>
      <c r="AE26" s="283">
        <f>'Mg St Bandra'!D114</f>
        <v>633437.0933</v>
      </c>
      <c r="AF26" s="284">
        <f t="shared" si="59"/>
        <v>0.03651742217</v>
      </c>
      <c r="AG26" s="232">
        <f>'Mg St Bandra'!F114</f>
        <v>133043</v>
      </c>
      <c r="AH26" s="285" t="str">
        <f t="shared" si="60"/>
        <v>#DIV/0!</v>
      </c>
      <c r="AI26" s="283">
        <f>'MSK Events'!D107</f>
        <v>862863.0067</v>
      </c>
      <c r="AJ26" s="284" t="str">
        <f t="shared" si="61"/>
        <v>#DIV/0!</v>
      </c>
      <c r="AK26" s="232">
        <f>'MSK Events'!F107</f>
        <v>5934.916667</v>
      </c>
      <c r="AL26" s="285" t="str">
        <f t="shared" si="62"/>
        <v>#DIV/0!</v>
      </c>
      <c r="AM26" s="283">
        <f>MSBC!D99</f>
        <v>60617.26333</v>
      </c>
      <c r="AN26" s="284">
        <f t="shared" si="63"/>
        <v>0.1187340307</v>
      </c>
      <c r="AO26" s="232">
        <f>MSBC!F99</f>
        <v>17163.33333</v>
      </c>
      <c r="AP26" s="286" t="str">
        <f t="shared" si="64"/>
        <v>#DIV/0!</v>
      </c>
      <c r="AQ26" s="287">
        <f>Kaspers!D104</f>
        <v>630713.3633</v>
      </c>
      <c r="AR26" s="229"/>
      <c r="AS26" s="232">
        <f>Kaspers!F104</f>
        <v>212632.0833</v>
      </c>
      <c r="AT26" s="281"/>
      <c r="AU26" s="283">
        <f>'MSBC Andheri'!D110</f>
        <v>8100</v>
      </c>
      <c r="AV26" s="229"/>
      <c r="AW26" s="232">
        <f>'MSBC Andheri'!F110</f>
        <v>0</v>
      </c>
      <c r="AX26" s="387"/>
      <c r="AY26" s="287">
        <f>'MSBC Dahisar'!D97</f>
        <v>8100</v>
      </c>
      <c r="AZ26" s="229"/>
      <c r="BA26" s="232">
        <f>'MSBC Dahisar'!F97</f>
        <v>0</v>
      </c>
      <c r="BB26" s="281"/>
      <c r="BC26" s="283">
        <f>'MSBC Juhu  Goregoan'!D110</f>
        <v>0</v>
      </c>
      <c r="BD26" s="229"/>
      <c r="BE26" s="232">
        <f>'MSBC Juhu  Goregoan'!F110</f>
        <v>0</v>
      </c>
      <c r="BF26" s="387"/>
      <c r="BG26" s="287">
        <f>'LOUD MOUTH'!D96</f>
        <v>75836</v>
      </c>
      <c r="BH26" s="229"/>
      <c r="BI26" s="232">
        <f>'LOUD MOUTH'!F96</f>
        <v>0</v>
      </c>
      <c r="BJ26" s="281"/>
    </row>
    <row r="27" ht="15.75" customHeight="1">
      <c r="B27" s="274" t="s">
        <v>41</v>
      </c>
      <c r="C27" s="275">
        <f t="shared" si="43"/>
        <v>177204</v>
      </c>
      <c r="D27" s="276">
        <f t="shared" si="44"/>
        <v>0.002356397696</v>
      </c>
      <c r="E27" s="277">
        <f t="shared" si="45"/>
        <v>18270</v>
      </c>
      <c r="F27" s="278" t="str">
        <f t="shared" si="46"/>
        <v>#DIV/0!</v>
      </c>
      <c r="G27" s="283">
        <f>HO!D113</f>
        <v>140349</v>
      </c>
      <c r="H27" s="229"/>
      <c r="I27" s="232">
        <f>HO!F113</f>
        <v>0</v>
      </c>
      <c r="J27" s="387"/>
      <c r="K27" s="275">
        <f t="shared" si="47"/>
        <v>36855</v>
      </c>
      <c r="L27" s="276">
        <f t="shared" si="48"/>
        <v>0.0004900850832</v>
      </c>
      <c r="M27" s="277">
        <f t="shared" si="49"/>
        <v>18270</v>
      </c>
      <c r="N27" s="278" t="str">
        <f t="shared" si="50"/>
        <v>#DIV/0!</v>
      </c>
      <c r="O27" s="283">
        <f>'The Table'!D122</f>
        <v>8260</v>
      </c>
      <c r="P27" s="284">
        <f t="shared" si="51"/>
        <v>0.000402402472</v>
      </c>
      <c r="Q27" s="232">
        <f>'The Table'!F122</f>
        <v>0</v>
      </c>
      <c r="R27" s="285" t="str">
        <f t="shared" si="52"/>
        <v>#DIV/0!</v>
      </c>
      <c r="S27" s="283">
        <f>Iktara!D106</f>
        <v>0</v>
      </c>
      <c r="T27" s="284">
        <f t="shared" si="53"/>
        <v>0</v>
      </c>
      <c r="U27" s="280">
        <f>Iktara!F106</f>
        <v>0</v>
      </c>
      <c r="V27" s="285" t="str">
        <f t="shared" si="54"/>
        <v>#DIV/0!</v>
      </c>
      <c r="W27" s="283">
        <f>'Mg St Colaba'!D127</f>
        <v>10325</v>
      </c>
      <c r="X27" s="284">
        <f t="shared" si="55"/>
        <v>0.0008034894092</v>
      </c>
      <c r="Y27" s="232" t="str">
        <f>'Mg St Colaba'!F127</f>
        <v/>
      </c>
      <c r="Z27" s="285" t="str">
        <f t="shared" si="56"/>
        <v>#DIV/0!</v>
      </c>
      <c r="AA27" s="283">
        <f>'Mg St LP'!D130</f>
        <v>0</v>
      </c>
      <c r="AB27" s="284">
        <f t="shared" si="57"/>
        <v>0</v>
      </c>
      <c r="AC27" s="280">
        <f>'Mg St LP'!F130</f>
        <v>0</v>
      </c>
      <c r="AD27" s="285" t="str">
        <f t="shared" si="58"/>
        <v>#DIV/0!</v>
      </c>
      <c r="AE27" s="283">
        <f>'Mg St Bandra'!D131</f>
        <v>10010</v>
      </c>
      <c r="AF27" s="284">
        <f t="shared" si="59"/>
        <v>0.0005770729244</v>
      </c>
      <c r="AG27" s="232">
        <f>'Mg St Bandra'!F131</f>
        <v>10010</v>
      </c>
      <c r="AH27" s="285" t="str">
        <f t="shared" si="60"/>
        <v>#DIV/0!</v>
      </c>
      <c r="AI27" s="283">
        <f>'MSK Events'!D125</f>
        <v>0</v>
      </c>
      <c r="AJ27" s="284" t="str">
        <f t="shared" si="61"/>
        <v>#DIV/0!</v>
      </c>
      <c r="AK27" s="232">
        <f>'MSK Events'!F125</f>
        <v>0</v>
      </c>
      <c r="AL27" s="285" t="str">
        <f t="shared" si="62"/>
        <v>#DIV/0!</v>
      </c>
      <c r="AM27" s="283">
        <f>MSBC!D115</f>
        <v>0</v>
      </c>
      <c r="AN27" s="284">
        <f t="shared" si="63"/>
        <v>0</v>
      </c>
      <c r="AO27" s="232">
        <f>MSBC!F115</f>
        <v>0</v>
      </c>
      <c r="AP27" s="286" t="str">
        <f t="shared" si="64"/>
        <v>#DIV/0!</v>
      </c>
      <c r="AQ27" s="287">
        <f>Kaspers!D127</f>
        <v>8260</v>
      </c>
      <c r="AR27" s="229"/>
      <c r="AS27" s="232">
        <f>Kaspers!F127</f>
        <v>8260</v>
      </c>
      <c r="AT27" s="281"/>
      <c r="AU27" s="283">
        <f>'MSBC Andheri'!D125</f>
        <v>0</v>
      </c>
      <c r="AV27" s="229"/>
      <c r="AW27" s="232">
        <f>'MSBC Andheri'!F125</f>
        <v>0</v>
      </c>
      <c r="AX27" s="387"/>
      <c r="AY27" s="287">
        <f>'MSBC Dahisar'!D112</f>
        <v>0</v>
      </c>
      <c r="AZ27" s="229"/>
      <c r="BA27" s="232">
        <f>'MSBC Dahisar'!F112</f>
        <v>0</v>
      </c>
      <c r="BB27" s="281"/>
      <c r="BC27" s="283">
        <f>'MSBC Juhu  Goregoan'!D125</f>
        <v>0</v>
      </c>
      <c r="BD27" s="229"/>
      <c r="BE27" s="232">
        <f>'MSBC Juhu  Goregoan'!F125</f>
        <v>0</v>
      </c>
      <c r="BF27" s="387"/>
      <c r="BG27" s="287">
        <f>'LOUD MOUTH'!D112</f>
        <v>0</v>
      </c>
      <c r="BH27" s="229"/>
      <c r="BI27" s="232">
        <f>'LOUD MOUTH'!F112</f>
        <v>0</v>
      </c>
      <c r="BJ27" s="281"/>
    </row>
    <row r="28" ht="15.75" customHeight="1">
      <c r="B28" s="289" t="s">
        <v>42</v>
      </c>
      <c r="C28" s="290">
        <f t="shared" si="43"/>
        <v>-1645081.59</v>
      </c>
      <c r="D28" s="291">
        <f t="shared" si="44"/>
        <v>-0.02187572779</v>
      </c>
      <c r="E28" s="292">
        <f t="shared" si="45"/>
        <v>0</v>
      </c>
      <c r="F28" s="293" t="str">
        <f t="shared" si="46"/>
        <v>#DIV/0!</v>
      </c>
      <c r="G28" s="297">
        <f>HO!D117</f>
        <v>327777.41</v>
      </c>
      <c r="H28" s="364"/>
      <c r="I28" s="295">
        <f>HO!F117</f>
        <v>0</v>
      </c>
      <c r="J28" s="406"/>
      <c r="K28" s="290">
        <f t="shared" si="47"/>
        <v>-1972859</v>
      </c>
      <c r="L28" s="291">
        <f t="shared" si="48"/>
        <v>-0.02623439878</v>
      </c>
      <c r="M28" s="277">
        <f t="shared" si="49"/>
        <v>0</v>
      </c>
      <c r="N28" s="293" t="str">
        <f t="shared" si="50"/>
        <v>#DIV/0!</v>
      </c>
      <c r="O28" s="297">
        <f>'The Table'!D126</f>
        <v>0</v>
      </c>
      <c r="P28" s="366">
        <f t="shared" si="51"/>
        <v>0</v>
      </c>
      <c r="Q28" s="295">
        <f>'The Table'!F126</f>
        <v>0</v>
      </c>
      <c r="R28" s="367" t="str">
        <f t="shared" si="52"/>
        <v>#DIV/0!</v>
      </c>
      <c r="S28" s="297">
        <f>Iktara!D110</f>
        <v>0</v>
      </c>
      <c r="T28" s="366">
        <f t="shared" si="53"/>
        <v>0</v>
      </c>
      <c r="U28" s="295">
        <f>Iktara!F110</f>
        <v>0</v>
      </c>
      <c r="V28" s="367" t="str">
        <f t="shared" si="54"/>
        <v>#DIV/0!</v>
      </c>
      <c r="W28" s="297">
        <f>'Mg St Colaba'!D131</f>
        <v>0</v>
      </c>
      <c r="X28" s="366">
        <f t="shared" si="55"/>
        <v>0</v>
      </c>
      <c r="Y28" s="295" t="str">
        <f>'Mg St Colaba'!F131</f>
        <v/>
      </c>
      <c r="Z28" s="367" t="str">
        <f t="shared" si="56"/>
        <v>#DIV/0!</v>
      </c>
      <c r="AA28" s="297">
        <f>'Mg St LP'!D134</f>
        <v>0</v>
      </c>
      <c r="AB28" s="366">
        <f t="shared" si="57"/>
        <v>0</v>
      </c>
      <c r="AC28" s="295">
        <f>'Mg St LP'!F134</f>
        <v>0</v>
      </c>
      <c r="AD28" s="367" t="str">
        <f t="shared" si="58"/>
        <v>#DIV/0!</v>
      </c>
      <c r="AE28" s="297">
        <f>'Mg St Bandra'!D135</f>
        <v>0</v>
      </c>
      <c r="AF28" s="366">
        <f t="shared" si="59"/>
        <v>0</v>
      </c>
      <c r="AG28" s="295">
        <f>'Mg St Bandra'!F135</f>
        <v>0</v>
      </c>
      <c r="AH28" s="367" t="str">
        <f t="shared" si="60"/>
        <v>#DIV/0!</v>
      </c>
      <c r="AI28" s="297">
        <f>'MSK Events'!D129</f>
        <v>0</v>
      </c>
      <c r="AJ28" s="366" t="str">
        <f t="shared" si="61"/>
        <v>#DIV/0!</v>
      </c>
      <c r="AK28" s="295">
        <f>'MSK Events'!F129</f>
        <v>0</v>
      </c>
      <c r="AL28" s="367" t="str">
        <f t="shared" si="62"/>
        <v>#DIV/0!</v>
      </c>
      <c r="AM28" s="297">
        <f>MSBC!D119</f>
        <v>-1983159</v>
      </c>
      <c r="AN28" s="366">
        <f t="shared" si="63"/>
        <v>-3.884511584</v>
      </c>
      <c r="AO28" s="295">
        <f>MSBC!F119</f>
        <v>0</v>
      </c>
      <c r="AP28" s="368" t="str">
        <f t="shared" si="64"/>
        <v>#DIV/0!</v>
      </c>
      <c r="AQ28" s="369">
        <f>Kaspers!D131</f>
        <v>0</v>
      </c>
      <c r="AR28" s="364"/>
      <c r="AS28" s="295">
        <f>Kaspers!F131</f>
        <v>0</v>
      </c>
      <c r="AT28" s="365"/>
      <c r="AU28" s="297">
        <f>'MSBC Andheri'!D129</f>
        <v>0</v>
      </c>
      <c r="AV28" s="364"/>
      <c r="AW28" s="295">
        <f>'MSBC Andheri'!F129</f>
        <v>0</v>
      </c>
      <c r="AX28" s="406"/>
      <c r="AY28" s="369">
        <f>'MSBC Dahisar'!D116</f>
        <v>0</v>
      </c>
      <c r="AZ28" s="364"/>
      <c r="BA28" s="295">
        <f>'MSBC Dahisar'!F116</f>
        <v>0</v>
      </c>
      <c r="BB28" s="365"/>
      <c r="BC28" s="297">
        <f>'MSBC Juhu  Goregoan'!D129</f>
        <v>0</v>
      </c>
      <c r="BD28" s="364"/>
      <c r="BE28" s="295">
        <f>'MSBC Juhu  Goregoan'!F129</f>
        <v>0</v>
      </c>
      <c r="BF28" s="406"/>
      <c r="BG28" s="369">
        <f>'LOUD MOUTH'!D117</f>
        <v>10300</v>
      </c>
      <c r="BH28" s="364"/>
      <c r="BI28" s="295">
        <f>'LOUD MOUTH'!F117</f>
        <v>0</v>
      </c>
      <c r="BJ28" s="365"/>
    </row>
    <row r="29" ht="15.75" customHeight="1">
      <c r="B29" s="299" t="s">
        <v>43</v>
      </c>
      <c r="C29" s="164">
        <f>SUM(C19:C28)</f>
        <v>42748223.22</v>
      </c>
      <c r="D29" s="300">
        <f t="shared" si="44"/>
        <v>0.5684511337</v>
      </c>
      <c r="E29" s="319">
        <f t="shared" si="45"/>
        <v>4631291.25</v>
      </c>
      <c r="F29" s="301" t="str">
        <f t="shared" si="46"/>
        <v>#DIV/0!</v>
      </c>
      <c r="G29" s="324">
        <f>SUM(G19:G28)</f>
        <v>6000422.497</v>
      </c>
      <c r="H29" s="418"/>
      <c r="I29" s="319">
        <f>SUM(I19:I28)</f>
        <v>53837.5</v>
      </c>
      <c r="J29" s="419"/>
      <c r="K29" s="164">
        <f>SUM(K19:K28)</f>
        <v>36747800.73</v>
      </c>
      <c r="L29" s="300">
        <f t="shared" si="48"/>
        <v>0.4886595842</v>
      </c>
      <c r="M29" s="319">
        <f>SUM(M19:M28)</f>
        <v>4577453.75</v>
      </c>
      <c r="N29" s="301" t="str">
        <f t="shared" si="50"/>
        <v>#DIV/0!</v>
      </c>
      <c r="O29" s="324">
        <f>SUM(O19:O28)</f>
        <v>9675194.437</v>
      </c>
      <c r="P29" s="300">
        <f t="shared" si="51"/>
        <v>0.4713465082</v>
      </c>
      <c r="Q29" s="319">
        <f>SUM(Q19:Q28)</f>
        <v>2267621.583</v>
      </c>
      <c r="R29" s="301" t="str">
        <f t="shared" si="52"/>
        <v>#DIV/0!</v>
      </c>
      <c r="S29" s="324">
        <f>SUM(S19:S28)</f>
        <v>844727.7</v>
      </c>
      <c r="T29" s="300">
        <f t="shared" si="53"/>
        <v>0.9825294156</v>
      </c>
      <c r="U29" s="319">
        <f>SUM(U19:U28)</f>
        <v>76212</v>
      </c>
      <c r="V29" s="301" t="str">
        <f t="shared" si="54"/>
        <v>#DIV/0!</v>
      </c>
      <c r="W29" s="324">
        <f>SUM(W19:W28)</f>
        <v>6719058.353</v>
      </c>
      <c r="X29" s="300">
        <f t="shared" si="55"/>
        <v>0.5228757605</v>
      </c>
      <c r="Y29" s="319">
        <f>SUM(Y19:Y28)</f>
        <v>1314963</v>
      </c>
      <c r="Z29" s="301" t="str">
        <f t="shared" si="56"/>
        <v>#DIV/0!</v>
      </c>
      <c r="AA29" s="324">
        <f>SUM(AA19:AA28)</f>
        <v>4245149.833</v>
      </c>
      <c r="AB29" s="300">
        <f t="shared" si="57"/>
        <v>0.4317553939</v>
      </c>
      <c r="AC29" s="319">
        <f>SUM(AC19:AC28)</f>
        <v>65342.58333</v>
      </c>
      <c r="AD29" s="301" t="str">
        <f t="shared" si="58"/>
        <v>#DIV/0!</v>
      </c>
      <c r="AE29" s="324">
        <f>SUM(AE19:AE28)</f>
        <v>7157551.967</v>
      </c>
      <c r="AF29" s="300">
        <f t="shared" si="59"/>
        <v>0.4126303142</v>
      </c>
      <c r="AG29" s="319">
        <f>SUM(AG19:AG28)</f>
        <v>220898.3333</v>
      </c>
      <c r="AH29" s="301" t="str">
        <f t="shared" si="60"/>
        <v>#DIV/0!</v>
      </c>
      <c r="AI29" s="324">
        <f>SUM(AI19:AI28)</f>
        <v>1244676.257</v>
      </c>
      <c r="AJ29" s="418"/>
      <c r="AK29" s="319">
        <f>SUM(AK19:AK28)</f>
        <v>103672.1667</v>
      </c>
      <c r="AL29" s="420"/>
      <c r="AM29" s="324">
        <f>SUM(AM19:AM28)</f>
        <v>-0.1133333333</v>
      </c>
      <c r="AN29" s="300">
        <f t="shared" si="63"/>
        <v>-0.0000002219916033</v>
      </c>
      <c r="AO29" s="319">
        <f>SUM(AO19:AO28)</f>
        <v>267286.3333</v>
      </c>
      <c r="AP29" s="392" t="str">
        <f t="shared" si="64"/>
        <v>#DIV/0!</v>
      </c>
      <c r="AQ29" s="318">
        <f>SUM(AQ19:AQ28)</f>
        <v>5737018.263</v>
      </c>
      <c r="AR29" s="418"/>
      <c r="AS29" s="319">
        <f>SUM(AS19:AS28)</f>
        <v>261457.75</v>
      </c>
      <c r="AT29" s="420"/>
      <c r="AU29" s="324">
        <f>SUM(AU19:AU28)</f>
        <v>198214.61</v>
      </c>
      <c r="AV29" s="418"/>
      <c r="AW29" s="319">
        <f>SUM(AW19:AW28)</f>
        <v>0</v>
      </c>
      <c r="AX29" s="419"/>
      <c r="AY29" s="318">
        <f>SUM(AY19:AY28)</f>
        <v>122825.39</v>
      </c>
      <c r="AZ29" s="418"/>
      <c r="BA29" s="319">
        <f>SUM(BA19:BA28)</f>
        <v>0</v>
      </c>
      <c r="BB29" s="420"/>
      <c r="BC29" s="324">
        <f>SUM(BC19:BC28)</f>
        <v>128088.97</v>
      </c>
      <c r="BD29" s="418"/>
      <c r="BE29" s="319">
        <f>SUM(BE19:BE28)</f>
        <v>0</v>
      </c>
      <c r="BF29" s="419"/>
      <c r="BG29" s="318">
        <f>SUM(BG19:BG28)</f>
        <v>675295.06</v>
      </c>
      <c r="BH29" s="418"/>
      <c r="BI29" s="319">
        <f>SUM(BI19:BI28)</f>
        <v>0</v>
      </c>
      <c r="BJ29" s="420"/>
    </row>
    <row r="30" ht="15.75" customHeight="1">
      <c r="B30" s="370"/>
      <c r="C30" s="371"/>
      <c r="D30" s="372"/>
      <c r="E30" s="372"/>
      <c r="F30" s="373"/>
      <c r="G30" s="310"/>
      <c r="H30" s="311"/>
      <c r="I30" s="312"/>
      <c r="J30" s="316"/>
      <c r="K30" s="371"/>
      <c r="L30" s="372"/>
      <c r="M30" s="375"/>
      <c r="N30" s="373"/>
      <c r="O30" s="310"/>
      <c r="P30" s="311"/>
      <c r="Q30" s="311"/>
      <c r="R30" s="313"/>
      <c r="S30" s="310"/>
      <c r="T30" s="311"/>
      <c r="U30" s="311"/>
      <c r="V30" s="313"/>
      <c r="W30" s="310"/>
      <c r="X30" s="311"/>
      <c r="Y30" s="311"/>
      <c r="Z30" s="313"/>
      <c r="AA30" s="310"/>
      <c r="AB30" s="311"/>
      <c r="AC30" s="311"/>
      <c r="AD30" s="313"/>
      <c r="AE30" s="310"/>
      <c r="AF30" s="311"/>
      <c r="AG30" s="311"/>
      <c r="AH30" s="313"/>
      <c r="AI30" s="310"/>
      <c r="AJ30" s="311"/>
      <c r="AK30" s="311"/>
      <c r="AL30" s="313"/>
      <c r="AM30" s="310"/>
      <c r="AN30" s="311"/>
      <c r="AO30" s="311"/>
      <c r="AP30" s="316"/>
      <c r="AQ30" s="317"/>
      <c r="AR30" s="311"/>
      <c r="AS30" s="311"/>
      <c r="AT30" s="313"/>
      <c r="AU30" s="376"/>
      <c r="AV30" s="377"/>
      <c r="AW30" s="378">
        <f>AW17-AW29</f>
        <v>0</v>
      </c>
      <c r="AX30" s="423"/>
      <c r="AY30" s="424"/>
      <c r="AZ30" s="377"/>
      <c r="BA30" s="378">
        <f>BA17-BA29</f>
        <v>0</v>
      </c>
      <c r="BB30" s="379"/>
      <c r="BC30" s="376"/>
      <c r="BD30" s="377"/>
      <c r="BE30" s="378">
        <f>BE17-BE29</f>
        <v>0</v>
      </c>
      <c r="BF30" s="423"/>
      <c r="BG30" s="424"/>
      <c r="BH30" s="377"/>
      <c r="BI30" s="378">
        <f>BI17-BI29</f>
        <v>0</v>
      </c>
      <c r="BJ30" s="379"/>
    </row>
    <row r="31" ht="15.75" customHeight="1">
      <c r="B31" s="299" t="s">
        <v>44</v>
      </c>
      <c r="C31" s="164">
        <f>C17-C29</f>
        <v>4018728.315</v>
      </c>
      <c r="D31" s="300">
        <f>C31/C$10</f>
        <v>0.05343966356</v>
      </c>
      <c r="E31" s="319">
        <f>E17-E29</f>
        <v>-4631291.25</v>
      </c>
      <c r="F31" s="301" t="str">
        <f>E31/E$10</f>
        <v>#DIV/0!</v>
      </c>
      <c r="G31" s="324">
        <f>G17-G29</f>
        <v>-6000422.497</v>
      </c>
      <c r="H31" s="418"/>
      <c r="I31" s="319">
        <f>I17-I29</f>
        <v>-53837.5</v>
      </c>
      <c r="J31" s="419"/>
      <c r="K31" s="318">
        <f>K17-K29</f>
        <v>10019150.81</v>
      </c>
      <c r="L31" s="300">
        <f>K31/K$10</f>
        <v>0.1332312131</v>
      </c>
      <c r="M31" s="319">
        <f>M17-M29</f>
        <v>-4577453.75</v>
      </c>
      <c r="N31" s="301" t="str">
        <f>M31/M$10</f>
        <v>#DIV/0!</v>
      </c>
      <c r="O31" s="324">
        <f>O17-O29</f>
        <v>3740422.056</v>
      </c>
      <c r="P31" s="300">
        <f>O31/O$10</f>
        <v>0.1822221648</v>
      </c>
      <c r="Q31" s="319">
        <f>Q17-Q29</f>
        <v>-2267621.583</v>
      </c>
      <c r="R31" s="301" t="str">
        <f>Q31/Q$10</f>
        <v>#DIV/0!</v>
      </c>
      <c r="S31" s="324">
        <f>S17-S29</f>
        <v>-314890.1304</v>
      </c>
      <c r="T31" s="300">
        <f>S31/S$10</f>
        <v>-0.3662586368</v>
      </c>
      <c r="U31" s="319">
        <f>U17-U29</f>
        <v>-76212</v>
      </c>
      <c r="V31" s="301" t="str">
        <f>U31/U$10</f>
        <v>#DIV/0!</v>
      </c>
      <c r="W31" s="324">
        <f>W17-W29</f>
        <v>1086896.514</v>
      </c>
      <c r="X31" s="300">
        <f>W31/W$10</f>
        <v>0.08458206661</v>
      </c>
      <c r="Y31" s="319">
        <f>Y17-Y29</f>
        <v>-1314963</v>
      </c>
      <c r="Z31" s="301" t="str">
        <f>Y31/Y$10</f>
        <v>#DIV/0!</v>
      </c>
      <c r="AA31" s="324">
        <f>AA17-AA29</f>
        <v>2060232.96</v>
      </c>
      <c r="AB31" s="300">
        <f>AA31/AA$10</f>
        <v>0.2095371726</v>
      </c>
      <c r="AC31" s="319">
        <f>AC17-AC29</f>
        <v>-65342.58333</v>
      </c>
      <c r="AD31" s="301" t="str">
        <f>AC31/AC$10</f>
        <v>#DIV/0!</v>
      </c>
      <c r="AE31" s="324">
        <f>AE17-AE29</f>
        <v>4433738.52</v>
      </c>
      <c r="AF31" s="300">
        <f>AE31/AE$10</f>
        <v>0.2556034419</v>
      </c>
      <c r="AG31" s="319">
        <f>AG17-AG29</f>
        <v>-220898.3333</v>
      </c>
      <c r="AH31" s="301" t="str">
        <f>AG31/AG$10</f>
        <v>#DIV/0!</v>
      </c>
      <c r="AI31" s="324">
        <f>AI17-AI29</f>
        <v>-1244676.257</v>
      </c>
      <c r="AJ31" s="418"/>
      <c r="AK31" s="319">
        <f>AK17-AK29</f>
        <v>-103672.1667</v>
      </c>
      <c r="AL31" s="420"/>
      <c r="AM31" s="324">
        <f>AM17-AM29</f>
        <v>-403003.9146</v>
      </c>
      <c r="AN31" s="300">
        <f>AM31/AM$10</f>
        <v>-0.7893836927</v>
      </c>
      <c r="AO31" s="319">
        <f>AO17-AO29</f>
        <v>-267286.3333</v>
      </c>
      <c r="AP31" s="392" t="str">
        <f>AO31/AO$10</f>
        <v>#DIV/0!</v>
      </c>
      <c r="AQ31" s="318">
        <f>AQ17-AQ29</f>
        <v>1487372.844</v>
      </c>
      <c r="AR31" s="418"/>
      <c r="AS31" s="319">
        <f>AS17-AS29</f>
        <v>-261457.75</v>
      </c>
      <c r="AT31" s="420"/>
      <c r="AU31" s="324">
        <f t="shared" ref="AU31:BJ31" si="65">AU17-AU29</f>
        <v>-205367.9718</v>
      </c>
      <c r="AV31" s="319">
        <f t="shared" si="65"/>
        <v>0</v>
      </c>
      <c r="AW31" s="319">
        <f t="shared" si="65"/>
        <v>0</v>
      </c>
      <c r="AX31" s="421">
        <f t="shared" si="65"/>
        <v>0</v>
      </c>
      <c r="AY31" s="318">
        <f t="shared" si="65"/>
        <v>-163764.1185</v>
      </c>
      <c r="AZ31" s="319">
        <f t="shared" si="65"/>
        <v>0</v>
      </c>
      <c r="BA31" s="319">
        <f t="shared" si="65"/>
        <v>0</v>
      </c>
      <c r="BB31" s="422">
        <f t="shared" si="65"/>
        <v>0</v>
      </c>
      <c r="BC31" s="324">
        <f t="shared" si="65"/>
        <v>-230104.9688</v>
      </c>
      <c r="BD31" s="319">
        <f t="shared" si="65"/>
        <v>0</v>
      </c>
      <c r="BE31" s="319">
        <f t="shared" si="65"/>
        <v>0</v>
      </c>
      <c r="BF31" s="421">
        <f t="shared" si="65"/>
        <v>0</v>
      </c>
      <c r="BG31" s="318">
        <f t="shared" si="65"/>
        <v>-227704.7209</v>
      </c>
      <c r="BH31" s="319">
        <f t="shared" si="65"/>
        <v>0</v>
      </c>
      <c r="BI31" s="319">
        <f t="shared" si="65"/>
        <v>0</v>
      </c>
      <c r="BJ31" s="422">
        <f t="shared" si="65"/>
        <v>0</v>
      </c>
    </row>
    <row r="32" ht="15.75" customHeight="1"/>
    <row r="33" ht="15.75" customHeight="1">
      <c r="C33" s="121">
        <f>+K33+G33</f>
        <v>4018728.315</v>
      </c>
      <c r="G33" s="121">
        <f>HO!D123</f>
        <v>-6000422.497</v>
      </c>
      <c r="H33" s="121"/>
      <c r="I33" s="121"/>
      <c r="J33" s="125"/>
      <c r="K33" s="125">
        <f>SUM(O33:BJ33)</f>
        <v>10019150.81</v>
      </c>
      <c r="L33" s="121"/>
      <c r="M33" s="121"/>
      <c r="N33" s="121"/>
      <c r="O33" s="121">
        <f>'The Table'!D132</f>
        <v>3740422.056</v>
      </c>
      <c r="P33" s="121"/>
      <c r="Q33" s="121"/>
      <c r="R33" s="121"/>
      <c r="S33" s="121">
        <f>Iktara!D117</f>
        <v>-314890.1304</v>
      </c>
      <c r="T33" s="121"/>
      <c r="U33" s="121"/>
      <c r="V33" s="121"/>
      <c r="W33" s="121">
        <f>'Mg St Colaba'!D137</f>
        <v>1086896.514</v>
      </c>
      <c r="X33" s="121"/>
      <c r="Y33" s="121"/>
      <c r="Z33" s="121"/>
      <c r="AA33" s="121">
        <f>'Mg St LP'!D141</f>
        <v>2060232.96</v>
      </c>
      <c r="AB33" s="121"/>
      <c r="AC33" s="121"/>
      <c r="AD33" s="121"/>
      <c r="AE33" s="121">
        <f>'Mg St Bandra'!D142</f>
        <v>4433738.52</v>
      </c>
      <c r="AF33" s="121"/>
      <c r="AG33" s="121"/>
      <c r="AH33" s="121"/>
      <c r="AI33" s="121">
        <f>'MSK Events'!D136</f>
        <v>-1244676.257</v>
      </c>
      <c r="AJ33" s="121"/>
      <c r="AK33" s="121"/>
      <c r="AL33" s="121"/>
      <c r="AM33" s="121">
        <f>MSBC!D125</f>
        <v>-403003.9146</v>
      </c>
      <c r="AN33" s="121"/>
      <c r="AO33" s="121"/>
      <c r="AP33" s="121"/>
      <c r="AQ33" s="121">
        <f>Kaspers!D138</f>
        <v>1487372.844</v>
      </c>
      <c r="AR33" s="121"/>
      <c r="AS33" s="121"/>
      <c r="AT33" s="121"/>
      <c r="AU33" s="121">
        <f>'MSBC Andheri'!D136</f>
        <v>-205367.9718</v>
      </c>
      <c r="AV33" s="121"/>
      <c r="AW33" s="121"/>
      <c r="AX33" s="121"/>
      <c r="AY33" s="121">
        <f>'MSBC Dahisar'!D123</f>
        <v>-163764.1185</v>
      </c>
      <c r="AZ33" s="121"/>
      <c r="BA33" s="121"/>
      <c r="BB33" s="121"/>
      <c r="BC33" s="121">
        <f>'MSBC Juhu  Goregoan'!D135</f>
        <v>-230104.9688</v>
      </c>
      <c r="BD33" s="121"/>
      <c r="BE33" s="121"/>
      <c r="BF33" s="121"/>
      <c r="BG33" s="121">
        <f>'LOUD MOUTH'!D123</f>
        <v>-227704.7209</v>
      </c>
      <c r="BH33" s="121"/>
      <c r="BI33" s="121"/>
      <c r="BJ33" s="121"/>
    </row>
    <row r="34" ht="15.75" customHeight="1">
      <c r="G34" s="121"/>
      <c r="H34" s="121"/>
      <c r="I34" s="121"/>
      <c r="J34" s="125"/>
      <c r="K34" s="125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</row>
    <row r="35" ht="15.75" customHeight="1">
      <c r="C35" s="121">
        <f>+C31-C33</f>
        <v>-0.00000001024454832</v>
      </c>
      <c r="G35" s="121">
        <f>+G31-G33</f>
        <v>0</v>
      </c>
      <c r="H35" s="121"/>
      <c r="I35" s="121"/>
      <c r="J35" s="125"/>
      <c r="K35" s="121">
        <f>+K31-K33</f>
        <v>-0.00000001490116119</v>
      </c>
      <c r="L35" s="121"/>
      <c r="M35" s="121"/>
      <c r="N35" s="121"/>
      <c r="O35" s="121">
        <f>+O31-O33</f>
        <v>0.000000001862645149</v>
      </c>
      <c r="P35" s="121"/>
      <c r="Q35" s="121"/>
      <c r="R35" s="121"/>
      <c r="S35" s="121">
        <f>+S31-S33</f>
        <v>0</v>
      </c>
      <c r="T35" s="121"/>
      <c r="U35" s="121"/>
      <c r="V35" s="121"/>
      <c r="W35" s="121">
        <f>+W31-W33</f>
        <v>0</v>
      </c>
      <c r="X35" s="121"/>
      <c r="Y35" s="121"/>
      <c r="Z35" s="121"/>
      <c r="AA35" s="121">
        <f>+AA31-AA33</f>
        <v>0</v>
      </c>
      <c r="AB35" s="121"/>
      <c r="AC35" s="121"/>
      <c r="AD35" s="121"/>
      <c r="AE35" s="121">
        <f>+AE31-AE33</f>
        <v>0</v>
      </c>
      <c r="AF35" s="121"/>
      <c r="AG35" s="121"/>
      <c r="AH35" s="121"/>
      <c r="AI35" s="121">
        <f>+AI31-AI33</f>
        <v>0</v>
      </c>
      <c r="AJ35" s="121"/>
      <c r="AK35" s="121"/>
      <c r="AL35" s="121"/>
      <c r="AM35" s="121">
        <f>+AM31-AM33</f>
        <v>0</v>
      </c>
      <c r="AN35" s="121"/>
      <c r="AO35" s="121"/>
      <c r="AP35" s="121"/>
      <c r="AQ35" s="121">
        <f>+AQ31-AQ33</f>
        <v>0</v>
      </c>
      <c r="AR35" s="121"/>
      <c r="AS35" s="121"/>
      <c r="AT35" s="121"/>
      <c r="AU35" s="121">
        <f>+AU31-AU33</f>
        <v>0</v>
      </c>
      <c r="AV35" s="121"/>
      <c r="AW35" s="121"/>
      <c r="AX35" s="121"/>
      <c r="AY35" s="121">
        <f>+AY31-AY33</f>
        <v>0</v>
      </c>
      <c r="AZ35" s="121"/>
      <c r="BA35" s="121"/>
      <c r="BB35" s="121"/>
      <c r="BC35" s="121">
        <f>+BC31-BC33</f>
        <v>0</v>
      </c>
      <c r="BD35" s="121"/>
      <c r="BE35" s="121"/>
      <c r="BF35" s="121"/>
      <c r="BG35" s="121">
        <f>+BG31-BG33</f>
        <v>0</v>
      </c>
      <c r="BH35" s="121"/>
      <c r="BI35" s="121"/>
      <c r="BJ35" s="121"/>
    </row>
    <row r="36" ht="15.75" customHeight="1">
      <c r="J36" s="381"/>
      <c r="K36" s="12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E3:AH3"/>
    <mergeCell ref="AI3:AL3"/>
    <mergeCell ref="AM3:AP3"/>
    <mergeCell ref="AQ3:AT3"/>
    <mergeCell ref="AU3:AX3"/>
    <mergeCell ref="AY3:BB3"/>
    <mergeCell ref="BC3:BF3"/>
    <mergeCell ref="BG3:BJ3"/>
    <mergeCell ref="C3:F3"/>
    <mergeCell ref="G3:J3"/>
    <mergeCell ref="K3:N3"/>
    <mergeCell ref="O3:R3"/>
    <mergeCell ref="S3:V3"/>
    <mergeCell ref="W3:Z3"/>
    <mergeCell ref="AA3:AD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2.25"/>
    <col customWidth="1" min="4" max="4" width="12.38"/>
    <col customWidth="1" hidden="1" min="5" max="5" width="12.63"/>
    <col customWidth="1" hidden="1" min="6" max="6" width="13.88"/>
    <col customWidth="1" hidden="1" min="7" max="7" width="5.63"/>
    <col customWidth="1" hidden="1" min="8" max="8" width="8.88"/>
    <col customWidth="1" hidden="1" min="9" max="9" width="5.88"/>
    <col customWidth="1" min="10" max="10" width="11.13"/>
    <col customWidth="1" hidden="1" min="11" max="11" width="12.63"/>
    <col customWidth="1" hidden="1" min="12" max="12" width="13.88"/>
    <col customWidth="1" hidden="1" min="13" max="13" width="5.63"/>
    <col customWidth="1" hidden="1" min="14" max="14" width="8.88"/>
    <col customWidth="1" hidden="1" min="15" max="15" width="5.88"/>
    <col customWidth="1" min="16" max="16" width="12.38"/>
    <col customWidth="1" hidden="1" min="17" max="17" width="12.63"/>
    <col customWidth="1" hidden="1" min="18" max="18" width="13.88"/>
    <col customWidth="1" hidden="1" min="19" max="19" width="5.63"/>
    <col customWidth="1" hidden="1" min="20" max="20" width="8.88"/>
    <col customWidth="1" hidden="1" min="21" max="21" width="5.88"/>
  </cols>
  <sheetData>
    <row r="1" ht="15.75" customHeight="1">
      <c r="A1" s="425"/>
      <c r="B1" s="426" t="s">
        <v>0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</row>
    <row r="2" ht="15.75" customHeight="1">
      <c r="A2" s="425"/>
      <c r="B2" s="427" t="s">
        <v>164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</row>
    <row r="3" ht="15.75" customHeight="1">
      <c r="A3" s="425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</row>
    <row r="4" ht="15.75" customHeight="1">
      <c r="A4" s="425"/>
      <c r="B4" s="428" t="s">
        <v>165</v>
      </c>
      <c r="C4" s="428" t="s">
        <v>166</v>
      </c>
      <c r="D4" s="429" t="s">
        <v>167</v>
      </c>
      <c r="E4" s="6"/>
      <c r="F4" s="6"/>
      <c r="G4" s="6"/>
      <c r="H4" s="6"/>
      <c r="I4" s="430"/>
      <c r="J4" s="429" t="s">
        <v>168</v>
      </c>
      <c r="K4" s="6"/>
      <c r="L4" s="6"/>
      <c r="M4" s="6"/>
      <c r="N4" s="6"/>
      <c r="O4" s="430"/>
      <c r="P4" s="431" t="s">
        <v>169</v>
      </c>
      <c r="Q4" s="10"/>
      <c r="R4" s="10"/>
      <c r="S4" s="10"/>
      <c r="T4" s="10"/>
      <c r="U4" s="12"/>
    </row>
    <row r="5" ht="15.75" customHeight="1">
      <c r="A5" s="432"/>
      <c r="B5" s="433"/>
      <c r="C5" s="433"/>
      <c r="D5" s="434" t="s">
        <v>170</v>
      </c>
      <c r="E5" s="435" t="s">
        <v>18</v>
      </c>
      <c r="F5" s="434" t="s">
        <v>171</v>
      </c>
      <c r="G5" s="435" t="s">
        <v>18</v>
      </c>
      <c r="H5" s="434" t="s">
        <v>172</v>
      </c>
      <c r="I5" s="435" t="s">
        <v>18</v>
      </c>
      <c r="J5" s="434" t="s">
        <v>170</v>
      </c>
      <c r="K5" s="435" t="s">
        <v>18</v>
      </c>
      <c r="L5" s="434" t="s">
        <v>171</v>
      </c>
      <c r="M5" s="435" t="s">
        <v>18</v>
      </c>
      <c r="N5" s="434" t="s">
        <v>172</v>
      </c>
      <c r="O5" s="435" t="s">
        <v>18</v>
      </c>
      <c r="P5" s="436" t="s">
        <v>170</v>
      </c>
      <c r="Q5" s="436" t="s">
        <v>18</v>
      </c>
      <c r="R5" s="436" t="s">
        <v>171</v>
      </c>
      <c r="S5" s="436" t="s">
        <v>18</v>
      </c>
      <c r="T5" s="436" t="s">
        <v>172</v>
      </c>
      <c r="U5" s="436" t="s">
        <v>18</v>
      </c>
    </row>
    <row r="6" ht="15.75" hidden="1" customHeight="1">
      <c r="A6" s="425"/>
      <c r="B6" s="437" t="s">
        <v>173</v>
      </c>
      <c r="C6" s="438"/>
      <c r="D6" s="439"/>
      <c r="E6" s="440"/>
      <c r="F6" s="441"/>
      <c r="G6" s="440"/>
      <c r="H6" s="441"/>
      <c r="I6" s="440"/>
      <c r="J6" s="439"/>
      <c r="K6" s="440"/>
      <c r="L6" s="441"/>
      <c r="M6" s="440"/>
      <c r="N6" s="441"/>
      <c r="O6" s="440"/>
      <c r="P6" s="439"/>
      <c r="Q6" s="440"/>
      <c r="R6" s="441"/>
      <c r="S6" s="440"/>
      <c r="T6" s="441"/>
      <c r="U6" s="440"/>
    </row>
    <row r="7" ht="15.75" hidden="1" customHeight="1">
      <c r="A7" s="425"/>
      <c r="B7" s="442"/>
      <c r="C7" s="443" t="s">
        <v>174</v>
      </c>
      <c r="D7" s="444">
        <f>SUM(D8:D12)</f>
        <v>0</v>
      </c>
      <c r="E7" s="445"/>
      <c r="F7" s="444"/>
      <c r="G7" s="445"/>
      <c r="H7" s="444"/>
      <c r="I7" s="445"/>
      <c r="J7" s="444">
        <f>SUM(J8:J12)</f>
        <v>0</v>
      </c>
      <c r="K7" s="445"/>
      <c r="L7" s="444"/>
      <c r="M7" s="445"/>
      <c r="N7" s="444"/>
      <c r="O7" s="445"/>
      <c r="P7" s="444">
        <f>SUM(P8:P12)</f>
        <v>0</v>
      </c>
      <c r="Q7" s="445"/>
      <c r="R7" s="444"/>
      <c r="S7" s="445"/>
      <c r="T7" s="444"/>
      <c r="U7" s="445"/>
    </row>
    <row r="8" ht="15.75" hidden="1" customHeight="1">
      <c r="A8" s="425"/>
      <c r="B8" s="446" t="s">
        <v>23</v>
      </c>
      <c r="C8" s="447" t="s">
        <v>175</v>
      </c>
      <c r="D8" s="448">
        <v>0.0</v>
      </c>
      <c r="E8" s="449"/>
      <c r="F8" s="448"/>
      <c r="G8" s="449"/>
      <c r="H8" s="448"/>
      <c r="I8" s="449"/>
      <c r="J8" s="448">
        <v>0.0</v>
      </c>
      <c r="K8" s="449"/>
      <c r="L8" s="448"/>
      <c r="M8" s="449"/>
      <c r="N8" s="448"/>
      <c r="O8" s="449"/>
      <c r="P8" s="448">
        <v>0.0</v>
      </c>
      <c r="Q8" s="449"/>
      <c r="R8" s="448"/>
      <c r="S8" s="449"/>
      <c r="T8" s="448"/>
      <c r="U8" s="449"/>
    </row>
    <row r="9" ht="15.75" hidden="1" customHeight="1">
      <c r="A9" s="425"/>
      <c r="B9" s="450"/>
      <c r="C9" s="451" t="s">
        <v>176</v>
      </c>
      <c r="D9" s="452">
        <v>0.0</v>
      </c>
      <c r="E9" s="453"/>
      <c r="F9" s="452"/>
      <c r="G9" s="453"/>
      <c r="H9" s="452"/>
      <c r="I9" s="453"/>
      <c r="J9" s="452">
        <v>0.0</v>
      </c>
      <c r="K9" s="453"/>
      <c r="L9" s="452"/>
      <c r="M9" s="453"/>
      <c r="N9" s="452"/>
      <c r="O9" s="453"/>
      <c r="P9" s="452">
        <v>0.0</v>
      </c>
      <c r="Q9" s="453"/>
      <c r="R9" s="452"/>
      <c r="S9" s="453"/>
      <c r="T9" s="452"/>
      <c r="U9" s="453"/>
    </row>
    <row r="10" ht="15.75" hidden="1" customHeight="1">
      <c r="A10" s="425"/>
      <c r="B10" s="450"/>
      <c r="C10" s="451" t="s">
        <v>177</v>
      </c>
      <c r="D10" s="452">
        <v>0.0</v>
      </c>
      <c r="E10" s="453"/>
      <c r="F10" s="452"/>
      <c r="G10" s="453"/>
      <c r="H10" s="452"/>
      <c r="I10" s="453"/>
      <c r="J10" s="452">
        <v>0.0</v>
      </c>
      <c r="K10" s="453"/>
      <c r="L10" s="452"/>
      <c r="M10" s="453"/>
      <c r="N10" s="452"/>
      <c r="O10" s="453"/>
      <c r="P10" s="452">
        <v>0.0</v>
      </c>
      <c r="Q10" s="453"/>
      <c r="R10" s="452"/>
      <c r="S10" s="453"/>
      <c r="T10" s="452"/>
      <c r="U10" s="453"/>
    </row>
    <row r="11" ht="15.75" hidden="1" customHeight="1">
      <c r="A11" s="425"/>
      <c r="B11" s="450"/>
      <c r="C11" s="451" t="s">
        <v>178</v>
      </c>
      <c r="D11" s="452">
        <v>0.0</v>
      </c>
      <c r="E11" s="453"/>
      <c r="F11" s="452"/>
      <c r="G11" s="453"/>
      <c r="H11" s="452"/>
      <c r="I11" s="453"/>
      <c r="J11" s="452">
        <v>0.0</v>
      </c>
      <c r="K11" s="453"/>
      <c r="L11" s="452"/>
      <c r="M11" s="453"/>
      <c r="N11" s="452"/>
      <c r="O11" s="453"/>
      <c r="P11" s="452">
        <v>0.0</v>
      </c>
      <c r="Q11" s="453"/>
      <c r="R11" s="452"/>
      <c r="S11" s="453"/>
      <c r="T11" s="452"/>
      <c r="U11" s="453"/>
    </row>
    <row r="12" ht="15.75" hidden="1" customHeight="1">
      <c r="A12" s="425"/>
      <c r="B12" s="450"/>
      <c r="C12" s="451" t="s">
        <v>179</v>
      </c>
      <c r="D12" s="452">
        <v>0.0</v>
      </c>
      <c r="E12" s="453"/>
      <c r="F12" s="452"/>
      <c r="G12" s="453"/>
      <c r="H12" s="452"/>
      <c r="I12" s="453"/>
      <c r="J12" s="452">
        <v>0.0</v>
      </c>
      <c r="K12" s="453"/>
      <c r="L12" s="452"/>
      <c r="M12" s="453"/>
      <c r="N12" s="452"/>
      <c r="O12" s="453"/>
      <c r="P12" s="452">
        <v>0.0</v>
      </c>
      <c r="Q12" s="453"/>
      <c r="R12" s="452"/>
      <c r="S12" s="453"/>
      <c r="T12" s="452"/>
      <c r="U12" s="453"/>
    </row>
    <row r="13" ht="15.75" hidden="1" customHeight="1">
      <c r="A13" s="425"/>
      <c r="B13" s="450"/>
      <c r="C13" s="451"/>
      <c r="D13" s="452"/>
      <c r="E13" s="453"/>
      <c r="F13" s="452"/>
      <c r="G13" s="453"/>
      <c r="H13" s="452"/>
      <c r="I13" s="453"/>
      <c r="J13" s="452"/>
      <c r="K13" s="453"/>
      <c r="L13" s="452"/>
      <c r="M13" s="453"/>
      <c r="N13" s="452"/>
      <c r="O13" s="453"/>
      <c r="P13" s="452"/>
      <c r="Q13" s="453"/>
      <c r="R13" s="452"/>
      <c r="S13" s="453"/>
      <c r="T13" s="452"/>
      <c r="U13" s="453"/>
    </row>
    <row r="14">
      <c r="A14" s="425"/>
      <c r="B14" s="454" t="s">
        <v>21</v>
      </c>
      <c r="C14" s="451" t="s">
        <v>21</v>
      </c>
      <c r="D14" s="455">
        <v>0.0</v>
      </c>
      <c r="E14" s="456"/>
      <c r="F14" s="455"/>
      <c r="G14" s="456"/>
      <c r="H14" s="455"/>
      <c r="I14" s="456"/>
      <c r="J14" s="455">
        <v>0.0</v>
      </c>
      <c r="K14" s="453"/>
      <c r="L14" s="452"/>
      <c r="M14" s="453"/>
      <c r="N14" s="452"/>
      <c r="O14" s="453"/>
      <c r="P14" s="457">
        <v>0.0</v>
      </c>
      <c r="Q14" s="458"/>
      <c r="R14" s="452"/>
      <c r="S14" s="453"/>
      <c r="T14" s="452"/>
      <c r="U14" s="453"/>
    </row>
    <row r="15">
      <c r="A15" s="425"/>
      <c r="B15" s="454" t="s">
        <v>22</v>
      </c>
      <c r="C15" s="451" t="s">
        <v>22</v>
      </c>
      <c r="D15" s="452">
        <v>0.0</v>
      </c>
      <c r="E15" s="453"/>
      <c r="F15" s="452"/>
      <c r="G15" s="453"/>
      <c r="H15" s="452"/>
      <c r="I15" s="453"/>
      <c r="J15" s="452">
        <v>0.0</v>
      </c>
      <c r="K15" s="453"/>
      <c r="L15" s="452"/>
      <c r="M15" s="453"/>
      <c r="N15" s="452"/>
      <c r="O15" s="453"/>
      <c r="P15" s="459">
        <v>0.0</v>
      </c>
      <c r="Q15" s="458"/>
      <c r="R15" s="452"/>
      <c r="S15" s="453"/>
      <c r="T15" s="452"/>
      <c r="U15" s="453"/>
    </row>
    <row r="16">
      <c r="A16" s="425"/>
      <c r="B16" s="454" t="s">
        <v>23</v>
      </c>
      <c r="C16" s="451" t="s">
        <v>180</v>
      </c>
      <c r="D16" s="460">
        <f>SUM(D8:D12)</f>
        <v>0</v>
      </c>
      <c r="E16" s="453"/>
      <c r="F16" s="452"/>
      <c r="G16" s="453"/>
      <c r="H16" s="452"/>
      <c r="I16" s="453"/>
      <c r="J16" s="460">
        <f>SUM(J8:J12)</f>
        <v>0</v>
      </c>
      <c r="K16" s="453"/>
      <c r="L16" s="452"/>
      <c r="M16" s="453"/>
      <c r="N16" s="452"/>
      <c r="O16" s="453"/>
      <c r="P16" s="461">
        <f>SUM(P8:P12)</f>
        <v>0</v>
      </c>
      <c r="Q16" s="458"/>
      <c r="R16" s="452"/>
      <c r="S16" s="453"/>
      <c r="T16" s="452"/>
      <c r="U16" s="453"/>
    </row>
    <row r="17">
      <c r="A17" s="425"/>
      <c r="B17" s="450"/>
      <c r="C17" s="451"/>
      <c r="D17" s="452"/>
      <c r="E17" s="453"/>
      <c r="F17" s="452"/>
      <c r="G17" s="453"/>
      <c r="H17" s="452"/>
      <c r="I17" s="453"/>
      <c r="J17" s="452"/>
      <c r="K17" s="453"/>
      <c r="L17" s="452"/>
      <c r="M17" s="453"/>
      <c r="N17" s="452"/>
      <c r="O17" s="453"/>
      <c r="P17" s="459"/>
      <c r="Q17" s="458"/>
      <c r="R17" s="452"/>
      <c r="S17" s="453"/>
      <c r="T17" s="452"/>
      <c r="U17" s="453"/>
    </row>
    <row r="18">
      <c r="A18" s="425"/>
      <c r="B18" s="450"/>
      <c r="C18" s="451" t="s">
        <v>181</v>
      </c>
      <c r="D18" s="455">
        <v>0.0</v>
      </c>
      <c r="E18" s="456"/>
      <c r="F18" s="455"/>
      <c r="G18" s="456"/>
      <c r="H18" s="455"/>
      <c r="I18" s="456"/>
      <c r="J18" s="455">
        <v>0.0</v>
      </c>
      <c r="K18" s="456"/>
      <c r="L18" s="455"/>
      <c r="M18" s="456"/>
      <c r="N18" s="455"/>
      <c r="O18" s="456"/>
      <c r="P18" s="457">
        <v>0.0</v>
      </c>
      <c r="Q18" s="458"/>
      <c r="R18" s="452"/>
      <c r="S18" s="453"/>
      <c r="T18" s="452"/>
      <c r="U18" s="453"/>
    </row>
    <row r="19">
      <c r="A19" s="425"/>
      <c r="B19" s="450"/>
      <c r="C19" s="451" t="s">
        <v>182</v>
      </c>
      <c r="D19" s="455">
        <f>D14+D15+D16</f>
        <v>0</v>
      </c>
      <c r="E19" s="456"/>
      <c r="F19" s="455"/>
      <c r="G19" s="456"/>
      <c r="H19" s="455"/>
      <c r="I19" s="456"/>
      <c r="J19" s="455">
        <f>J14+J15+J16</f>
        <v>0</v>
      </c>
      <c r="K19" s="456"/>
      <c r="L19" s="455"/>
      <c r="M19" s="456"/>
      <c r="N19" s="455"/>
      <c r="O19" s="456"/>
      <c r="P19" s="457">
        <f>P14+P15+P16</f>
        <v>0</v>
      </c>
      <c r="Q19" s="458"/>
      <c r="R19" s="452"/>
      <c r="S19" s="453"/>
      <c r="T19" s="452"/>
      <c r="U19" s="453"/>
    </row>
    <row r="20">
      <c r="A20" s="425"/>
      <c r="B20" s="454" t="s">
        <v>183</v>
      </c>
      <c r="C20" s="451"/>
      <c r="D20" s="452"/>
      <c r="E20" s="453"/>
      <c r="F20" s="452"/>
      <c r="G20" s="453"/>
      <c r="H20" s="452"/>
      <c r="I20" s="453"/>
      <c r="J20" s="452"/>
      <c r="K20" s="453"/>
      <c r="L20" s="452"/>
      <c r="M20" s="453"/>
      <c r="N20" s="452"/>
      <c r="O20" s="453"/>
      <c r="P20" s="459"/>
      <c r="Q20" s="458"/>
      <c r="R20" s="452"/>
      <c r="S20" s="453"/>
      <c r="T20" s="452"/>
      <c r="U20" s="453"/>
    </row>
    <row r="21" ht="15.75" customHeight="1">
      <c r="A21" s="425"/>
      <c r="B21" s="450"/>
      <c r="C21" s="451" t="s">
        <v>184</v>
      </c>
      <c r="D21" s="452"/>
      <c r="E21" s="453"/>
      <c r="F21" s="452"/>
      <c r="G21" s="453"/>
      <c r="H21" s="452"/>
      <c r="I21" s="453"/>
      <c r="J21" s="452"/>
      <c r="K21" s="453"/>
      <c r="L21" s="452"/>
      <c r="M21" s="453"/>
      <c r="N21" s="452"/>
      <c r="O21" s="453"/>
      <c r="P21" s="459"/>
      <c r="Q21" s="458"/>
      <c r="R21" s="452"/>
      <c r="S21" s="453"/>
      <c r="T21" s="452"/>
      <c r="U21" s="453"/>
    </row>
    <row r="22" ht="15.75" customHeight="1">
      <c r="A22" s="425"/>
      <c r="B22" s="450"/>
      <c r="C22" s="451" t="s">
        <v>185</v>
      </c>
      <c r="D22" s="455">
        <f>SUM(D20:D21)</f>
        <v>0</v>
      </c>
      <c r="E22" s="456"/>
      <c r="F22" s="455"/>
      <c r="G22" s="456"/>
      <c r="H22" s="455"/>
      <c r="I22" s="456"/>
      <c r="J22" s="455">
        <f>SUM(J20:J21)</f>
        <v>0</v>
      </c>
      <c r="K22" s="456"/>
      <c r="L22" s="455"/>
      <c r="M22" s="456"/>
      <c r="N22" s="455"/>
      <c r="O22" s="456"/>
      <c r="P22" s="457">
        <f>SUM(P20:P21)</f>
        <v>0</v>
      </c>
      <c r="Q22" s="458"/>
      <c r="R22" s="452"/>
      <c r="S22" s="453"/>
      <c r="T22" s="452"/>
      <c r="U22" s="453"/>
    </row>
    <row r="23" ht="15.75" customHeight="1">
      <c r="A23" s="425"/>
      <c r="B23" s="454"/>
      <c r="C23" s="462"/>
      <c r="D23" s="463"/>
      <c r="E23" s="464"/>
      <c r="F23" s="463"/>
      <c r="G23" s="464"/>
      <c r="H23" s="463"/>
      <c r="I23" s="464"/>
      <c r="J23" s="463"/>
      <c r="K23" s="464"/>
      <c r="L23" s="463"/>
      <c r="M23" s="464"/>
      <c r="N23" s="463"/>
      <c r="O23" s="464"/>
      <c r="P23" s="454"/>
      <c r="Q23" s="465"/>
      <c r="R23" s="463"/>
      <c r="S23" s="464"/>
      <c r="T23" s="463"/>
      <c r="U23" s="464"/>
    </row>
    <row r="24" ht="15.75" customHeight="1">
      <c r="A24" s="425"/>
      <c r="B24" s="466" t="s">
        <v>186</v>
      </c>
      <c r="C24" s="462"/>
      <c r="D24" s="463"/>
      <c r="E24" s="464"/>
      <c r="F24" s="463"/>
      <c r="G24" s="464"/>
      <c r="H24" s="463"/>
      <c r="I24" s="464"/>
      <c r="J24" s="463"/>
      <c r="K24" s="464"/>
      <c r="L24" s="463"/>
      <c r="M24" s="464"/>
      <c r="N24" s="463"/>
      <c r="O24" s="464"/>
      <c r="P24" s="454"/>
      <c r="Q24" s="465"/>
      <c r="R24" s="463"/>
      <c r="S24" s="464"/>
      <c r="T24" s="463"/>
      <c r="U24" s="464"/>
    </row>
    <row r="25" ht="15.75" customHeight="1">
      <c r="A25" s="425"/>
      <c r="B25" s="454" t="s">
        <v>28</v>
      </c>
      <c r="C25" s="462"/>
      <c r="D25" s="463"/>
      <c r="E25" s="464"/>
      <c r="F25" s="463"/>
      <c r="G25" s="464"/>
      <c r="H25" s="463"/>
      <c r="I25" s="464"/>
      <c r="J25" s="463"/>
      <c r="K25" s="464"/>
      <c r="L25" s="463"/>
      <c r="M25" s="464"/>
      <c r="N25" s="463"/>
      <c r="O25" s="464"/>
      <c r="P25" s="454"/>
      <c r="Q25" s="465"/>
      <c r="R25" s="463"/>
      <c r="S25" s="464"/>
      <c r="T25" s="463"/>
      <c r="U25" s="464"/>
    </row>
    <row r="26" ht="15.75" customHeight="1">
      <c r="A26" s="425"/>
      <c r="B26" s="450"/>
      <c r="C26" s="467" t="s">
        <v>187</v>
      </c>
      <c r="D26" s="463"/>
      <c r="E26" s="464"/>
      <c r="F26" s="463"/>
      <c r="G26" s="464"/>
      <c r="H26" s="463"/>
      <c r="I26" s="464"/>
      <c r="J26" s="463"/>
      <c r="K26" s="464"/>
      <c r="L26" s="463"/>
      <c r="M26" s="464"/>
      <c r="N26" s="463"/>
      <c r="O26" s="464"/>
      <c r="P26" s="454"/>
      <c r="Q26" s="465"/>
      <c r="R26" s="463"/>
      <c r="S26" s="464"/>
      <c r="T26" s="463"/>
      <c r="U26" s="464"/>
    </row>
    <row r="27" ht="15.75" customHeight="1">
      <c r="A27" s="425"/>
      <c r="B27" s="450"/>
      <c r="C27" s="451" t="s">
        <v>188</v>
      </c>
      <c r="D27" s="452"/>
      <c r="E27" s="453"/>
      <c r="F27" s="452"/>
      <c r="G27" s="453"/>
      <c r="H27" s="452"/>
      <c r="I27" s="453"/>
      <c r="J27" s="452"/>
      <c r="K27" s="453"/>
      <c r="L27" s="452"/>
      <c r="M27" s="453"/>
      <c r="N27" s="452"/>
      <c r="O27" s="453"/>
      <c r="P27" s="459"/>
      <c r="Q27" s="458"/>
      <c r="R27" s="452"/>
      <c r="S27" s="453"/>
      <c r="T27" s="452"/>
      <c r="U27" s="453"/>
    </row>
    <row r="28" ht="15.75" customHeight="1">
      <c r="A28" s="425"/>
      <c r="B28" s="450"/>
      <c r="C28" s="451" t="s">
        <v>189</v>
      </c>
      <c r="D28" s="452"/>
      <c r="E28" s="453"/>
      <c r="F28" s="452"/>
      <c r="G28" s="453"/>
      <c r="H28" s="452"/>
      <c r="I28" s="453"/>
      <c r="J28" s="452"/>
      <c r="K28" s="453"/>
      <c r="L28" s="452"/>
      <c r="M28" s="453"/>
      <c r="N28" s="452"/>
      <c r="O28" s="453"/>
      <c r="P28" s="459"/>
      <c r="Q28" s="458"/>
      <c r="R28" s="452"/>
      <c r="S28" s="453"/>
      <c r="T28" s="452"/>
      <c r="U28" s="453"/>
    </row>
    <row r="29" ht="15.75" customHeight="1">
      <c r="A29" s="425"/>
      <c r="B29" s="450"/>
      <c r="C29" s="451" t="s">
        <v>21</v>
      </c>
      <c r="D29" s="452"/>
      <c r="E29" s="453"/>
      <c r="F29" s="452"/>
      <c r="G29" s="453"/>
      <c r="H29" s="452"/>
      <c r="I29" s="453"/>
      <c r="J29" s="452"/>
      <c r="K29" s="453"/>
      <c r="L29" s="452"/>
      <c r="M29" s="453"/>
      <c r="N29" s="452"/>
      <c r="O29" s="453"/>
      <c r="P29" s="459"/>
      <c r="Q29" s="458"/>
      <c r="R29" s="452"/>
      <c r="S29" s="453"/>
      <c r="T29" s="452"/>
      <c r="U29" s="453"/>
    </row>
    <row r="30" ht="15.75" customHeight="1">
      <c r="A30" s="425"/>
      <c r="B30" s="450"/>
      <c r="C30" s="451" t="s">
        <v>22</v>
      </c>
      <c r="D30" s="452"/>
      <c r="E30" s="453"/>
      <c r="F30" s="452"/>
      <c r="G30" s="453"/>
      <c r="H30" s="452"/>
      <c r="I30" s="453"/>
      <c r="J30" s="452"/>
      <c r="K30" s="453"/>
      <c r="L30" s="452"/>
      <c r="M30" s="453"/>
      <c r="N30" s="452"/>
      <c r="O30" s="453"/>
      <c r="P30" s="459"/>
      <c r="Q30" s="458"/>
      <c r="R30" s="452"/>
      <c r="S30" s="453"/>
      <c r="T30" s="452"/>
      <c r="U30" s="453"/>
    </row>
    <row r="31" ht="15.75" customHeight="1">
      <c r="A31" s="425"/>
      <c r="B31" s="450"/>
      <c r="C31" s="451" t="s">
        <v>190</v>
      </c>
      <c r="D31" s="452"/>
      <c r="E31" s="453"/>
      <c r="F31" s="452"/>
      <c r="G31" s="453"/>
      <c r="H31" s="452"/>
      <c r="I31" s="453"/>
      <c r="J31" s="452"/>
      <c r="K31" s="453"/>
      <c r="L31" s="452"/>
      <c r="M31" s="453"/>
      <c r="N31" s="452"/>
      <c r="O31" s="453"/>
      <c r="P31" s="459"/>
      <c r="Q31" s="458"/>
      <c r="R31" s="452"/>
      <c r="S31" s="453"/>
      <c r="T31" s="452"/>
      <c r="U31" s="453"/>
    </row>
    <row r="32" ht="15.75" customHeight="1">
      <c r="A32" s="425"/>
      <c r="B32" s="450"/>
      <c r="C32" s="451" t="s">
        <v>191</v>
      </c>
      <c r="D32" s="452">
        <f>SUM(D27:D31)</f>
        <v>0</v>
      </c>
      <c r="E32" s="453"/>
      <c r="F32" s="452"/>
      <c r="G32" s="453"/>
      <c r="H32" s="452"/>
      <c r="I32" s="453"/>
      <c r="J32" s="452">
        <f>SUM(J27:J31)</f>
        <v>0</v>
      </c>
      <c r="K32" s="453"/>
      <c r="L32" s="452"/>
      <c r="M32" s="453"/>
      <c r="N32" s="452"/>
      <c r="O32" s="453"/>
      <c r="P32" s="459">
        <f>SUM(P27:P31)</f>
        <v>0</v>
      </c>
      <c r="Q32" s="458"/>
      <c r="R32" s="452"/>
      <c r="S32" s="453"/>
      <c r="T32" s="452"/>
      <c r="U32" s="453"/>
    </row>
    <row r="33" ht="15.75" customHeight="1">
      <c r="A33" s="425"/>
      <c r="B33" s="468"/>
      <c r="C33" s="469" t="s">
        <v>192</v>
      </c>
      <c r="D33" s="470"/>
      <c r="E33" s="471"/>
      <c r="F33" s="470"/>
      <c r="G33" s="471"/>
      <c r="H33" s="470"/>
      <c r="I33" s="471"/>
      <c r="J33" s="470"/>
      <c r="K33" s="471"/>
      <c r="L33" s="470"/>
      <c r="M33" s="471"/>
      <c r="N33" s="470"/>
      <c r="O33" s="471"/>
      <c r="P33" s="472"/>
      <c r="Q33" s="473"/>
      <c r="R33" s="470"/>
      <c r="S33" s="471"/>
      <c r="T33" s="470"/>
      <c r="U33" s="471"/>
    </row>
    <row r="34" ht="15.75" customHeight="1">
      <c r="A34" s="425"/>
      <c r="B34" s="474"/>
      <c r="C34" s="443" t="s">
        <v>193</v>
      </c>
      <c r="D34" s="444">
        <f>D32+D33</f>
        <v>0</v>
      </c>
      <c r="E34" s="445"/>
      <c r="F34" s="444"/>
      <c r="G34" s="445"/>
      <c r="H34" s="444"/>
      <c r="I34" s="445"/>
      <c r="J34" s="444">
        <f>J32+J33</f>
        <v>0</v>
      </c>
      <c r="K34" s="445"/>
      <c r="L34" s="444"/>
      <c r="M34" s="445"/>
      <c r="N34" s="444"/>
      <c r="O34" s="445"/>
      <c r="P34" s="475">
        <f>P32+P33</f>
        <v>0</v>
      </c>
      <c r="Q34" s="476"/>
      <c r="R34" s="444"/>
      <c r="S34" s="445"/>
      <c r="T34" s="444"/>
      <c r="U34" s="445"/>
    </row>
    <row r="35" ht="15.75" customHeight="1">
      <c r="A35" s="425"/>
      <c r="B35" s="477"/>
      <c r="C35" s="443" t="s">
        <v>32</v>
      </c>
      <c r="D35" s="444">
        <f>D19-D34</f>
        <v>0</v>
      </c>
      <c r="E35" s="445"/>
      <c r="F35" s="444"/>
      <c r="G35" s="445"/>
      <c r="H35" s="444"/>
      <c r="I35" s="445"/>
      <c r="J35" s="444">
        <f>J19-J34</f>
        <v>0</v>
      </c>
      <c r="K35" s="478"/>
      <c r="L35" s="479"/>
      <c r="M35" s="478"/>
      <c r="N35" s="479"/>
      <c r="O35" s="478"/>
      <c r="P35" s="475">
        <f>P19-P34</f>
        <v>0</v>
      </c>
      <c r="Q35" s="480"/>
      <c r="R35" s="479"/>
      <c r="S35" s="478"/>
      <c r="T35" s="479"/>
      <c r="U35" s="478"/>
    </row>
    <row r="36" ht="15.75" customHeight="1">
      <c r="A36" s="425"/>
      <c r="B36" s="481"/>
      <c r="C36" s="447"/>
      <c r="D36" s="448"/>
      <c r="E36" s="449"/>
      <c r="F36" s="448"/>
      <c r="G36" s="449"/>
      <c r="H36" s="448"/>
      <c r="I36" s="449"/>
      <c r="J36" s="448"/>
      <c r="K36" s="449"/>
      <c r="L36" s="448"/>
      <c r="M36" s="449"/>
      <c r="N36" s="448"/>
      <c r="O36" s="449"/>
      <c r="P36" s="482"/>
      <c r="Q36" s="483"/>
      <c r="R36" s="448"/>
      <c r="S36" s="449"/>
      <c r="T36" s="448"/>
      <c r="U36" s="449"/>
    </row>
    <row r="37" ht="15.75" customHeight="1">
      <c r="A37" s="425"/>
      <c r="B37" s="450"/>
      <c r="C37" s="484" t="s">
        <v>194</v>
      </c>
      <c r="D37" s="452"/>
      <c r="E37" s="453"/>
      <c r="F37" s="452"/>
      <c r="G37" s="453"/>
      <c r="H37" s="452"/>
      <c r="I37" s="453"/>
      <c r="J37" s="470"/>
      <c r="K37" s="453"/>
      <c r="L37" s="452"/>
      <c r="M37" s="453"/>
      <c r="N37" s="452"/>
      <c r="O37" s="453"/>
      <c r="P37" s="472"/>
      <c r="Q37" s="458"/>
      <c r="R37" s="452"/>
      <c r="S37" s="453"/>
      <c r="T37" s="452"/>
      <c r="U37" s="453"/>
    </row>
    <row r="38" ht="15.75" customHeight="1">
      <c r="A38" s="425"/>
      <c r="B38" s="450"/>
      <c r="C38" s="451" t="s">
        <v>195</v>
      </c>
      <c r="D38" s="452">
        <v>1824.62</v>
      </c>
      <c r="E38" s="453"/>
      <c r="F38" s="452"/>
      <c r="G38" s="453"/>
      <c r="H38" s="452"/>
      <c r="I38" s="485"/>
      <c r="J38" s="486">
        <v>5987.0</v>
      </c>
      <c r="K38" s="458"/>
      <c r="L38" s="452"/>
      <c r="M38" s="453"/>
      <c r="N38" s="452"/>
      <c r="O38" s="453"/>
      <c r="P38" s="487"/>
      <c r="Q38" s="458"/>
      <c r="R38" s="452"/>
      <c r="S38" s="453"/>
      <c r="T38" s="452"/>
      <c r="U38" s="453"/>
    </row>
    <row r="39" ht="15.75" customHeight="1">
      <c r="A39" s="425"/>
      <c r="B39" s="450"/>
      <c r="C39" s="451" t="s">
        <v>196</v>
      </c>
      <c r="D39" s="452">
        <v>0.0</v>
      </c>
      <c r="E39" s="453"/>
      <c r="F39" s="452"/>
      <c r="G39" s="453"/>
      <c r="H39" s="452"/>
      <c r="I39" s="453"/>
      <c r="J39" s="448">
        <v>0.0</v>
      </c>
      <c r="K39" s="453"/>
      <c r="L39" s="452"/>
      <c r="M39" s="453"/>
      <c r="N39" s="452"/>
      <c r="O39" s="453"/>
      <c r="P39" s="482"/>
      <c r="Q39" s="458"/>
      <c r="R39" s="452"/>
      <c r="S39" s="453"/>
      <c r="T39" s="452"/>
      <c r="U39" s="453"/>
    </row>
    <row r="40" ht="15.75" customHeight="1">
      <c r="A40" s="425"/>
      <c r="B40" s="450"/>
      <c r="C40" s="451" t="s">
        <v>197</v>
      </c>
      <c r="D40" s="452">
        <v>9649.8</v>
      </c>
      <c r="E40" s="453"/>
      <c r="F40" s="452"/>
      <c r="G40" s="453"/>
      <c r="H40" s="452"/>
      <c r="I40" s="453"/>
      <c r="J40" s="452">
        <v>12625.0</v>
      </c>
      <c r="K40" s="453"/>
      <c r="L40" s="452"/>
      <c r="M40" s="453"/>
      <c r="N40" s="452"/>
      <c r="O40" s="453"/>
      <c r="P40" s="459"/>
      <c r="Q40" s="458"/>
      <c r="R40" s="452"/>
      <c r="S40" s="453"/>
      <c r="T40" s="452"/>
      <c r="U40" s="453"/>
    </row>
    <row r="41" ht="15.75" customHeight="1">
      <c r="A41" s="425"/>
      <c r="B41" s="450"/>
      <c r="C41" s="451" t="s">
        <v>198</v>
      </c>
      <c r="D41" s="452">
        <v>5751.0</v>
      </c>
      <c r="E41" s="453"/>
      <c r="F41" s="452"/>
      <c r="G41" s="453"/>
      <c r="H41" s="452"/>
      <c r="I41" s="453"/>
      <c r="J41" s="452">
        <v>2455.0</v>
      </c>
      <c r="K41" s="453"/>
      <c r="L41" s="452"/>
      <c r="M41" s="453"/>
      <c r="N41" s="452"/>
      <c r="O41" s="453"/>
      <c r="P41" s="459"/>
      <c r="Q41" s="458"/>
      <c r="R41" s="452"/>
      <c r="S41" s="453"/>
      <c r="T41" s="452"/>
      <c r="U41" s="453"/>
    </row>
    <row r="42" ht="15.75" customHeight="1">
      <c r="A42" s="425"/>
      <c r="B42" s="468"/>
      <c r="C42" s="469" t="s">
        <v>199</v>
      </c>
      <c r="D42" s="470">
        <v>89502.09333333332</v>
      </c>
      <c r="E42" s="471"/>
      <c r="F42" s="470"/>
      <c r="G42" s="471"/>
      <c r="H42" s="470"/>
      <c r="I42" s="471"/>
      <c r="J42" s="470">
        <v>208.0</v>
      </c>
      <c r="K42" s="471"/>
      <c r="L42" s="470"/>
      <c r="M42" s="471"/>
      <c r="N42" s="470"/>
      <c r="O42" s="471"/>
      <c r="P42" s="472"/>
      <c r="Q42" s="473"/>
      <c r="R42" s="470"/>
      <c r="S42" s="471"/>
      <c r="T42" s="470"/>
      <c r="U42" s="471"/>
    </row>
    <row r="43" ht="15.75" customHeight="1">
      <c r="A43" s="425"/>
      <c r="B43" s="474"/>
      <c r="C43" s="443" t="s">
        <v>200</v>
      </c>
      <c r="D43" s="444">
        <f>SUM(D38:D42)</f>
        <v>106727.5133</v>
      </c>
      <c r="E43" s="445"/>
      <c r="F43" s="444"/>
      <c r="G43" s="445"/>
      <c r="H43" s="444"/>
      <c r="I43" s="445"/>
      <c r="J43" s="444">
        <f>SUM(J38:J42)</f>
        <v>21275</v>
      </c>
      <c r="K43" s="445"/>
      <c r="L43" s="444"/>
      <c r="M43" s="445"/>
      <c r="N43" s="444"/>
      <c r="O43" s="445"/>
      <c r="P43" s="475">
        <f>SUM(P38:P42)</f>
        <v>0</v>
      </c>
      <c r="Q43" s="476"/>
      <c r="R43" s="444"/>
      <c r="S43" s="445"/>
      <c r="T43" s="444"/>
      <c r="U43" s="445"/>
    </row>
    <row r="44" ht="15.75" hidden="1" customHeight="1">
      <c r="A44" s="425"/>
      <c r="B44" s="450" t="s">
        <v>23</v>
      </c>
      <c r="C44" s="451" t="s">
        <v>201</v>
      </c>
      <c r="D44" s="452">
        <v>0.0</v>
      </c>
      <c r="E44" s="453"/>
      <c r="F44" s="452"/>
      <c r="G44" s="453"/>
      <c r="H44" s="452"/>
      <c r="I44" s="453"/>
      <c r="J44" s="452">
        <v>0.0</v>
      </c>
      <c r="K44" s="453"/>
      <c r="L44" s="452"/>
      <c r="M44" s="453"/>
      <c r="N44" s="452"/>
      <c r="O44" s="453"/>
      <c r="P44" s="459">
        <v>0.0</v>
      </c>
      <c r="Q44" s="458"/>
      <c r="R44" s="452"/>
      <c r="S44" s="453"/>
      <c r="T44" s="452"/>
      <c r="U44" s="453"/>
    </row>
    <row r="45" ht="15.75" hidden="1" customHeight="1">
      <c r="A45" s="425"/>
      <c r="B45" s="450" t="s">
        <v>21</v>
      </c>
      <c r="C45" s="451" t="s">
        <v>202</v>
      </c>
      <c r="D45" s="452">
        <v>0.0</v>
      </c>
      <c r="E45" s="453"/>
      <c r="F45" s="452"/>
      <c r="G45" s="453"/>
      <c r="H45" s="452"/>
      <c r="I45" s="453"/>
      <c r="J45" s="452">
        <v>0.0</v>
      </c>
      <c r="K45" s="453"/>
      <c r="L45" s="452"/>
      <c r="M45" s="453"/>
      <c r="N45" s="452"/>
      <c r="O45" s="453"/>
      <c r="P45" s="459">
        <v>0.0</v>
      </c>
      <c r="Q45" s="458"/>
      <c r="R45" s="452"/>
      <c r="S45" s="453"/>
      <c r="T45" s="452"/>
      <c r="U45" s="453"/>
    </row>
    <row r="46" ht="15.75" hidden="1" customHeight="1">
      <c r="A46" s="425"/>
      <c r="B46" s="450" t="s">
        <v>21</v>
      </c>
      <c r="C46" s="451" t="s">
        <v>201</v>
      </c>
      <c r="D46" s="452">
        <v>0.0</v>
      </c>
      <c r="E46" s="453"/>
      <c r="F46" s="452"/>
      <c r="G46" s="453"/>
      <c r="H46" s="452"/>
      <c r="I46" s="453"/>
      <c r="J46" s="452">
        <v>0.0</v>
      </c>
      <c r="K46" s="453"/>
      <c r="L46" s="452"/>
      <c r="M46" s="453"/>
      <c r="N46" s="452"/>
      <c r="O46" s="453"/>
      <c r="P46" s="459">
        <v>0.0</v>
      </c>
      <c r="Q46" s="458"/>
      <c r="R46" s="452"/>
      <c r="S46" s="453"/>
      <c r="T46" s="452"/>
      <c r="U46" s="453"/>
    </row>
    <row r="47" ht="15.75" hidden="1" customHeight="1">
      <c r="A47" s="425"/>
      <c r="B47" s="450" t="s">
        <v>22</v>
      </c>
      <c r="C47" s="451" t="s">
        <v>202</v>
      </c>
      <c r="D47" s="452">
        <v>0.0</v>
      </c>
      <c r="E47" s="453"/>
      <c r="F47" s="452"/>
      <c r="G47" s="453"/>
      <c r="H47" s="452"/>
      <c r="I47" s="453"/>
      <c r="J47" s="452">
        <v>0.0</v>
      </c>
      <c r="K47" s="453"/>
      <c r="L47" s="452"/>
      <c r="M47" s="453"/>
      <c r="N47" s="452"/>
      <c r="O47" s="453"/>
      <c r="P47" s="459">
        <v>0.0</v>
      </c>
      <c r="Q47" s="458"/>
      <c r="R47" s="452"/>
      <c r="S47" s="453"/>
      <c r="T47" s="452"/>
      <c r="U47" s="453"/>
    </row>
    <row r="48" ht="15.75" hidden="1" customHeight="1">
      <c r="A48" s="425"/>
      <c r="B48" s="450" t="s">
        <v>22</v>
      </c>
      <c r="C48" s="451" t="s">
        <v>201</v>
      </c>
      <c r="D48" s="452">
        <v>0.0</v>
      </c>
      <c r="E48" s="453"/>
      <c r="F48" s="452"/>
      <c r="G48" s="453"/>
      <c r="H48" s="452"/>
      <c r="I48" s="453"/>
      <c r="J48" s="452">
        <v>0.0</v>
      </c>
      <c r="K48" s="453"/>
      <c r="L48" s="452"/>
      <c r="M48" s="453"/>
      <c r="N48" s="452"/>
      <c r="O48" s="453"/>
      <c r="P48" s="459">
        <v>0.0</v>
      </c>
      <c r="Q48" s="458"/>
      <c r="R48" s="452"/>
      <c r="S48" s="453"/>
      <c r="T48" s="452"/>
      <c r="U48" s="453"/>
    </row>
    <row r="49" ht="15.75" hidden="1" customHeight="1">
      <c r="A49" s="425"/>
      <c r="B49" s="450"/>
      <c r="C49" s="451"/>
      <c r="D49" s="452"/>
      <c r="E49" s="453"/>
      <c r="F49" s="452"/>
      <c r="G49" s="453"/>
      <c r="H49" s="452"/>
      <c r="I49" s="453"/>
      <c r="J49" s="452"/>
      <c r="K49" s="453"/>
      <c r="L49" s="452"/>
      <c r="M49" s="453"/>
      <c r="N49" s="452"/>
      <c r="O49" s="453"/>
      <c r="P49" s="459"/>
      <c r="Q49" s="458"/>
      <c r="R49" s="452"/>
      <c r="S49" s="453"/>
      <c r="T49" s="452"/>
      <c r="U49" s="453"/>
    </row>
    <row r="50" ht="15.75" hidden="1" customHeight="1">
      <c r="A50" s="425"/>
      <c r="B50" s="468"/>
      <c r="C50" s="469" t="s">
        <v>200</v>
      </c>
      <c r="D50" s="452">
        <f>SUM(D44:D49)</f>
        <v>0</v>
      </c>
      <c r="E50" s="453" t="str">
        <f>D50/D21</f>
        <v>#DIV/0!</v>
      </c>
      <c r="F50" s="452"/>
      <c r="G50" s="453"/>
      <c r="H50" s="452"/>
      <c r="I50" s="453" t="str">
        <f>#REF!/#REF!</f>
        <v>#REF!</v>
      </c>
      <c r="J50" s="452">
        <f>SUM(J44:J49)</f>
        <v>0</v>
      </c>
      <c r="K50" s="453" t="str">
        <f>J50/J21</f>
        <v>#DIV/0!</v>
      </c>
      <c r="L50" s="452"/>
      <c r="M50" s="453"/>
      <c r="N50" s="452"/>
      <c r="O50" s="453" t="str">
        <f>#REF!/#REF!</f>
        <v>#REF!</v>
      </c>
      <c r="P50" s="459">
        <f>SUM(P44:P49)</f>
        <v>0</v>
      </c>
      <c r="Q50" s="458" t="str">
        <f>P50/P21</f>
        <v>#DIV/0!</v>
      </c>
      <c r="R50" s="452"/>
      <c r="S50" s="453"/>
      <c r="T50" s="452"/>
      <c r="U50" s="453" t="str">
        <f>#REF!/#REF!</f>
        <v>#REF!</v>
      </c>
    </row>
    <row r="51" ht="15.75" customHeight="1">
      <c r="A51" s="425"/>
      <c r="B51" s="488" t="s">
        <v>203</v>
      </c>
      <c r="C51" s="489" t="s">
        <v>204</v>
      </c>
      <c r="D51" s="470"/>
      <c r="E51" s="471"/>
      <c r="F51" s="470"/>
      <c r="G51" s="471"/>
      <c r="H51" s="470"/>
      <c r="I51" s="471"/>
      <c r="J51" s="470"/>
      <c r="K51" s="471"/>
      <c r="L51" s="470"/>
      <c r="M51" s="471"/>
      <c r="N51" s="470"/>
      <c r="O51" s="471"/>
      <c r="P51" s="472"/>
      <c r="Q51" s="473"/>
      <c r="R51" s="470"/>
      <c r="S51" s="471"/>
      <c r="T51" s="470"/>
      <c r="U51" s="471"/>
    </row>
    <row r="52" ht="15.75" customHeight="1">
      <c r="A52" s="425"/>
      <c r="B52" s="477"/>
      <c r="C52" s="490" t="s">
        <v>205</v>
      </c>
      <c r="D52" s="444">
        <f>SUM(D53:D61)</f>
        <v>53100</v>
      </c>
      <c r="E52" s="445"/>
      <c r="F52" s="444">
        <f>SUM(F53:F61)</f>
        <v>53100</v>
      </c>
      <c r="G52" s="445"/>
      <c r="H52" s="444"/>
      <c r="I52" s="445"/>
      <c r="J52" s="444">
        <f>SUM(J53:J61)</f>
        <v>53100</v>
      </c>
      <c r="K52" s="445"/>
      <c r="L52" s="444">
        <f>SUM(L53:L61)</f>
        <v>0</v>
      </c>
      <c r="M52" s="445"/>
      <c r="N52" s="444"/>
      <c r="O52" s="445"/>
      <c r="P52" s="475">
        <f>SUM(P53:P61)</f>
        <v>0</v>
      </c>
      <c r="Q52" s="476"/>
      <c r="R52" s="444">
        <f>SUM(R53:R61)</f>
        <v>0</v>
      </c>
      <c r="S52" s="445"/>
      <c r="T52" s="444"/>
      <c r="U52" s="445"/>
    </row>
    <row r="53" ht="15.75" customHeight="1">
      <c r="A53" s="425"/>
      <c r="B53" s="481"/>
      <c r="C53" s="447" t="s">
        <v>206</v>
      </c>
      <c r="D53" s="448"/>
      <c r="E53" s="449"/>
      <c r="F53" s="448"/>
      <c r="G53" s="449"/>
      <c r="H53" s="448"/>
      <c r="I53" s="449"/>
      <c r="J53" s="448"/>
      <c r="K53" s="449"/>
      <c r="L53" s="448"/>
      <c r="M53" s="449"/>
      <c r="N53" s="448"/>
      <c r="O53" s="449"/>
      <c r="P53" s="482"/>
      <c r="Q53" s="483"/>
      <c r="R53" s="448"/>
      <c r="S53" s="449"/>
      <c r="T53" s="448"/>
      <c r="U53" s="449"/>
    </row>
    <row r="54" ht="15.75" customHeight="1">
      <c r="A54" s="425"/>
      <c r="B54" s="450"/>
      <c r="C54" s="451" t="s">
        <v>207</v>
      </c>
      <c r="D54" s="452"/>
      <c r="E54" s="453"/>
      <c r="F54" s="452"/>
      <c r="G54" s="453"/>
      <c r="H54" s="452"/>
      <c r="I54" s="453"/>
      <c r="J54" s="452"/>
      <c r="K54" s="453"/>
      <c r="L54" s="452"/>
      <c r="M54" s="453"/>
      <c r="N54" s="452"/>
      <c r="O54" s="453"/>
      <c r="P54" s="459"/>
      <c r="Q54" s="458"/>
      <c r="R54" s="452"/>
      <c r="S54" s="453"/>
      <c r="T54" s="452"/>
      <c r="U54" s="453"/>
    </row>
    <row r="55" ht="15.75" customHeight="1">
      <c r="A55" s="425"/>
      <c r="B55" s="450"/>
      <c r="C55" s="451" t="s">
        <v>208</v>
      </c>
      <c r="D55" s="452">
        <v>17700.0</v>
      </c>
      <c r="E55" s="452">
        <v>17700.0</v>
      </c>
      <c r="F55" s="452">
        <v>17700.0</v>
      </c>
      <c r="G55" s="452">
        <v>17700.0</v>
      </c>
      <c r="H55" s="452">
        <v>17700.0</v>
      </c>
      <c r="I55" s="452">
        <v>17700.0</v>
      </c>
      <c r="J55" s="452">
        <v>17700.0</v>
      </c>
      <c r="K55" s="453"/>
      <c r="L55" s="452"/>
      <c r="M55" s="453"/>
      <c r="N55" s="452"/>
      <c r="O55" s="453"/>
      <c r="P55" s="459"/>
      <c r="Q55" s="458"/>
      <c r="R55" s="452"/>
      <c r="S55" s="453"/>
      <c r="T55" s="452"/>
      <c r="U55" s="453"/>
    </row>
    <row r="56" ht="15.75" customHeight="1">
      <c r="A56" s="425"/>
      <c r="B56" s="450"/>
      <c r="C56" s="451" t="s">
        <v>209</v>
      </c>
      <c r="D56" s="452">
        <v>35400.0</v>
      </c>
      <c r="E56" s="452">
        <v>35400.0</v>
      </c>
      <c r="F56" s="452">
        <v>35400.0</v>
      </c>
      <c r="G56" s="452">
        <v>35400.0</v>
      </c>
      <c r="H56" s="452">
        <v>35400.0</v>
      </c>
      <c r="I56" s="452">
        <v>35400.0</v>
      </c>
      <c r="J56" s="452">
        <v>35400.0</v>
      </c>
      <c r="K56" s="453"/>
      <c r="L56" s="452"/>
      <c r="M56" s="453"/>
      <c r="N56" s="452"/>
      <c r="O56" s="453"/>
      <c r="P56" s="459"/>
      <c r="Q56" s="458"/>
      <c r="R56" s="452"/>
      <c r="S56" s="453"/>
      <c r="T56" s="452"/>
      <c r="U56" s="453"/>
    </row>
    <row r="57" ht="15.75" customHeight="1">
      <c r="A57" s="425"/>
      <c r="B57" s="450"/>
      <c r="C57" s="451" t="s">
        <v>210</v>
      </c>
      <c r="D57" s="452"/>
      <c r="E57" s="453"/>
      <c r="F57" s="452"/>
      <c r="G57" s="453"/>
      <c r="H57" s="452"/>
      <c r="I57" s="453"/>
      <c r="J57" s="452"/>
      <c r="K57" s="453"/>
      <c r="L57" s="452"/>
      <c r="M57" s="453"/>
      <c r="N57" s="452"/>
      <c r="O57" s="453"/>
      <c r="P57" s="459"/>
      <c r="Q57" s="458"/>
      <c r="R57" s="452"/>
      <c r="S57" s="453"/>
      <c r="T57" s="452"/>
      <c r="U57" s="453"/>
    </row>
    <row r="58" ht="15.75" customHeight="1">
      <c r="A58" s="425"/>
      <c r="B58" s="450"/>
      <c r="C58" s="451" t="s">
        <v>211</v>
      </c>
      <c r="D58" s="452"/>
      <c r="E58" s="453"/>
      <c r="F58" s="452"/>
      <c r="G58" s="453"/>
      <c r="H58" s="452"/>
      <c r="I58" s="453"/>
      <c r="J58" s="452"/>
      <c r="K58" s="453"/>
      <c r="L58" s="452"/>
      <c r="M58" s="453"/>
      <c r="N58" s="452"/>
      <c r="O58" s="453"/>
      <c r="P58" s="459"/>
      <c r="Q58" s="458"/>
      <c r="R58" s="452"/>
      <c r="S58" s="453"/>
      <c r="T58" s="452"/>
      <c r="U58" s="453"/>
    </row>
    <row r="59" ht="15.75" customHeight="1">
      <c r="A59" s="425"/>
      <c r="B59" s="450"/>
      <c r="C59" s="451" t="s">
        <v>212</v>
      </c>
      <c r="D59" s="452"/>
      <c r="E59" s="453"/>
      <c r="F59" s="452"/>
      <c r="G59" s="453"/>
      <c r="H59" s="452"/>
      <c r="I59" s="453"/>
      <c r="J59" s="452"/>
      <c r="K59" s="453"/>
      <c r="L59" s="452"/>
      <c r="M59" s="453"/>
      <c r="N59" s="452"/>
      <c r="O59" s="453"/>
      <c r="P59" s="459"/>
      <c r="Q59" s="458"/>
      <c r="R59" s="452"/>
      <c r="S59" s="453"/>
      <c r="T59" s="452"/>
      <c r="U59" s="453"/>
    </row>
    <row r="60" ht="15.75" customHeight="1">
      <c r="A60" s="425"/>
      <c r="B60" s="450"/>
      <c r="C60" s="438" t="s">
        <v>213</v>
      </c>
      <c r="D60" s="452"/>
      <c r="E60" s="453"/>
      <c r="F60" s="452"/>
      <c r="G60" s="453"/>
      <c r="H60" s="452"/>
      <c r="I60" s="453"/>
      <c r="J60" s="452"/>
      <c r="K60" s="453"/>
      <c r="L60" s="452"/>
      <c r="M60" s="453"/>
      <c r="N60" s="452"/>
      <c r="O60" s="453"/>
      <c r="P60" s="459"/>
      <c r="Q60" s="458"/>
      <c r="R60" s="452"/>
      <c r="S60" s="453"/>
      <c r="T60" s="452"/>
      <c r="U60" s="453"/>
    </row>
    <row r="61" ht="15.75" customHeight="1">
      <c r="A61" s="425"/>
      <c r="B61" s="450"/>
      <c r="C61" s="451" t="s">
        <v>214</v>
      </c>
      <c r="D61" s="452"/>
      <c r="E61" s="453"/>
      <c r="F61" s="452"/>
      <c r="G61" s="453"/>
      <c r="H61" s="452"/>
      <c r="I61" s="453"/>
      <c r="J61" s="452"/>
      <c r="K61" s="453"/>
      <c r="L61" s="452"/>
      <c r="M61" s="453"/>
      <c r="N61" s="452"/>
      <c r="O61" s="453"/>
      <c r="P61" s="459"/>
      <c r="Q61" s="458"/>
      <c r="R61" s="452"/>
      <c r="S61" s="453"/>
      <c r="T61" s="452"/>
      <c r="U61" s="453"/>
    </row>
    <row r="62" ht="15.75" customHeight="1">
      <c r="A62" s="425"/>
      <c r="B62" s="468"/>
      <c r="C62" s="491"/>
      <c r="D62" s="470"/>
      <c r="E62" s="471"/>
      <c r="F62" s="470"/>
      <c r="G62" s="471"/>
      <c r="H62" s="470"/>
      <c r="I62" s="471"/>
      <c r="J62" s="470"/>
      <c r="K62" s="471"/>
      <c r="L62" s="470"/>
      <c r="M62" s="471"/>
      <c r="N62" s="470"/>
      <c r="O62" s="471"/>
      <c r="P62" s="472"/>
      <c r="Q62" s="458"/>
      <c r="R62" s="452"/>
      <c r="S62" s="453"/>
      <c r="T62" s="452"/>
      <c r="U62" s="453"/>
    </row>
    <row r="63" ht="15.75" customHeight="1">
      <c r="A63" s="425"/>
      <c r="B63" s="477"/>
      <c r="C63" s="492" t="s">
        <v>35</v>
      </c>
      <c r="D63" s="475">
        <f>SUM(D64:D67)</f>
        <v>0</v>
      </c>
      <c r="E63" s="475"/>
      <c r="F63" s="475">
        <f>SUM(F64:F67)</f>
        <v>0</v>
      </c>
      <c r="G63" s="475"/>
      <c r="H63" s="475"/>
      <c r="I63" s="475"/>
      <c r="J63" s="475">
        <f>SUM(J64:J67)</f>
        <v>0</v>
      </c>
      <c r="K63" s="493"/>
      <c r="L63" s="493">
        <f>SUM(L64:L67)</f>
        <v>0</v>
      </c>
      <c r="M63" s="493"/>
      <c r="N63" s="493"/>
      <c r="O63" s="493"/>
      <c r="P63" s="475">
        <f>SUM(P64:P67)</f>
        <v>0</v>
      </c>
      <c r="Q63" s="458"/>
      <c r="R63" s="452">
        <f>SUM(R64:R67)</f>
        <v>0</v>
      </c>
      <c r="S63" s="453"/>
      <c r="T63" s="452"/>
      <c r="U63" s="458"/>
    </row>
    <row r="64" ht="15.75" customHeight="1">
      <c r="A64" s="425"/>
      <c r="B64" s="481"/>
      <c r="C64" s="447" t="s">
        <v>215</v>
      </c>
      <c r="D64" s="448"/>
      <c r="E64" s="449"/>
      <c r="F64" s="448"/>
      <c r="G64" s="449"/>
      <c r="H64" s="448"/>
      <c r="I64" s="483"/>
      <c r="J64" s="448"/>
      <c r="K64" s="449"/>
      <c r="L64" s="448"/>
      <c r="M64" s="449"/>
      <c r="N64" s="448"/>
      <c r="O64" s="483"/>
      <c r="P64" s="482"/>
      <c r="Q64" s="458"/>
      <c r="R64" s="452"/>
      <c r="S64" s="453"/>
      <c r="T64" s="452"/>
      <c r="U64" s="458"/>
    </row>
    <row r="65" ht="15.75" customHeight="1">
      <c r="A65" s="425"/>
      <c r="B65" s="450"/>
      <c r="C65" s="451" t="s">
        <v>216</v>
      </c>
      <c r="D65" s="452"/>
      <c r="E65" s="453"/>
      <c r="F65" s="452"/>
      <c r="G65" s="453"/>
      <c r="H65" s="452"/>
      <c r="I65" s="458"/>
      <c r="J65" s="452"/>
      <c r="K65" s="453"/>
      <c r="L65" s="452"/>
      <c r="M65" s="453"/>
      <c r="N65" s="452"/>
      <c r="O65" s="458"/>
      <c r="P65" s="459"/>
      <c r="Q65" s="458"/>
      <c r="R65" s="452"/>
      <c r="S65" s="453"/>
      <c r="T65" s="452"/>
      <c r="U65" s="458"/>
    </row>
    <row r="66" ht="15.75" customHeight="1">
      <c r="A66" s="425"/>
      <c r="B66" s="450"/>
      <c r="C66" s="451" t="s">
        <v>217</v>
      </c>
      <c r="D66" s="452"/>
      <c r="E66" s="453"/>
      <c r="F66" s="452"/>
      <c r="G66" s="453"/>
      <c r="H66" s="452"/>
      <c r="I66" s="458"/>
      <c r="J66" s="452"/>
      <c r="K66" s="453"/>
      <c r="L66" s="452"/>
      <c r="M66" s="453"/>
      <c r="N66" s="452"/>
      <c r="O66" s="458"/>
      <c r="P66" s="459"/>
      <c r="Q66" s="458"/>
      <c r="R66" s="452"/>
      <c r="S66" s="453"/>
      <c r="T66" s="452"/>
      <c r="U66" s="458"/>
    </row>
    <row r="67" ht="15.75" customHeight="1">
      <c r="A67" s="425"/>
      <c r="B67" s="450"/>
      <c r="C67" s="451" t="s">
        <v>218</v>
      </c>
      <c r="D67" s="452"/>
      <c r="E67" s="453"/>
      <c r="F67" s="452"/>
      <c r="G67" s="453"/>
      <c r="H67" s="452"/>
      <c r="I67" s="458"/>
      <c r="J67" s="452"/>
      <c r="K67" s="453"/>
      <c r="L67" s="452"/>
      <c r="M67" s="453"/>
      <c r="N67" s="452"/>
      <c r="O67" s="458"/>
      <c r="P67" s="459"/>
      <c r="Q67" s="458"/>
      <c r="R67" s="452"/>
      <c r="S67" s="453"/>
      <c r="T67" s="452"/>
      <c r="U67" s="458"/>
    </row>
    <row r="68" ht="15.75" customHeight="1">
      <c r="A68" s="425"/>
      <c r="B68" s="450"/>
      <c r="C68" s="451"/>
      <c r="D68" s="452"/>
      <c r="E68" s="453"/>
      <c r="F68" s="452"/>
      <c r="G68" s="453"/>
      <c r="H68" s="452"/>
      <c r="I68" s="458"/>
      <c r="J68" s="452"/>
      <c r="K68" s="453"/>
      <c r="L68" s="452"/>
      <c r="M68" s="453"/>
      <c r="N68" s="452"/>
      <c r="O68" s="458"/>
      <c r="P68" s="459"/>
      <c r="Q68" s="458"/>
      <c r="R68" s="452"/>
      <c r="S68" s="453"/>
      <c r="T68" s="452"/>
      <c r="U68" s="458"/>
    </row>
    <row r="69" ht="15.75" customHeight="1">
      <c r="A69" s="425"/>
      <c r="B69" s="468"/>
      <c r="C69" s="469"/>
      <c r="D69" s="470"/>
      <c r="E69" s="471"/>
      <c r="F69" s="470"/>
      <c r="G69" s="471"/>
      <c r="H69" s="470"/>
      <c r="I69" s="473"/>
      <c r="J69" s="470"/>
      <c r="K69" s="471"/>
      <c r="L69" s="470"/>
      <c r="M69" s="471"/>
      <c r="N69" s="470"/>
      <c r="O69" s="473"/>
      <c r="P69" s="472"/>
      <c r="Q69" s="473"/>
      <c r="R69" s="470"/>
      <c r="S69" s="471"/>
      <c r="T69" s="470"/>
      <c r="U69" s="473"/>
    </row>
    <row r="70" ht="15.75" customHeight="1">
      <c r="A70" s="425"/>
      <c r="B70" s="474"/>
      <c r="C70" s="490" t="s">
        <v>219</v>
      </c>
      <c r="D70" s="444">
        <f>SUM(D71:D74)</f>
        <v>813461.7333</v>
      </c>
      <c r="E70" s="445"/>
      <c r="F70" s="444">
        <f>SUM(F71:F74)</f>
        <v>0</v>
      </c>
      <c r="G70" s="445"/>
      <c r="H70" s="444"/>
      <c r="I70" s="445"/>
      <c r="J70" s="444">
        <f>SUM(J71:J74)</f>
        <v>814333</v>
      </c>
      <c r="K70" s="445"/>
      <c r="L70" s="444">
        <f>SUM(L71:L74)</f>
        <v>0</v>
      </c>
      <c r="M70" s="445"/>
      <c r="N70" s="444"/>
      <c r="O70" s="445"/>
      <c r="P70" s="475">
        <f>SUM(P71:P74)</f>
        <v>0</v>
      </c>
      <c r="Q70" s="476"/>
      <c r="R70" s="444">
        <f>SUM(R71:R74)</f>
        <v>0</v>
      </c>
      <c r="S70" s="445"/>
      <c r="T70" s="444"/>
      <c r="U70" s="445"/>
    </row>
    <row r="71" ht="15.75" customHeight="1">
      <c r="A71" s="425"/>
      <c r="B71" s="481"/>
      <c r="C71" s="447" t="s">
        <v>220</v>
      </c>
      <c r="D71" s="448">
        <v>757545.0</v>
      </c>
      <c r="E71" s="449"/>
      <c r="F71" s="448"/>
      <c r="G71" s="449"/>
      <c r="H71" s="448"/>
      <c r="I71" s="449"/>
      <c r="J71" s="448">
        <v>757545.0</v>
      </c>
      <c r="K71" s="449"/>
      <c r="L71" s="448"/>
      <c r="M71" s="449"/>
      <c r="N71" s="448"/>
      <c r="O71" s="449"/>
      <c r="P71" s="482"/>
      <c r="Q71" s="483"/>
      <c r="R71" s="448"/>
      <c r="S71" s="449"/>
      <c r="T71" s="448"/>
      <c r="U71" s="449"/>
    </row>
    <row r="72" ht="15.75" customHeight="1">
      <c r="A72" s="425"/>
      <c r="B72" s="450"/>
      <c r="C72" s="451" t="s">
        <v>221</v>
      </c>
      <c r="D72" s="452">
        <v>45260.0</v>
      </c>
      <c r="E72" s="453"/>
      <c r="F72" s="452"/>
      <c r="G72" s="453"/>
      <c r="H72" s="452"/>
      <c r="I72" s="453"/>
      <c r="J72" s="452">
        <v>45220.0</v>
      </c>
      <c r="K72" s="453"/>
      <c r="L72" s="452"/>
      <c r="M72" s="453"/>
      <c r="N72" s="452"/>
      <c r="O72" s="453"/>
      <c r="P72" s="459"/>
      <c r="Q72" s="458"/>
      <c r="R72" s="452"/>
      <c r="S72" s="453"/>
      <c r="T72" s="452"/>
      <c r="U72" s="453"/>
    </row>
    <row r="73" ht="15.75" customHeight="1">
      <c r="A73" s="425"/>
      <c r="B73" s="450"/>
      <c r="C73" s="451" t="s">
        <v>222</v>
      </c>
      <c r="D73" s="452">
        <v>0.0</v>
      </c>
      <c r="E73" s="453"/>
      <c r="F73" s="452"/>
      <c r="G73" s="453"/>
      <c r="H73" s="452"/>
      <c r="I73" s="453"/>
      <c r="J73" s="452">
        <v>0.0</v>
      </c>
      <c r="K73" s="453"/>
      <c r="L73" s="452"/>
      <c r="M73" s="453"/>
      <c r="N73" s="452"/>
      <c r="O73" s="453"/>
      <c r="P73" s="459"/>
      <c r="Q73" s="458"/>
      <c r="R73" s="452"/>
      <c r="S73" s="453"/>
      <c r="T73" s="452"/>
      <c r="U73" s="453"/>
    </row>
    <row r="74" ht="15.75" customHeight="1">
      <c r="A74" s="425"/>
      <c r="B74" s="450"/>
      <c r="C74" s="451" t="s">
        <v>223</v>
      </c>
      <c r="D74" s="452">
        <v>10656.733333333334</v>
      </c>
      <c r="E74" s="453"/>
      <c r="F74" s="452"/>
      <c r="G74" s="453"/>
      <c r="H74" s="452"/>
      <c r="I74" s="453"/>
      <c r="J74" s="452">
        <v>11568.0</v>
      </c>
      <c r="K74" s="453"/>
      <c r="L74" s="452"/>
      <c r="M74" s="453"/>
      <c r="N74" s="452"/>
      <c r="O74" s="453"/>
      <c r="P74" s="459"/>
      <c r="Q74" s="458"/>
      <c r="R74" s="452"/>
      <c r="S74" s="453"/>
      <c r="T74" s="452"/>
      <c r="U74" s="453"/>
    </row>
    <row r="75" ht="15.75" customHeight="1">
      <c r="A75" s="425"/>
      <c r="B75" s="468"/>
      <c r="C75" s="491"/>
      <c r="D75" s="470"/>
      <c r="E75" s="471"/>
      <c r="F75" s="470"/>
      <c r="G75" s="471"/>
      <c r="H75" s="470"/>
      <c r="I75" s="471"/>
      <c r="J75" s="470"/>
      <c r="K75" s="471"/>
      <c r="L75" s="470"/>
      <c r="M75" s="471"/>
      <c r="N75" s="470"/>
      <c r="O75" s="471"/>
      <c r="P75" s="472"/>
      <c r="Q75" s="473"/>
      <c r="R75" s="470"/>
      <c r="S75" s="471"/>
      <c r="T75" s="470"/>
      <c r="U75" s="471"/>
    </row>
    <row r="76" ht="15.75" customHeight="1">
      <c r="A76" s="425"/>
      <c r="B76" s="474"/>
      <c r="C76" s="490" t="s">
        <v>37</v>
      </c>
      <c r="D76" s="444">
        <f>SUM(D77:D85)</f>
        <v>3772299.27</v>
      </c>
      <c r="E76" s="445"/>
      <c r="F76" s="444">
        <f>SUM(F77:F85)</f>
        <v>0</v>
      </c>
      <c r="G76" s="445"/>
      <c r="H76" s="444">
        <f>SUM(H77:H85)</f>
        <v>0</v>
      </c>
      <c r="I76" s="476"/>
      <c r="J76" s="444">
        <f>SUM(J77:J85)</f>
        <v>3975522.27</v>
      </c>
      <c r="K76" s="445"/>
      <c r="L76" s="444">
        <f>SUM(L77:L85)</f>
        <v>0</v>
      </c>
      <c r="M76" s="445"/>
      <c r="N76" s="444">
        <f>SUM(N77:N85)</f>
        <v>0</v>
      </c>
      <c r="O76" s="476"/>
      <c r="P76" s="475">
        <f>SUM(P77:P85)</f>
        <v>0</v>
      </c>
      <c r="Q76" s="476"/>
      <c r="R76" s="444">
        <f>SUM(R77:R85)</f>
        <v>0</v>
      </c>
      <c r="S76" s="445"/>
      <c r="T76" s="444">
        <f>SUM(T77:T85)</f>
        <v>0</v>
      </c>
      <c r="U76" s="476"/>
    </row>
    <row r="77" ht="15.75" customHeight="1">
      <c r="A77" s="425"/>
      <c r="B77" s="481"/>
      <c r="C77" s="447" t="s">
        <v>224</v>
      </c>
      <c r="D77" s="448">
        <v>0.0</v>
      </c>
      <c r="E77" s="449"/>
      <c r="F77" s="448"/>
      <c r="G77" s="449"/>
      <c r="H77" s="448"/>
      <c r="I77" s="483"/>
      <c r="J77" s="494">
        <v>0.0</v>
      </c>
      <c r="K77" s="449"/>
      <c r="L77" s="448"/>
      <c r="M77" s="449"/>
      <c r="N77" s="448"/>
      <c r="O77" s="483"/>
      <c r="P77" s="495"/>
      <c r="Q77" s="483"/>
      <c r="R77" s="448"/>
      <c r="S77" s="449"/>
      <c r="T77" s="448"/>
      <c r="U77" s="483"/>
    </row>
    <row r="78" ht="15.75" customHeight="1">
      <c r="A78" s="425"/>
      <c r="B78" s="450"/>
      <c r="C78" s="451" t="s">
        <v>225</v>
      </c>
      <c r="D78" s="459">
        <v>3653588.0</v>
      </c>
      <c r="E78" s="458"/>
      <c r="F78" s="452"/>
      <c r="G78" s="453"/>
      <c r="H78" s="452"/>
      <c r="I78" s="496"/>
      <c r="J78" s="497">
        <v>3783743.0</v>
      </c>
      <c r="K78" s="458"/>
      <c r="L78" s="452"/>
      <c r="M78" s="453"/>
      <c r="N78" s="452"/>
      <c r="O78" s="458"/>
      <c r="P78" s="498"/>
      <c r="Q78" s="458"/>
      <c r="R78" s="452"/>
      <c r="S78" s="453"/>
      <c r="T78" s="452"/>
      <c r="U78" s="458"/>
    </row>
    <row r="79" ht="15.75" customHeight="1">
      <c r="A79" s="425"/>
      <c r="B79" s="450"/>
      <c r="C79" s="451" t="s">
        <v>226</v>
      </c>
      <c r="D79" s="452">
        <v>2398.0</v>
      </c>
      <c r="E79" s="453"/>
      <c r="F79" s="452"/>
      <c r="G79" s="453"/>
      <c r="H79" s="452"/>
      <c r="I79" s="458"/>
      <c r="J79" s="448">
        <v>5000.0</v>
      </c>
      <c r="K79" s="453"/>
      <c r="L79" s="452"/>
      <c r="M79" s="453"/>
      <c r="N79" s="452"/>
      <c r="O79" s="458"/>
      <c r="P79" s="482"/>
      <c r="Q79" s="458"/>
      <c r="R79" s="452"/>
      <c r="S79" s="453"/>
      <c r="T79" s="452"/>
      <c r="U79" s="458"/>
    </row>
    <row r="80" ht="15.75" customHeight="1">
      <c r="A80" s="425"/>
      <c r="B80" s="450"/>
      <c r="C80" s="451" t="s">
        <v>227</v>
      </c>
      <c r="D80" s="472"/>
      <c r="E80" s="473"/>
      <c r="F80" s="470"/>
      <c r="G80" s="471"/>
      <c r="H80" s="470"/>
      <c r="I80" s="473"/>
      <c r="J80" s="470"/>
      <c r="K80" s="453"/>
      <c r="L80" s="452"/>
      <c r="M80" s="453"/>
      <c r="N80" s="452"/>
      <c r="O80" s="458"/>
      <c r="P80" s="472"/>
      <c r="Q80" s="458"/>
      <c r="R80" s="452"/>
      <c r="S80" s="453"/>
      <c r="T80" s="452"/>
      <c r="U80" s="458"/>
    </row>
    <row r="81" ht="15.75" customHeight="1">
      <c r="A81" s="425"/>
      <c r="B81" s="450"/>
      <c r="C81" s="451" t="s">
        <v>228</v>
      </c>
      <c r="D81" s="499">
        <v>78816.9</v>
      </c>
      <c r="E81" s="500"/>
      <c r="F81" s="501"/>
      <c r="G81" s="501"/>
      <c r="H81" s="501"/>
      <c r="I81" s="501"/>
      <c r="J81" s="497">
        <v>78816.9</v>
      </c>
      <c r="K81" s="458"/>
      <c r="L81" s="452"/>
      <c r="M81" s="453"/>
      <c r="N81" s="452"/>
      <c r="O81" s="458"/>
      <c r="P81" s="498"/>
      <c r="Q81" s="458"/>
      <c r="R81" s="452"/>
      <c r="S81" s="453"/>
      <c r="T81" s="452"/>
      <c r="U81" s="458"/>
    </row>
    <row r="82" ht="15.75" customHeight="1">
      <c r="A82" s="425"/>
      <c r="B82" s="450"/>
      <c r="C82" s="451" t="s">
        <v>229</v>
      </c>
      <c r="D82" s="482"/>
      <c r="E82" s="483"/>
      <c r="F82" s="448"/>
      <c r="G82" s="449"/>
      <c r="H82" s="448"/>
      <c r="I82" s="483"/>
      <c r="J82" s="494"/>
      <c r="K82" s="453"/>
      <c r="L82" s="452"/>
      <c r="M82" s="453"/>
      <c r="N82" s="452"/>
      <c r="O82" s="458"/>
      <c r="P82" s="495"/>
      <c r="Q82" s="458"/>
      <c r="R82" s="452"/>
      <c r="S82" s="453"/>
      <c r="T82" s="452"/>
      <c r="U82" s="458"/>
    </row>
    <row r="83" ht="15.75" customHeight="1">
      <c r="A83" s="425"/>
      <c r="B83" s="450"/>
      <c r="C83" s="451" t="s">
        <v>230</v>
      </c>
      <c r="D83" s="459">
        <v>37496.37</v>
      </c>
      <c r="E83" s="458"/>
      <c r="F83" s="452"/>
      <c r="G83" s="453"/>
      <c r="H83" s="452"/>
      <c r="I83" s="496"/>
      <c r="J83" s="497">
        <v>107962.37</v>
      </c>
      <c r="K83" s="458"/>
      <c r="L83" s="452"/>
      <c r="M83" s="453"/>
      <c r="N83" s="452"/>
      <c r="O83" s="458"/>
      <c r="P83" s="498"/>
      <c r="Q83" s="458"/>
      <c r="R83" s="452"/>
      <c r="S83" s="453"/>
      <c r="T83" s="452"/>
      <c r="U83" s="458"/>
    </row>
    <row r="84" ht="15.75" customHeight="1">
      <c r="A84" s="425"/>
      <c r="B84" s="450"/>
      <c r="C84" s="451" t="s">
        <v>231</v>
      </c>
      <c r="D84" s="452"/>
      <c r="E84" s="453"/>
      <c r="F84" s="452"/>
      <c r="G84" s="453"/>
      <c r="H84" s="452"/>
      <c r="I84" s="458"/>
      <c r="J84" s="448"/>
      <c r="K84" s="453"/>
      <c r="L84" s="452"/>
      <c r="M84" s="453"/>
      <c r="N84" s="452"/>
      <c r="O84" s="458"/>
      <c r="P84" s="482"/>
      <c r="Q84" s="458"/>
      <c r="R84" s="452"/>
      <c r="S84" s="453"/>
      <c r="T84" s="452"/>
      <c r="U84" s="458"/>
    </row>
    <row r="85" ht="15.75" customHeight="1">
      <c r="A85" s="425"/>
      <c r="B85" s="450"/>
      <c r="C85" s="451" t="s">
        <v>232</v>
      </c>
      <c r="D85" s="452"/>
      <c r="E85" s="453"/>
      <c r="F85" s="452"/>
      <c r="G85" s="453"/>
      <c r="H85" s="452"/>
      <c r="I85" s="458"/>
      <c r="J85" s="452"/>
      <c r="K85" s="453"/>
      <c r="L85" s="452"/>
      <c r="M85" s="453"/>
      <c r="N85" s="452"/>
      <c r="O85" s="458"/>
      <c r="P85" s="459"/>
      <c r="Q85" s="458"/>
      <c r="R85" s="452"/>
      <c r="S85" s="453"/>
      <c r="T85" s="452"/>
      <c r="U85" s="458"/>
    </row>
    <row r="86" ht="15.75" customHeight="1">
      <c r="A86" s="425"/>
      <c r="B86" s="468"/>
      <c r="C86" s="491"/>
      <c r="D86" s="470"/>
      <c r="E86" s="471"/>
      <c r="F86" s="470"/>
      <c r="G86" s="471"/>
      <c r="H86" s="470"/>
      <c r="I86" s="473"/>
      <c r="J86" s="470"/>
      <c r="K86" s="471"/>
      <c r="L86" s="470"/>
      <c r="M86" s="471"/>
      <c r="N86" s="470"/>
      <c r="O86" s="473"/>
      <c r="P86" s="472"/>
      <c r="Q86" s="473"/>
      <c r="R86" s="470"/>
      <c r="S86" s="471"/>
      <c r="T86" s="470"/>
      <c r="U86" s="473"/>
    </row>
    <row r="87" ht="15.75" customHeight="1">
      <c r="A87" s="425"/>
      <c r="B87" s="474"/>
      <c r="C87" s="490" t="s">
        <v>38</v>
      </c>
      <c r="D87" s="444">
        <f>SUM(D88:D92)</f>
        <v>412150</v>
      </c>
      <c r="E87" s="445"/>
      <c r="F87" s="444">
        <f>SUM(F88:F92)</f>
        <v>0</v>
      </c>
      <c r="G87" s="445"/>
      <c r="H87" s="444">
        <f>SUM(H88:H92)</f>
        <v>0</v>
      </c>
      <c r="I87" s="476"/>
      <c r="J87" s="444">
        <f>SUM(J88:J92)</f>
        <v>401791</v>
      </c>
      <c r="K87" s="445"/>
      <c r="L87" s="444">
        <f>SUM(L88:L92)</f>
        <v>0</v>
      </c>
      <c r="M87" s="445"/>
      <c r="N87" s="444">
        <f>SUM(N88:N92)</f>
        <v>0</v>
      </c>
      <c r="O87" s="476"/>
      <c r="P87" s="475">
        <f>SUM(P88:P92)</f>
        <v>0</v>
      </c>
      <c r="Q87" s="476"/>
      <c r="R87" s="444">
        <f>SUM(R88:R92)</f>
        <v>0</v>
      </c>
      <c r="S87" s="445"/>
      <c r="T87" s="444">
        <f>SUM(T88:T92)</f>
        <v>0</v>
      </c>
      <c r="U87" s="476"/>
    </row>
    <row r="88" ht="15.75" customHeight="1">
      <c r="A88" s="425"/>
      <c r="B88" s="481"/>
      <c r="C88" s="447" t="s">
        <v>233</v>
      </c>
      <c r="D88" s="448">
        <v>0.0</v>
      </c>
      <c r="E88" s="449"/>
      <c r="F88" s="448"/>
      <c r="G88" s="449"/>
      <c r="H88" s="448"/>
      <c r="I88" s="483"/>
      <c r="J88" s="494">
        <v>0.0</v>
      </c>
      <c r="K88" s="449"/>
      <c r="L88" s="448"/>
      <c r="M88" s="449"/>
      <c r="N88" s="448"/>
      <c r="O88" s="483"/>
      <c r="P88" s="495"/>
      <c r="Q88" s="483"/>
      <c r="R88" s="448"/>
      <c r="S88" s="449"/>
      <c r="T88" s="448"/>
      <c r="U88" s="483"/>
    </row>
    <row r="89" ht="15.75" customHeight="1">
      <c r="A89" s="425"/>
      <c r="B89" s="450"/>
      <c r="C89" s="451" t="s">
        <v>234</v>
      </c>
      <c r="D89" s="459">
        <v>377034.0</v>
      </c>
      <c r="E89" s="458"/>
      <c r="F89" s="452"/>
      <c r="G89" s="453"/>
      <c r="H89" s="452"/>
      <c r="I89" s="496"/>
      <c r="J89" s="497">
        <v>387659.0</v>
      </c>
      <c r="K89" s="458"/>
      <c r="L89" s="452"/>
      <c r="M89" s="453"/>
      <c r="N89" s="452"/>
      <c r="O89" s="458"/>
      <c r="P89" s="498"/>
      <c r="Q89" s="458"/>
      <c r="R89" s="452"/>
      <c r="S89" s="453"/>
      <c r="T89" s="452"/>
      <c r="U89" s="458"/>
    </row>
    <row r="90" ht="15.75" customHeight="1">
      <c r="A90" s="425"/>
      <c r="B90" s="450"/>
      <c r="C90" s="451" t="s">
        <v>235</v>
      </c>
      <c r="D90" s="452">
        <v>0.0</v>
      </c>
      <c r="E90" s="453"/>
      <c r="F90" s="452"/>
      <c r="G90" s="453"/>
      <c r="H90" s="452"/>
      <c r="I90" s="458"/>
      <c r="J90" s="448">
        <v>0.0</v>
      </c>
      <c r="K90" s="453"/>
      <c r="L90" s="452"/>
      <c r="M90" s="453"/>
      <c r="N90" s="452"/>
      <c r="O90" s="458"/>
      <c r="P90" s="482"/>
      <c r="Q90" s="458"/>
      <c r="R90" s="452"/>
      <c r="S90" s="453"/>
      <c r="T90" s="452"/>
      <c r="U90" s="458"/>
    </row>
    <row r="91" ht="15.75" customHeight="1">
      <c r="A91" s="425"/>
      <c r="B91" s="450"/>
      <c r="C91" s="451" t="s">
        <v>236</v>
      </c>
      <c r="D91" s="452">
        <v>35116.0</v>
      </c>
      <c r="E91" s="453"/>
      <c r="F91" s="452"/>
      <c r="G91" s="453"/>
      <c r="H91" s="452"/>
      <c r="I91" s="458"/>
      <c r="J91" s="502">
        <v>14132.0</v>
      </c>
      <c r="K91" s="453"/>
      <c r="L91" s="452"/>
      <c r="M91" s="453"/>
      <c r="N91" s="452"/>
      <c r="O91" s="458"/>
      <c r="P91" s="503"/>
      <c r="Q91" s="458"/>
      <c r="R91" s="452"/>
      <c r="S91" s="453"/>
      <c r="T91" s="452"/>
      <c r="U91" s="458"/>
    </row>
    <row r="92" ht="15.75" customHeight="1">
      <c r="A92" s="425"/>
      <c r="B92" s="450"/>
      <c r="C92" s="451" t="s">
        <v>237</v>
      </c>
      <c r="D92" s="452"/>
      <c r="E92" s="453"/>
      <c r="F92" s="452"/>
      <c r="G92" s="453"/>
      <c r="H92" s="452"/>
      <c r="I92" s="458"/>
      <c r="J92" s="452"/>
      <c r="K92" s="453"/>
      <c r="L92" s="452"/>
      <c r="M92" s="453"/>
      <c r="N92" s="452"/>
      <c r="O92" s="458"/>
      <c r="P92" s="459"/>
      <c r="Q92" s="458"/>
      <c r="R92" s="452"/>
      <c r="S92" s="453"/>
      <c r="T92" s="452"/>
      <c r="U92" s="458"/>
    </row>
    <row r="93" ht="15.75" customHeight="1">
      <c r="A93" s="425"/>
      <c r="B93" s="468"/>
      <c r="C93" s="469"/>
      <c r="D93" s="470"/>
      <c r="E93" s="471"/>
      <c r="F93" s="470"/>
      <c r="G93" s="471"/>
      <c r="H93" s="470"/>
      <c r="I93" s="473"/>
      <c r="J93" s="470"/>
      <c r="K93" s="471"/>
      <c r="L93" s="470"/>
      <c r="M93" s="471"/>
      <c r="N93" s="470"/>
      <c r="O93" s="473"/>
      <c r="P93" s="472"/>
      <c r="Q93" s="473"/>
      <c r="R93" s="470"/>
      <c r="S93" s="471"/>
      <c r="T93" s="470"/>
      <c r="U93" s="473"/>
    </row>
    <row r="94" ht="15.75" customHeight="1">
      <c r="A94" s="425"/>
      <c r="B94" s="474"/>
      <c r="C94" s="490" t="s">
        <v>238</v>
      </c>
      <c r="D94" s="444">
        <f>SUM(D95:D96)</f>
        <v>127944.07</v>
      </c>
      <c r="E94" s="445"/>
      <c r="F94" s="444">
        <f>SUM(F95:F96)</f>
        <v>0</v>
      </c>
      <c r="G94" s="445"/>
      <c r="H94" s="444"/>
      <c r="I94" s="476"/>
      <c r="J94" s="444">
        <f>SUM(J95:J96)</f>
        <v>113293.5</v>
      </c>
      <c r="K94" s="445"/>
      <c r="L94" s="444">
        <f>SUM(L95:L96)</f>
        <v>0</v>
      </c>
      <c r="M94" s="445"/>
      <c r="N94" s="444"/>
      <c r="O94" s="476"/>
      <c r="P94" s="475">
        <f>SUM(P95:P96)</f>
        <v>0</v>
      </c>
      <c r="Q94" s="476"/>
      <c r="R94" s="444">
        <f>SUM(R95:R96)</f>
        <v>0</v>
      </c>
      <c r="S94" s="445"/>
      <c r="T94" s="444"/>
      <c r="U94" s="476"/>
    </row>
    <row r="95" ht="15.75" customHeight="1">
      <c r="A95" s="425"/>
      <c r="B95" s="481"/>
      <c r="C95" s="447" t="s">
        <v>239</v>
      </c>
      <c r="D95" s="448"/>
      <c r="E95" s="449"/>
      <c r="F95" s="448"/>
      <c r="G95" s="449"/>
      <c r="H95" s="448"/>
      <c r="I95" s="483"/>
      <c r="J95" s="448">
        <v>54044.5</v>
      </c>
      <c r="K95" s="449"/>
      <c r="L95" s="448"/>
      <c r="M95" s="449"/>
      <c r="N95" s="448"/>
      <c r="O95" s="483"/>
      <c r="P95" s="482"/>
      <c r="Q95" s="483"/>
      <c r="R95" s="448"/>
      <c r="S95" s="449"/>
      <c r="T95" s="448"/>
      <c r="U95" s="483"/>
    </row>
    <row r="96" ht="15.75" customHeight="1">
      <c r="A96" s="425"/>
      <c r="B96" s="450"/>
      <c r="C96" s="451" t="s">
        <v>240</v>
      </c>
      <c r="D96" s="452">
        <v>127944.07</v>
      </c>
      <c r="E96" s="453"/>
      <c r="F96" s="452"/>
      <c r="G96" s="453"/>
      <c r="H96" s="452"/>
      <c r="I96" s="458"/>
      <c r="J96" s="452">
        <v>59249.0</v>
      </c>
      <c r="K96" s="453"/>
      <c r="L96" s="452"/>
      <c r="M96" s="453"/>
      <c r="N96" s="452"/>
      <c r="O96" s="458"/>
      <c r="P96" s="459"/>
      <c r="Q96" s="458"/>
      <c r="R96" s="452"/>
      <c r="S96" s="453"/>
      <c r="T96" s="452"/>
      <c r="U96" s="458"/>
    </row>
    <row r="97" ht="15.75" customHeight="1">
      <c r="A97" s="425"/>
      <c r="B97" s="468"/>
      <c r="C97" s="469"/>
      <c r="D97" s="470"/>
      <c r="E97" s="471"/>
      <c r="F97" s="470"/>
      <c r="G97" s="471"/>
      <c r="H97" s="470"/>
      <c r="I97" s="473"/>
      <c r="J97" s="470"/>
      <c r="K97" s="471"/>
      <c r="L97" s="470"/>
      <c r="M97" s="471"/>
      <c r="N97" s="470"/>
      <c r="O97" s="473"/>
      <c r="P97" s="472"/>
      <c r="Q97" s="473"/>
      <c r="R97" s="470"/>
      <c r="S97" s="471"/>
      <c r="T97" s="470"/>
      <c r="U97" s="473"/>
    </row>
    <row r="98" ht="15.75" customHeight="1">
      <c r="A98" s="425"/>
      <c r="B98" s="474"/>
      <c r="C98" s="490" t="s">
        <v>40</v>
      </c>
      <c r="D98" s="444">
        <f>SUM(D99:D112)</f>
        <v>246613.5</v>
      </c>
      <c r="E98" s="445"/>
      <c r="F98" s="444">
        <f>SUM(F99:F111)</f>
        <v>737.5</v>
      </c>
      <c r="G98" s="445"/>
      <c r="H98" s="444">
        <f>SUM(H99:H111)</f>
        <v>737.5</v>
      </c>
      <c r="I98" s="476"/>
      <c r="J98" s="444">
        <f>SUM(J99:J112)</f>
        <v>1937450.5</v>
      </c>
      <c r="K98" s="445"/>
      <c r="L98" s="444">
        <f>SUM(L99:L111)</f>
        <v>0</v>
      </c>
      <c r="M98" s="445"/>
      <c r="N98" s="444">
        <f>SUM(N99:N111)</f>
        <v>0</v>
      </c>
      <c r="O98" s="476"/>
      <c r="P98" s="475">
        <f>SUM(P99:P112)</f>
        <v>0</v>
      </c>
      <c r="Q98" s="476"/>
      <c r="R98" s="444">
        <f>SUM(R99:R111)</f>
        <v>0</v>
      </c>
      <c r="S98" s="445"/>
      <c r="T98" s="444">
        <f>SUM(T99:T111)</f>
        <v>0</v>
      </c>
      <c r="U98" s="476"/>
    </row>
    <row r="99" ht="15.75" customHeight="1">
      <c r="A99" s="425"/>
      <c r="B99" s="481"/>
      <c r="C99" s="447" t="s">
        <v>241</v>
      </c>
      <c r="D99" s="448">
        <v>0.0</v>
      </c>
      <c r="E99" s="449"/>
      <c r="F99" s="448"/>
      <c r="G99" s="449"/>
      <c r="H99" s="448"/>
      <c r="I99" s="483"/>
      <c r="J99" s="448">
        <v>0.0</v>
      </c>
      <c r="K99" s="449"/>
      <c r="L99" s="448"/>
      <c r="M99" s="449"/>
      <c r="N99" s="448"/>
      <c r="O99" s="483"/>
      <c r="P99" s="482"/>
      <c r="Q99" s="483"/>
      <c r="R99" s="448"/>
      <c r="S99" s="449"/>
      <c r="T99" s="448"/>
      <c r="U99" s="483"/>
    </row>
    <row r="100" ht="15.75" customHeight="1">
      <c r="A100" s="425"/>
      <c r="B100" s="450"/>
      <c r="C100" s="451" t="s">
        <v>242</v>
      </c>
      <c r="D100" s="502">
        <v>0.0</v>
      </c>
      <c r="E100" s="453"/>
      <c r="F100" s="452"/>
      <c r="G100" s="453"/>
      <c r="H100" s="452"/>
      <c r="I100" s="458"/>
      <c r="J100" s="502">
        <v>0.0</v>
      </c>
      <c r="K100" s="453"/>
      <c r="L100" s="452"/>
      <c r="M100" s="453"/>
      <c r="N100" s="452"/>
      <c r="O100" s="458"/>
      <c r="P100" s="503"/>
      <c r="Q100" s="458"/>
      <c r="R100" s="452"/>
      <c r="S100" s="453"/>
      <c r="T100" s="452"/>
      <c r="U100" s="458"/>
    </row>
    <row r="101" ht="15.75" customHeight="1">
      <c r="A101" s="425"/>
      <c r="B101" s="450"/>
      <c r="C101" s="451" t="s">
        <v>243</v>
      </c>
      <c r="D101" s="452"/>
      <c r="E101" s="453"/>
      <c r="F101" s="452"/>
      <c r="G101" s="453"/>
      <c r="H101" s="452"/>
      <c r="I101" s="458"/>
      <c r="J101" s="452"/>
      <c r="K101" s="453"/>
      <c r="L101" s="452"/>
      <c r="M101" s="453"/>
      <c r="N101" s="452"/>
      <c r="O101" s="458"/>
      <c r="P101" s="459"/>
      <c r="Q101" s="458"/>
      <c r="R101" s="452"/>
      <c r="S101" s="453"/>
      <c r="T101" s="452"/>
      <c r="U101" s="458"/>
    </row>
    <row r="102" ht="15.75" customHeight="1">
      <c r="A102" s="425"/>
      <c r="B102" s="450"/>
      <c r="C102" s="451" t="s">
        <v>244</v>
      </c>
      <c r="D102" s="452"/>
      <c r="E102" s="453"/>
      <c r="F102" s="452"/>
      <c r="G102" s="453"/>
      <c r="H102" s="452"/>
      <c r="I102" s="458"/>
      <c r="J102" s="452"/>
      <c r="K102" s="453"/>
      <c r="L102" s="452"/>
      <c r="M102" s="453"/>
      <c r="N102" s="452"/>
      <c r="O102" s="458"/>
      <c r="P102" s="459"/>
      <c r="Q102" s="458"/>
      <c r="R102" s="452"/>
      <c r="S102" s="453"/>
      <c r="T102" s="452"/>
      <c r="U102" s="458"/>
    </row>
    <row r="103" ht="15.75" customHeight="1">
      <c r="A103" s="425"/>
      <c r="B103" s="450"/>
      <c r="C103" s="451" t="s">
        <v>245</v>
      </c>
      <c r="D103" s="452">
        <v>32234.0</v>
      </c>
      <c r="E103" s="453"/>
      <c r="F103" s="452"/>
      <c r="G103" s="453"/>
      <c r="H103" s="452"/>
      <c r="I103" s="458"/>
      <c r="J103" s="452">
        <v>56525.0</v>
      </c>
      <c r="K103" s="453"/>
      <c r="L103" s="452"/>
      <c r="M103" s="453"/>
      <c r="N103" s="452"/>
      <c r="O103" s="458"/>
      <c r="P103" s="459"/>
      <c r="Q103" s="458"/>
      <c r="R103" s="452"/>
      <c r="S103" s="453"/>
      <c r="T103" s="452"/>
      <c r="U103" s="458"/>
    </row>
    <row r="104" ht="15.75" customHeight="1">
      <c r="A104" s="425"/>
      <c r="B104" s="450"/>
      <c r="C104" s="451" t="s">
        <v>246</v>
      </c>
      <c r="D104" s="452">
        <v>737.5</v>
      </c>
      <c r="E104" s="452">
        <v>737.5</v>
      </c>
      <c r="F104" s="452">
        <v>737.5</v>
      </c>
      <c r="G104" s="452">
        <v>737.5</v>
      </c>
      <c r="H104" s="452">
        <v>737.5</v>
      </c>
      <c r="I104" s="452">
        <v>737.5</v>
      </c>
      <c r="J104" s="452">
        <v>737.5</v>
      </c>
      <c r="K104" s="453"/>
      <c r="L104" s="452"/>
      <c r="M104" s="453"/>
      <c r="N104" s="452"/>
      <c r="O104" s="458"/>
      <c r="P104" s="459"/>
      <c r="Q104" s="458"/>
      <c r="R104" s="452"/>
      <c r="S104" s="453"/>
      <c r="T104" s="452"/>
      <c r="U104" s="458"/>
    </row>
    <row r="105" ht="15.75" customHeight="1">
      <c r="A105" s="425"/>
      <c r="B105" s="450"/>
      <c r="C105" s="451" t="s">
        <v>247</v>
      </c>
      <c r="D105" s="452">
        <v>161262.0</v>
      </c>
      <c r="E105" s="453"/>
      <c r="F105" s="452"/>
      <c r="G105" s="453"/>
      <c r="H105" s="452"/>
      <c r="I105" s="458"/>
      <c r="J105" s="452">
        <v>1842716.0</v>
      </c>
      <c r="K105" s="453"/>
      <c r="L105" s="452"/>
      <c r="M105" s="453"/>
      <c r="N105" s="452"/>
      <c r="O105" s="458"/>
      <c r="P105" s="459"/>
      <c r="Q105" s="458"/>
      <c r="R105" s="452"/>
      <c r="S105" s="453"/>
      <c r="T105" s="452"/>
      <c r="U105" s="458"/>
    </row>
    <row r="106" ht="15.75" customHeight="1">
      <c r="A106" s="425"/>
      <c r="B106" s="450"/>
      <c r="C106" s="451" t="s">
        <v>248</v>
      </c>
      <c r="D106" s="452"/>
      <c r="E106" s="453"/>
      <c r="F106" s="452"/>
      <c r="G106" s="453"/>
      <c r="H106" s="452"/>
      <c r="I106" s="458"/>
      <c r="J106" s="452"/>
      <c r="K106" s="453"/>
      <c r="L106" s="452"/>
      <c r="M106" s="453"/>
      <c r="N106" s="452"/>
      <c r="O106" s="458"/>
      <c r="P106" s="459"/>
      <c r="Q106" s="458"/>
      <c r="R106" s="452"/>
      <c r="S106" s="453"/>
      <c r="T106" s="452"/>
      <c r="U106" s="458"/>
    </row>
    <row r="107" ht="15.75" customHeight="1">
      <c r="A107" s="425"/>
      <c r="B107" s="450"/>
      <c r="C107" s="451" t="s">
        <v>249</v>
      </c>
      <c r="D107" s="452"/>
      <c r="E107" s="453"/>
      <c r="F107" s="452"/>
      <c r="G107" s="453"/>
      <c r="H107" s="452"/>
      <c r="I107" s="458"/>
      <c r="J107" s="452"/>
      <c r="K107" s="453"/>
      <c r="L107" s="452"/>
      <c r="M107" s="453"/>
      <c r="N107" s="452"/>
      <c r="O107" s="458"/>
      <c r="P107" s="459"/>
      <c r="Q107" s="458"/>
      <c r="R107" s="452"/>
      <c r="S107" s="453"/>
      <c r="T107" s="452"/>
      <c r="U107" s="458"/>
    </row>
    <row r="108" ht="15.75" customHeight="1">
      <c r="A108" s="425"/>
      <c r="B108" s="450"/>
      <c r="C108" s="451" t="s">
        <v>250</v>
      </c>
      <c r="D108" s="452"/>
      <c r="E108" s="453"/>
      <c r="F108" s="452"/>
      <c r="G108" s="453"/>
      <c r="H108" s="452"/>
      <c r="I108" s="458"/>
      <c r="J108" s="452"/>
      <c r="K108" s="453"/>
      <c r="L108" s="452"/>
      <c r="M108" s="453"/>
      <c r="N108" s="452"/>
      <c r="O108" s="458"/>
      <c r="P108" s="459"/>
      <c r="Q108" s="458"/>
      <c r="R108" s="452"/>
      <c r="S108" s="453"/>
      <c r="T108" s="452"/>
      <c r="U108" s="458"/>
    </row>
    <row r="109" ht="15.75" customHeight="1">
      <c r="A109" s="425"/>
      <c r="B109" s="450"/>
      <c r="C109" s="451" t="s">
        <v>251</v>
      </c>
      <c r="D109" s="452">
        <v>52380.0</v>
      </c>
      <c r="E109" s="453"/>
      <c r="F109" s="452"/>
      <c r="G109" s="453"/>
      <c r="H109" s="452"/>
      <c r="I109" s="458"/>
      <c r="J109" s="452">
        <v>37472.0</v>
      </c>
      <c r="K109" s="453"/>
      <c r="L109" s="452"/>
      <c r="M109" s="453"/>
      <c r="N109" s="452"/>
      <c r="O109" s="458"/>
      <c r="P109" s="459"/>
      <c r="Q109" s="458"/>
      <c r="R109" s="452"/>
      <c r="S109" s="453"/>
      <c r="T109" s="452"/>
      <c r="U109" s="458"/>
    </row>
    <row r="110" ht="15.75" customHeight="1">
      <c r="A110" s="425"/>
      <c r="B110" s="450"/>
      <c r="C110" s="451" t="s">
        <v>252</v>
      </c>
      <c r="D110" s="452"/>
      <c r="E110" s="453"/>
      <c r="F110" s="452"/>
      <c r="G110" s="453"/>
      <c r="H110" s="452"/>
      <c r="I110" s="458"/>
      <c r="J110" s="452"/>
      <c r="K110" s="453"/>
      <c r="L110" s="452"/>
      <c r="M110" s="453"/>
      <c r="N110" s="452"/>
      <c r="O110" s="458"/>
      <c r="P110" s="459"/>
      <c r="Q110" s="458"/>
      <c r="R110" s="452"/>
      <c r="S110" s="453"/>
      <c r="T110" s="452"/>
      <c r="U110" s="458"/>
    </row>
    <row r="111" ht="15.75" customHeight="1">
      <c r="A111" s="425"/>
      <c r="B111" s="450"/>
      <c r="C111" s="451" t="s">
        <v>177</v>
      </c>
      <c r="D111" s="452"/>
      <c r="E111" s="453"/>
      <c r="F111" s="452"/>
      <c r="G111" s="453"/>
      <c r="H111" s="452"/>
      <c r="I111" s="458"/>
      <c r="J111" s="452"/>
      <c r="K111" s="453"/>
      <c r="L111" s="452"/>
      <c r="M111" s="453"/>
      <c r="N111" s="452"/>
      <c r="O111" s="458"/>
      <c r="P111" s="459"/>
      <c r="Q111" s="458"/>
      <c r="R111" s="452"/>
      <c r="S111" s="453"/>
      <c r="T111" s="452"/>
      <c r="U111" s="458"/>
    </row>
    <row r="112" ht="15.75" customHeight="1">
      <c r="A112" s="425"/>
      <c r="B112" s="468"/>
      <c r="C112" s="504"/>
      <c r="D112" s="470"/>
      <c r="E112" s="471"/>
      <c r="F112" s="470"/>
      <c r="G112" s="471"/>
      <c r="H112" s="470"/>
      <c r="I112" s="473"/>
      <c r="J112" s="470"/>
      <c r="K112" s="471"/>
      <c r="L112" s="470"/>
      <c r="M112" s="471"/>
      <c r="N112" s="470"/>
      <c r="O112" s="473"/>
      <c r="P112" s="472"/>
      <c r="Q112" s="473"/>
      <c r="R112" s="470"/>
      <c r="S112" s="471"/>
      <c r="T112" s="470"/>
      <c r="U112" s="473"/>
    </row>
    <row r="113" ht="15.75" customHeight="1">
      <c r="A113" s="425"/>
      <c r="B113" s="474"/>
      <c r="C113" s="490" t="s">
        <v>41</v>
      </c>
      <c r="D113" s="444">
        <f>SUM(D114:D116)</f>
        <v>140349</v>
      </c>
      <c r="E113" s="445">
        <f>SUM(E114:E115)</f>
        <v>0</v>
      </c>
      <c r="F113" s="444">
        <f>SUM(F114:F116)</f>
        <v>0</v>
      </c>
      <c r="G113" s="445"/>
      <c r="H113" s="444"/>
      <c r="I113" s="476">
        <f>SUM(I114:I115)</f>
        <v>0</v>
      </c>
      <c r="J113" s="444">
        <f>SUM(J114:J116)</f>
        <v>687949</v>
      </c>
      <c r="K113" s="445">
        <f>SUM(K114:K115)</f>
        <v>0</v>
      </c>
      <c r="L113" s="444">
        <f>SUM(L114:L116)</f>
        <v>0</v>
      </c>
      <c r="M113" s="445"/>
      <c r="N113" s="444"/>
      <c r="O113" s="476">
        <f>SUM(O114:O115)</f>
        <v>0</v>
      </c>
      <c r="P113" s="475">
        <f>SUM(P114:P116)</f>
        <v>0</v>
      </c>
      <c r="Q113" s="476">
        <f>SUM(Q114:Q115)</f>
        <v>0</v>
      </c>
      <c r="R113" s="444">
        <f>SUM(R114:R116)</f>
        <v>0</v>
      </c>
      <c r="S113" s="445"/>
      <c r="T113" s="444"/>
      <c r="U113" s="476">
        <f>SUM(U114:U115)</f>
        <v>0</v>
      </c>
    </row>
    <row r="114" ht="15.75" customHeight="1">
      <c r="A114" s="425"/>
      <c r="B114" s="481"/>
      <c r="C114" s="447" t="s">
        <v>253</v>
      </c>
      <c r="D114" s="448"/>
      <c r="E114" s="449"/>
      <c r="F114" s="448"/>
      <c r="G114" s="449"/>
      <c r="H114" s="448"/>
      <c r="I114" s="483"/>
      <c r="J114" s="448"/>
      <c r="K114" s="449"/>
      <c r="L114" s="448"/>
      <c r="M114" s="449"/>
      <c r="N114" s="448"/>
      <c r="O114" s="483"/>
      <c r="P114" s="482"/>
      <c r="Q114" s="483"/>
      <c r="R114" s="448"/>
      <c r="S114" s="449"/>
      <c r="T114" s="448"/>
      <c r="U114" s="483"/>
    </row>
    <row r="115" ht="15.75" customHeight="1">
      <c r="A115" s="425"/>
      <c r="B115" s="450"/>
      <c r="C115" s="451" t="s">
        <v>254</v>
      </c>
      <c r="D115" s="452">
        <v>140349.0</v>
      </c>
      <c r="E115" s="453"/>
      <c r="F115" s="452"/>
      <c r="G115" s="453"/>
      <c r="H115" s="452"/>
      <c r="I115" s="458"/>
      <c r="J115" s="452">
        <v>687949.0</v>
      </c>
      <c r="K115" s="453"/>
      <c r="L115" s="452"/>
      <c r="M115" s="453"/>
      <c r="N115" s="452"/>
      <c r="O115" s="458"/>
      <c r="P115" s="459"/>
      <c r="Q115" s="458"/>
      <c r="R115" s="452"/>
      <c r="S115" s="453"/>
      <c r="T115" s="452"/>
      <c r="U115" s="458"/>
    </row>
    <row r="116" ht="15.75" customHeight="1">
      <c r="A116" s="425"/>
      <c r="B116" s="468"/>
      <c r="C116" s="469"/>
      <c r="D116" s="470"/>
      <c r="E116" s="471"/>
      <c r="F116" s="470"/>
      <c r="G116" s="471"/>
      <c r="H116" s="470"/>
      <c r="I116" s="473"/>
      <c r="J116" s="470"/>
      <c r="K116" s="471"/>
      <c r="L116" s="470"/>
      <c r="M116" s="471"/>
      <c r="N116" s="470"/>
      <c r="O116" s="473"/>
      <c r="P116" s="472"/>
      <c r="Q116" s="473"/>
      <c r="R116" s="470"/>
      <c r="S116" s="471"/>
      <c r="T116" s="470"/>
      <c r="U116" s="473"/>
    </row>
    <row r="117" ht="15.75" customHeight="1">
      <c r="A117" s="425"/>
      <c r="B117" s="474"/>
      <c r="C117" s="490" t="s">
        <v>42</v>
      </c>
      <c r="D117" s="444">
        <f>SUM(D118:D119)</f>
        <v>327777.41</v>
      </c>
      <c r="E117" s="445"/>
      <c r="F117" s="444">
        <f>SUM(F118:F119)</f>
        <v>0</v>
      </c>
      <c r="G117" s="445"/>
      <c r="H117" s="444"/>
      <c r="I117" s="476"/>
      <c r="J117" s="444">
        <f>SUM(J118:J119)</f>
        <v>96048</v>
      </c>
      <c r="K117" s="445"/>
      <c r="L117" s="444">
        <f>SUM(L118:L119)</f>
        <v>0</v>
      </c>
      <c r="M117" s="445"/>
      <c r="N117" s="444"/>
      <c r="O117" s="476"/>
      <c r="P117" s="475">
        <f>SUM(P118:P119)</f>
        <v>0</v>
      </c>
      <c r="Q117" s="476"/>
      <c r="R117" s="444">
        <f>SUM(R118:R119)</f>
        <v>0</v>
      </c>
      <c r="S117" s="445"/>
      <c r="T117" s="444"/>
      <c r="U117" s="476"/>
    </row>
    <row r="118" ht="15.75" customHeight="1">
      <c r="A118" s="425"/>
      <c r="B118" s="481"/>
      <c r="C118" s="447" t="s">
        <v>255</v>
      </c>
      <c r="D118" s="448">
        <v>327777.41</v>
      </c>
      <c r="E118" s="449"/>
      <c r="F118" s="448"/>
      <c r="G118" s="449"/>
      <c r="H118" s="448"/>
      <c r="I118" s="483"/>
      <c r="J118" s="505">
        <v>96048.0</v>
      </c>
      <c r="K118" s="449"/>
      <c r="L118" s="448"/>
      <c r="M118" s="449"/>
      <c r="N118" s="448"/>
      <c r="O118" s="483"/>
      <c r="P118" s="506"/>
      <c r="Q118" s="483"/>
      <c r="R118" s="448"/>
      <c r="S118" s="449"/>
      <c r="T118" s="448"/>
      <c r="U118" s="483"/>
    </row>
    <row r="119" ht="15.75" customHeight="1">
      <c r="A119" s="425"/>
      <c r="B119" s="450"/>
      <c r="C119" s="451" t="s">
        <v>256</v>
      </c>
      <c r="D119" s="452"/>
      <c r="E119" s="453"/>
      <c r="F119" s="452"/>
      <c r="G119" s="453"/>
      <c r="H119" s="452"/>
      <c r="I119" s="458"/>
      <c r="J119" s="452"/>
      <c r="K119" s="453"/>
      <c r="L119" s="452"/>
      <c r="M119" s="453"/>
      <c r="N119" s="452"/>
      <c r="O119" s="458"/>
      <c r="P119" s="459"/>
      <c r="Q119" s="458"/>
      <c r="R119" s="452"/>
      <c r="S119" s="453"/>
      <c r="T119" s="452"/>
      <c r="U119" s="458"/>
    </row>
    <row r="120" ht="15.75" customHeight="1">
      <c r="A120" s="425"/>
      <c r="B120" s="507"/>
      <c r="C120" s="469"/>
      <c r="D120" s="470"/>
      <c r="E120" s="471"/>
      <c r="F120" s="470"/>
      <c r="G120" s="471"/>
      <c r="H120" s="470"/>
      <c r="I120" s="473"/>
      <c r="J120" s="470"/>
      <c r="K120" s="471"/>
      <c r="L120" s="470"/>
      <c r="M120" s="471"/>
      <c r="N120" s="470"/>
      <c r="O120" s="473"/>
      <c r="P120" s="472"/>
      <c r="Q120" s="473"/>
      <c r="R120" s="470"/>
      <c r="S120" s="471"/>
      <c r="T120" s="470"/>
      <c r="U120" s="473"/>
    </row>
    <row r="121" ht="15.75" customHeight="1">
      <c r="A121" s="425"/>
      <c r="B121" s="474"/>
      <c r="C121" s="443" t="s">
        <v>257</v>
      </c>
      <c r="D121" s="444">
        <f>D43+D52+D63+D70+D76+D87+D94+D98+D113+D117</f>
        <v>6000422.497</v>
      </c>
      <c r="E121" s="445"/>
      <c r="F121" s="444">
        <f>F43+F52+F63+F70+F76+F87+F94+F98+F113+F117</f>
        <v>53837.5</v>
      </c>
      <c r="G121" s="445"/>
      <c r="H121" s="444"/>
      <c r="I121" s="476"/>
      <c r="J121" s="444">
        <f>J43+J52+J63+J70+J76+J87+J94+J98+J113+J117</f>
        <v>8100762.27</v>
      </c>
      <c r="K121" s="445"/>
      <c r="L121" s="444">
        <f>L43+L52+L63+L70+L76+L87+L94+L98+L113+L117</f>
        <v>0</v>
      </c>
      <c r="M121" s="445"/>
      <c r="N121" s="444"/>
      <c r="O121" s="476"/>
      <c r="P121" s="475">
        <f>P43+P52+P63+P70+P76+P87+P94+P98+P113+P117</f>
        <v>0</v>
      </c>
      <c r="Q121" s="476"/>
      <c r="R121" s="444">
        <f>R43+R52+R63+R70+R76+R87+R94+R98+R113+R117</f>
        <v>0</v>
      </c>
      <c r="S121" s="445"/>
      <c r="T121" s="444"/>
      <c r="U121" s="476"/>
    </row>
    <row r="122" ht="15.75" customHeight="1">
      <c r="A122" s="425"/>
      <c r="B122" s="508"/>
      <c r="C122" s="438"/>
      <c r="D122" s="494"/>
      <c r="E122" s="509"/>
      <c r="F122" s="494"/>
      <c r="G122" s="509"/>
      <c r="H122" s="494"/>
      <c r="I122" s="510"/>
      <c r="J122" s="494"/>
      <c r="K122" s="509"/>
      <c r="L122" s="494"/>
      <c r="M122" s="509"/>
      <c r="N122" s="494"/>
      <c r="O122" s="510"/>
      <c r="P122" s="495"/>
      <c r="Q122" s="510"/>
      <c r="R122" s="494"/>
      <c r="S122" s="509"/>
      <c r="T122" s="494"/>
      <c r="U122" s="510"/>
    </row>
    <row r="123" ht="15.75" customHeight="1">
      <c r="A123" s="425"/>
      <c r="B123" s="474"/>
      <c r="C123" s="443" t="s">
        <v>258</v>
      </c>
      <c r="D123" s="444">
        <f>D35-D121</f>
        <v>-6000422.497</v>
      </c>
      <c r="E123" s="445"/>
      <c r="F123" s="444">
        <f>F35-F121</f>
        <v>-53837.5</v>
      </c>
      <c r="G123" s="445"/>
      <c r="H123" s="444">
        <f>H35-H121</f>
        <v>0</v>
      </c>
      <c r="I123" s="476"/>
      <c r="J123" s="444">
        <f>J35-J121</f>
        <v>-8100762.27</v>
      </c>
      <c r="K123" s="445"/>
      <c r="L123" s="444">
        <f>L35-L121</f>
        <v>0</v>
      </c>
      <c r="M123" s="445"/>
      <c r="N123" s="444">
        <f>N35-N121</f>
        <v>0</v>
      </c>
      <c r="O123" s="476"/>
      <c r="P123" s="475">
        <f>P35-P121</f>
        <v>0</v>
      </c>
      <c r="Q123" s="476"/>
      <c r="R123" s="444">
        <f>R35-R121</f>
        <v>0</v>
      </c>
      <c r="S123" s="445"/>
      <c r="T123" s="444">
        <f>T35-T121</f>
        <v>0</v>
      </c>
      <c r="U123" s="476"/>
    </row>
    <row r="124" ht="15.75" customHeight="1">
      <c r="A124" s="425"/>
      <c r="B124" s="425"/>
      <c r="C124" s="425"/>
      <c r="D124" s="425"/>
      <c r="E124" s="425"/>
      <c r="F124" s="425"/>
      <c r="G124" s="425"/>
      <c r="H124" s="425"/>
      <c r="I124" s="425"/>
      <c r="J124" s="425"/>
      <c r="K124" s="425"/>
      <c r="L124" s="425"/>
      <c r="M124" s="425"/>
      <c r="N124" s="425"/>
      <c r="O124" s="425"/>
      <c r="P124" s="425"/>
      <c r="Q124" s="425"/>
      <c r="R124" s="425"/>
      <c r="S124" s="425"/>
      <c r="T124" s="425"/>
      <c r="U124" s="425"/>
    </row>
    <row r="125" ht="15.75" customHeight="1">
      <c r="A125" s="425"/>
      <c r="B125" s="425"/>
      <c r="C125" s="425"/>
      <c r="D125" s="425"/>
      <c r="E125" s="425"/>
      <c r="F125" s="425"/>
      <c r="G125" s="425"/>
      <c r="H125" s="425"/>
      <c r="I125" s="425"/>
      <c r="J125" s="425"/>
      <c r="K125" s="425"/>
      <c r="L125" s="425"/>
      <c r="M125" s="425"/>
      <c r="N125" s="425"/>
      <c r="O125" s="425"/>
      <c r="P125" s="425"/>
      <c r="Q125" s="425"/>
      <c r="R125" s="425"/>
      <c r="S125" s="425"/>
      <c r="T125" s="425"/>
      <c r="U125" s="425"/>
    </row>
    <row r="126" ht="15.75" customHeight="1">
      <c r="A126" s="425"/>
      <c r="B126" s="425"/>
      <c r="C126" s="425"/>
      <c r="D126" s="425"/>
      <c r="E126" s="425"/>
      <c r="F126" s="425"/>
      <c r="G126" s="425"/>
      <c r="H126" s="425"/>
      <c r="I126" s="425"/>
      <c r="J126" s="425"/>
      <c r="K126" s="425"/>
      <c r="L126" s="425"/>
      <c r="M126" s="425"/>
      <c r="N126" s="425"/>
      <c r="O126" s="425"/>
      <c r="P126" s="425"/>
      <c r="Q126" s="425"/>
      <c r="R126" s="425"/>
      <c r="S126" s="425"/>
      <c r="T126" s="425"/>
      <c r="U126" s="425"/>
    </row>
    <row r="127" ht="15.75" customHeight="1">
      <c r="A127" s="425"/>
      <c r="B127" s="425"/>
      <c r="C127" s="425"/>
      <c r="D127" s="425"/>
      <c r="E127" s="425"/>
      <c r="F127" s="425"/>
      <c r="G127" s="425"/>
      <c r="H127" s="425"/>
      <c r="I127" s="425"/>
      <c r="J127" s="425"/>
      <c r="K127" s="425"/>
      <c r="L127" s="425"/>
      <c r="M127" s="425"/>
      <c r="N127" s="425"/>
      <c r="O127" s="425"/>
      <c r="P127" s="425"/>
      <c r="Q127" s="425"/>
      <c r="R127" s="425"/>
      <c r="S127" s="425"/>
      <c r="T127" s="425"/>
      <c r="U127" s="425"/>
    </row>
    <row r="128" ht="15.75" customHeight="1">
      <c r="A128" s="425"/>
      <c r="B128" s="425"/>
      <c r="C128" s="425"/>
      <c r="D128" s="425"/>
      <c r="E128" s="425"/>
      <c r="F128" s="425"/>
      <c r="G128" s="425"/>
      <c r="H128" s="425"/>
      <c r="I128" s="425"/>
      <c r="J128" s="425"/>
      <c r="K128" s="425"/>
      <c r="L128" s="425"/>
      <c r="M128" s="425"/>
      <c r="N128" s="425"/>
      <c r="O128" s="425"/>
      <c r="P128" s="425"/>
      <c r="Q128" s="425"/>
      <c r="R128" s="425"/>
      <c r="S128" s="425"/>
      <c r="T128" s="425"/>
      <c r="U128" s="425"/>
    </row>
    <row r="129" ht="15.75" customHeight="1">
      <c r="A129" s="425"/>
      <c r="B129" s="425"/>
      <c r="C129" s="425"/>
      <c r="D129" s="425"/>
      <c r="E129" s="425"/>
      <c r="F129" s="425"/>
      <c r="G129" s="425"/>
      <c r="H129" s="425"/>
      <c r="I129" s="425"/>
      <c r="J129" s="425"/>
      <c r="K129" s="425"/>
      <c r="L129" s="425"/>
      <c r="M129" s="425"/>
      <c r="N129" s="425"/>
      <c r="O129" s="425"/>
      <c r="P129" s="425"/>
      <c r="Q129" s="425"/>
      <c r="R129" s="425"/>
      <c r="S129" s="425"/>
      <c r="T129" s="425"/>
      <c r="U129" s="425"/>
    </row>
    <row r="130" ht="15.75" customHeight="1">
      <c r="A130" s="425"/>
      <c r="B130" s="425"/>
      <c r="C130" s="425"/>
      <c r="D130" s="425"/>
      <c r="E130" s="425"/>
      <c r="F130" s="425"/>
      <c r="G130" s="425"/>
      <c r="H130" s="425"/>
      <c r="I130" s="425"/>
      <c r="J130" s="425"/>
      <c r="K130" s="425"/>
      <c r="L130" s="425"/>
      <c r="M130" s="425"/>
      <c r="N130" s="425"/>
      <c r="O130" s="425"/>
      <c r="P130" s="425"/>
      <c r="Q130" s="425"/>
      <c r="R130" s="425"/>
      <c r="S130" s="425"/>
      <c r="T130" s="425"/>
      <c r="U130" s="425"/>
    </row>
    <row r="131" ht="15.75" customHeight="1">
      <c r="A131" s="425"/>
      <c r="B131" s="425"/>
      <c r="C131" s="425"/>
      <c r="D131" s="425"/>
      <c r="E131" s="425"/>
      <c r="F131" s="425"/>
      <c r="G131" s="425"/>
      <c r="H131" s="425"/>
      <c r="I131" s="425"/>
      <c r="J131" s="425"/>
      <c r="K131" s="425"/>
      <c r="L131" s="425"/>
      <c r="M131" s="425"/>
      <c r="N131" s="425"/>
      <c r="O131" s="425"/>
      <c r="P131" s="425"/>
      <c r="Q131" s="425"/>
      <c r="R131" s="425"/>
      <c r="S131" s="425"/>
      <c r="T131" s="425"/>
      <c r="U131" s="425"/>
    </row>
    <row r="132" ht="15.75" customHeight="1">
      <c r="A132" s="425"/>
      <c r="B132" s="425"/>
      <c r="C132" s="425"/>
      <c r="D132" s="425"/>
      <c r="E132" s="425"/>
      <c r="F132" s="425"/>
      <c r="G132" s="425"/>
      <c r="H132" s="425"/>
      <c r="I132" s="425"/>
      <c r="J132" s="425"/>
      <c r="K132" s="425"/>
      <c r="L132" s="425"/>
      <c r="M132" s="425"/>
      <c r="N132" s="425"/>
      <c r="O132" s="425"/>
      <c r="P132" s="425"/>
      <c r="Q132" s="425"/>
      <c r="R132" s="425"/>
      <c r="S132" s="425"/>
      <c r="T132" s="425"/>
      <c r="U132" s="425"/>
    </row>
    <row r="133" ht="15.75" customHeight="1">
      <c r="A133" s="425"/>
      <c r="B133" s="425"/>
      <c r="C133" s="425"/>
      <c r="D133" s="425"/>
      <c r="E133" s="425"/>
      <c r="F133" s="425"/>
      <c r="G133" s="425"/>
      <c r="H133" s="425"/>
      <c r="I133" s="425"/>
      <c r="J133" s="425"/>
      <c r="K133" s="425"/>
      <c r="L133" s="425"/>
      <c r="M133" s="425"/>
      <c r="N133" s="425"/>
      <c r="O133" s="425"/>
      <c r="P133" s="425"/>
      <c r="Q133" s="425"/>
      <c r="R133" s="425"/>
      <c r="S133" s="425"/>
      <c r="T133" s="425"/>
      <c r="U133" s="425"/>
    </row>
    <row r="134" ht="15.75" customHeight="1">
      <c r="A134" s="425"/>
      <c r="B134" s="425"/>
      <c r="C134" s="425"/>
      <c r="D134" s="425"/>
      <c r="E134" s="425"/>
      <c r="F134" s="425"/>
      <c r="G134" s="425"/>
      <c r="H134" s="425"/>
      <c r="I134" s="425"/>
      <c r="J134" s="425"/>
      <c r="K134" s="425"/>
      <c r="L134" s="425"/>
      <c r="M134" s="425"/>
      <c r="N134" s="425"/>
      <c r="O134" s="425"/>
      <c r="P134" s="425"/>
      <c r="Q134" s="425"/>
      <c r="R134" s="425"/>
      <c r="S134" s="425"/>
      <c r="T134" s="425"/>
      <c r="U134" s="425"/>
    </row>
    <row r="135" ht="15.75" customHeight="1">
      <c r="A135" s="425"/>
      <c r="B135" s="425"/>
      <c r="C135" s="425"/>
      <c r="D135" s="425"/>
      <c r="E135" s="425"/>
      <c r="F135" s="425"/>
      <c r="G135" s="425"/>
      <c r="H135" s="425"/>
      <c r="I135" s="425"/>
      <c r="J135" s="425"/>
      <c r="K135" s="425"/>
      <c r="L135" s="425"/>
      <c r="M135" s="425"/>
      <c r="N135" s="425"/>
      <c r="O135" s="425"/>
      <c r="P135" s="425"/>
      <c r="Q135" s="425"/>
      <c r="R135" s="425"/>
      <c r="S135" s="425"/>
      <c r="T135" s="425"/>
      <c r="U135" s="425"/>
    </row>
    <row r="136" ht="15.75" customHeight="1">
      <c r="A136" s="425"/>
      <c r="B136" s="425"/>
      <c r="C136" s="425"/>
      <c r="D136" s="425"/>
      <c r="E136" s="425"/>
      <c r="F136" s="425"/>
      <c r="G136" s="425"/>
      <c r="H136" s="425"/>
      <c r="I136" s="425"/>
      <c r="J136" s="425"/>
      <c r="K136" s="425"/>
      <c r="L136" s="425"/>
      <c r="M136" s="425"/>
      <c r="N136" s="425"/>
      <c r="O136" s="425"/>
      <c r="P136" s="425"/>
      <c r="Q136" s="425"/>
      <c r="R136" s="425"/>
      <c r="S136" s="425"/>
      <c r="T136" s="425"/>
      <c r="U136" s="425"/>
    </row>
    <row r="137" ht="15.75" customHeight="1">
      <c r="A137" s="425"/>
      <c r="B137" s="425"/>
      <c r="C137" s="425"/>
      <c r="D137" s="425"/>
      <c r="E137" s="425"/>
      <c r="F137" s="425"/>
      <c r="G137" s="425"/>
      <c r="H137" s="425"/>
      <c r="I137" s="425"/>
      <c r="J137" s="425"/>
      <c r="K137" s="425"/>
      <c r="L137" s="425"/>
      <c r="M137" s="425"/>
      <c r="N137" s="425"/>
      <c r="O137" s="425"/>
      <c r="P137" s="425"/>
      <c r="Q137" s="425"/>
      <c r="R137" s="425"/>
      <c r="S137" s="425"/>
      <c r="T137" s="425"/>
      <c r="U137" s="425"/>
    </row>
    <row r="138" ht="15.75" customHeight="1">
      <c r="A138" s="425"/>
      <c r="B138" s="425"/>
      <c r="C138" s="425"/>
      <c r="D138" s="425"/>
      <c r="E138" s="425"/>
      <c r="F138" s="425"/>
      <c r="G138" s="425"/>
      <c r="H138" s="425"/>
      <c r="I138" s="425"/>
      <c r="J138" s="425"/>
      <c r="K138" s="425"/>
      <c r="L138" s="425"/>
      <c r="M138" s="425"/>
      <c r="N138" s="425"/>
      <c r="O138" s="425"/>
      <c r="P138" s="425"/>
      <c r="Q138" s="425"/>
      <c r="R138" s="425"/>
      <c r="S138" s="425"/>
      <c r="T138" s="425"/>
      <c r="U138" s="425"/>
    </row>
    <row r="139" ht="15.75" customHeight="1">
      <c r="A139" s="425"/>
      <c r="B139" s="425"/>
      <c r="C139" s="425"/>
      <c r="D139" s="425"/>
      <c r="E139" s="425"/>
      <c r="F139" s="425"/>
      <c r="G139" s="425"/>
      <c r="H139" s="425"/>
      <c r="I139" s="425"/>
      <c r="J139" s="425"/>
      <c r="K139" s="425"/>
      <c r="L139" s="425"/>
      <c r="M139" s="425"/>
      <c r="N139" s="425"/>
      <c r="O139" s="425"/>
      <c r="P139" s="425"/>
      <c r="Q139" s="425"/>
      <c r="R139" s="425"/>
      <c r="S139" s="425"/>
      <c r="T139" s="425"/>
      <c r="U139" s="425"/>
    </row>
    <row r="140" ht="15.75" customHeight="1">
      <c r="A140" s="425"/>
      <c r="B140" s="425"/>
      <c r="C140" s="425"/>
      <c r="D140" s="425"/>
      <c r="E140" s="425"/>
      <c r="F140" s="425"/>
      <c r="G140" s="425"/>
      <c r="H140" s="425"/>
      <c r="I140" s="425"/>
      <c r="J140" s="425"/>
      <c r="K140" s="425"/>
      <c r="L140" s="425"/>
      <c r="M140" s="425"/>
      <c r="N140" s="425"/>
      <c r="O140" s="425"/>
      <c r="P140" s="425"/>
      <c r="Q140" s="425"/>
      <c r="R140" s="425"/>
      <c r="S140" s="425"/>
      <c r="T140" s="425"/>
      <c r="U140" s="425"/>
    </row>
    <row r="141" ht="15.75" customHeight="1">
      <c r="A141" s="425"/>
      <c r="B141" s="425"/>
      <c r="C141" s="425"/>
      <c r="D141" s="425"/>
      <c r="E141" s="425"/>
      <c r="F141" s="425"/>
      <c r="G141" s="425"/>
      <c r="H141" s="425"/>
      <c r="I141" s="425"/>
      <c r="J141" s="425"/>
      <c r="K141" s="425"/>
      <c r="L141" s="425"/>
      <c r="M141" s="425"/>
      <c r="N141" s="425"/>
      <c r="O141" s="425"/>
      <c r="P141" s="425"/>
      <c r="Q141" s="425"/>
      <c r="R141" s="425"/>
      <c r="S141" s="425"/>
      <c r="T141" s="425"/>
      <c r="U141" s="425"/>
    </row>
    <row r="142" ht="15.75" customHeight="1">
      <c r="A142" s="425"/>
      <c r="B142" s="425"/>
      <c r="C142" s="425"/>
      <c r="D142" s="425"/>
      <c r="E142" s="425"/>
      <c r="F142" s="425"/>
      <c r="G142" s="425"/>
      <c r="H142" s="425"/>
      <c r="I142" s="425"/>
      <c r="J142" s="425"/>
      <c r="K142" s="425"/>
      <c r="L142" s="425"/>
      <c r="M142" s="425"/>
      <c r="N142" s="425"/>
      <c r="O142" s="425"/>
      <c r="P142" s="425"/>
      <c r="Q142" s="425"/>
      <c r="R142" s="425"/>
      <c r="S142" s="425"/>
      <c r="T142" s="425"/>
      <c r="U142" s="425"/>
    </row>
    <row r="143" ht="15.75" customHeight="1">
      <c r="A143" s="425"/>
      <c r="B143" s="425"/>
      <c r="C143" s="425"/>
      <c r="D143" s="425"/>
      <c r="E143" s="425"/>
      <c r="F143" s="425"/>
      <c r="G143" s="425"/>
      <c r="H143" s="425"/>
      <c r="I143" s="425"/>
      <c r="J143" s="425"/>
      <c r="K143" s="425"/>
      <c r="L143" s="425"/>
      <c r="M143" s="425"/>
      <c r="N143" s="425"/>
      <c r="O143" s="425"/>
      <c r="P143" s="425"/>
      <c r="Q143" s="425"/>
      <c r="R143" s="425"/>
      <c r="S143" s="425"/>
      <c r="T143" s="425"/>
      <c r="U143" s="425"/>
    </row>
    <row r="144" ht="15.75" customHeight="1">
      <c r="A144" s="425"/>
      <c r="B144" s="425"/>
      <c r="C144" s="425"/>
      <c r="D144" s="425"/>
      <c r="E144" s="425"/>
      <c r="F144" s="425"/>
      <c r="G144" s="425"/>
      <c r="H144" s="425"/>
      <c r="I144" s="425"/>
      <c r="J144" s="425"/>
      <c r="K144" s="425"/>
      <c r="L144" s="425"/>
      <c r="M144" s="425"/>
      <c r="N144" s="425"/>
      <c r="O144" s="425"/>
      <c r="P144" s="425"/>
      <c r="Q144" s="425"/>
      <c r="R144" s="425"/>
      <c r="S144" s="425"/>
      <c r="T144" s="425"/>
      <c r="U144" s="425"/>
    </row>
    <row r="145" ht="15.75" customHeight="1">
      <c r="A145" s="425"/>
      <c r="B145" s="425"/>
      <c r="C145" s="425"/>
      <c r="D145" s="425"/>
      <c r="E145" s="425"/>
      <c r="F145" s="425"/>
      <c r="G145" s="425"/>
      <c r="H145" s="425"/>
      <c r="I145" s="425"/>
      <c r="J145" s="425"/>
      <c r="K145" s="425"/>
      <c r="L145" s="425"/>
      <c r="M145" s="425"/>
      <c r="N145" s="425"/>
      <c r="O145" s="425"/>
      <c r="P145" s="425"/>
      <c r="Q145" s="425"/>
      <c r="R145" s="425"/>
      <c r="S145" s="425"/>
      <c r="T145" s="425"/>
      <c r="U145" s="425"/>
    </row>
    <row r="146" ht="15.75" customHeight="1">
      <c r="A146" s="425"/>
      <c r="B146" s="425"/>
      <c r="C146" s="425"/>
      <c r="D146" s="425"/>
      <c r="E146" s="425"/>
      <c r="F146" s="425"/>
      <c r="G146" s="425"/>
      <c r="H146" s="425"/>
      <c r="I146" s="425"/>
      <c r="J146" s="425"/>
      <c r="K146" s="425"/>
      <c r="L146" s="425"/>
      <c r="M146" s="425"/>
      <c r="N146" s="425"/>
      <c r="O146" s="425"/>
      <c r="P146" s="425"/>
      <c r="Q146" s="425"/>
      <c r="R146" s="425"/>
      <c r="S146" s="425"/>
      <c r="T146" s="425"/>
      <c r="U146" s="425"/>
    </row>
    <row r="147" ht="15.75" customHeight="1">
      <c r="A147" s="425"/>
      <c r="B147" s="425"/>
      <c r="C147" s="425"/>
      <c r="D147" s="425"/>
      <c r="E147" s="425"/>
      <c r="F147" s="425"/>
      <c r="G147" s="425"/>
      <c r="H147" s="425"/>
      <c r="I147" s="425"/>
      <c r="J147" s="425"/>
      <c r="K147" s="425"/>
      <c r="L147" s="425"/>
      <c r="M147" s="425"/>
      <c r="N147" s="425"/>
      <c r="O147" s="425"/>
      <c r="P147" s="425"/>
      <c r="Q147" s="425"/>
      <c r="R147" s="425"/>
      <c r="S147" s="425"/>
      <c r="T147" s="425"/>
      <c r="U147" s="425"/>
    </row>
    <row r="148" ht="15.75" customHeight="1">
      <c r="A148" s="425"/>
      <c r="B148" s="425"/>
      <c r="C148" s="425"/>
      <c r="D148" s="425"/>
      <c r="E148" s="425"/>
      <c r="F148" s="425"/>
      <c r="G148" s="425"/>
      <c r="H148" s="425"/>
      <c r="I148" s="425"/>
      <c r="J148" s="425"/>
      <c r="K148" s="425"/>
      <c r="L148" s="425"/>
      <c r="M148" s="425"/>
      <c r="N148" s="425"/>
      <c r="O148" s="425"/>
      <c r="P148" s="425"/>
      <c r="Q148" s="425"/>
      <c r="R148" s="425"/>
      <c r="S148" s="425"/>
      <c r="T148" s="425"/>
      <c r="U148" s="425"/>
    </row>
    <row r="149" ht="15.75" customHeight="1">
      <c r="A149" s="425"/>
      <c r="B149" s="425"/>
      <c r="C149" s="425"/>
      <c r="D149" s="425"/>
      <c r="E149" s="425"/>
      <c r="F149" s="425"/>
      <c r="G149" s="425"/>
      <c r="H149" s="425"/>
      <c r="I149" s="425"/>
      <c r="J149" s="425"/>
      <c r="K149" s="425"/>
      <c r="L149" s="425"/>
      <c r="M149" s="425"/>
      <c r="N149" s="425"/>
      <c r="O149" s="425"/>
      <c r="P149" s="425"/>
      <c r="Q149" s="425"/>
      <c r="R149" s="425"/>
      <c r="S149" s="425"/>
      <c r="T149" s="425"/>
      <c r="U149" s="425"/>
    </row>
    <row r="150" ht="15.75" customHeight="1">
      <c r="A150" s="425"/>
      <c r="B150" s="425"/>
      <c r="C150" s="425"/>
      <c r="D150" s="425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425"/>
      <c r="Q150" s="425"/>
      <c r="R150" s="425"/>
      <c r="S150" s="425"/>
      <c r="T150" s="425"/>
      <c r="U150" s="425"/>
    </row>
    <row r="151" ht="15.75" customHeight="1">
      <c r="A151" s="425"/>
      <c r="B151" s="425"/>
      <c r="C151" s="425"/>
      <c r="D151" s="425"/>
      <c r="E151" s="425"/>
      <c r="F151" s="425"/>
      <c r="G151" s="425"/>
      <c r="H151" s="425"/>
      <c r="I151" s="425"/>
      <c r="J151" s="425"/>
      <c r="K151" s="425"/>
      <c r="L151" s="425"/>
      <c r="M151" s="425"/>
      <c r="N151" s="425"/>
      <c r="O151" s="425"/>
      <c r="P151" s="425"/>
      <c r="Q151" s="425"/>
      <c r="R151" s="425"/>
      <c r="S151" s="425"/>
      <c r="T151" s="425"/>
      <c r="U151" s="425"/>
    </row>
    <row r="152" ht="15.75" customHeight="1">
      <c r="A152" s="425"/>
      <c r="B152" s="425"/>
      <c r="C152" s="425"/>
      <c r="D152" s="425"/>
      <c r="E152" s="425"/>
      <c r="F152" s="425"/>
      <c r="G152" s="425"/>
      <c r="H152" s="425"/>
      <c r="I152" s="425"/>
      <c r="J152" s="425"/>
      <c r="K152" s="425"/>
      <c r="L152" s="425"/>
      <c r="M152" s="425"/>
      <c r="N152" s="425"/>
      <c r="O152" s="425"/>
      <c r="P152" s="425"/>
      <c r="Q152" s="425"/>
      <c r="R152" s="425"/>
      <c r="S152" s="425"/>
      <c r="T152" s="425"/>
      <c r="U152" s="425"/>
    </row>
    <row r="153" ht="15.75" customHeight="1">
      <c r="A153" s="425"/>
      <c r="B153" s="425"/>
      <c r="C153" s="425"/>
      <c r="D153" s="425"/>
      <c r="E153" s="425"/>
      <c r="F153" s="425"/>
      <c r="G153" s="425"/>
      <c r="H153" s="425"/>
      <c r="I153" s="425"/>
      <c r="J153" s="425"/>
      <c r="K153" s="425"/>
      <c r="L153" s="425"/>
      <c r="M153" s="425"/>
      <c r="N153" s="425"/>
      <c r="O153" s="425"/>
      <c r="P153" s="425"/>
      <c r="Q153" s="425"/>
      <c r="R153" s="425"/>
      <c r="S153" s="425"/>
      <c r="T153" s="425"/>
      <c r="U153" s="425"/>
    </row>
    <row r="154" ht="15.75" customHeight="1">
      <c r="A154" s="425"/>
      <c r="B154" s="425"/>
      <c r="C154" s="425"/>
      <c r="D154" s="425"/>
      <c r="E154" s="425"/>
      <c r="F154" s="425"/>
      <c r="G154" s="425"/>
      <c r="H154" s="425"/>
      <c r="I154" s="425"/>
      <c r="J154" s="425"/>
      <c r="K154" s="425"/>
      <c r="L154" s="425"/>
      <c r="M154" s="425"/>
      <c r="N154" s="425"/>
      <c r="O154" s="425"/>
      <c r="P154" s="425"/>
      <c r="Q154" s="425"/>
      <c r="R154" s="425"/>
      <c r="S154" s="425"/>
      <c r="T154" s="425"/>
      <c r="U154" s="425"/>
    </row>
    <row r="155" ht="15.75" customHeight="1">
      <c r="A155" s="425"/>
      <c r="B155" s="425"/>
      <c r="C155" s="425"/>
      <c r="D155" s="425"/>
      <c r="E155" s="425"/>
      <c r="F155" s="425"/>
      <c r="G155" s="425"/>
      <c r="H155" s="425"/>
      <c r="I155" s="425"/>
      <c r="J155" s="425"/>
      <c r="K155" s="425"/>
      <c r="L155" s="425"/>
      <c r="M155" s="425"/>
      <c r="N155" s="425"/>
      <c r="O155" s="425"/>
      <c r="P155" s="425"/>
      <c r="Q155" s="425"/>
      <c r="R155" s="425"/>
      <c r="S155" s="425"/>
      <c r="T155" s="425"/>
      <c r="U155" s="425"/>
    </row>
    <row r="156" ht="15.75" customHeight="1">
      <c r="A156" s="425"/>
      <c r="B156" s="425"/>
      <c r="C156" s="425"/>
      <c r="D156" s="425"/>
      <c r="E156" s="425"/>
      <c r="F156" s="425"/>
      <c r="G156" s="425"/>
      <c r="H156" s="425"/>
      <c r="I156" s="425"/>
      <c r="J156" s="425"/>
      <c r="K156" s="425"/>
      <c r="L156" s="425"/>
      <c r="M156" s="425"/>
      <c r="N156" s="425"/>
      <c r="O156" s="425"/>
      <c r="P156" s="425"/>
      <c r="Q156" s="425"/>
      <c r="R156" s="425"/>
      <c r="S156" s="425"/>
      <c r="T156" s="425"/>
      <c r="U156" s="425"/>
    </row>
    <row r="157" ht="15.75" customHeight="1">
      <c r="A157" s="425"/>
      <c r="B157" s="425"/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  <c r="P157" s="425"/>
      <c r="Q157" s="425"/>
      <c r="R157" s="425"/>
      <c r="S157" s="425"/>
      <c r="T157" s="425"/>
      <c r="U157" s="425"/>
    </row>
    <row r="158" ht="15.75" customHeight="1">
      <c r="A158" s="425"/>
      <c r="B158" s="425"/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  <c r="P158" s="425"/>
      <c r="Q158" s="425"/>
      <c r="R158" s="425"/>
      <c r="S158" s="425"/>
      <c r="T158" s="425"/>
      <c r="U158" s="425"/>
    </row>
    <row r="159" ht="15.75" customHeight="1">
      <c r="A159" s="425"/>
      <c r="B159" s="425"/>
      <c r="C159" s="425"/>
      <c r="D159" s="425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  <c r="P159" s="425"/>
      <c r="Q159" s="425"/>
      <c r="R159" s="425"/>
      <c r="S159" s="425"/>
      <c r="T159" s="425"/>
      <c r="U159" s="425"/>
    </row>
    <row r="160" ht="15.75" customHeight="1">
      <c r="A160" s="425"/>
      <c r="B160" s="425"/>
      <c r="C160" s="425"/>
      <c r="D160" s="425"/>
      <c r="E160" s="425"/>
      <c r="F160" s="425"/>
      <c r="G160" s="425"/>
      <c r="H160" s="425"/>
      <c r="I160" s="425"/>
      <c r="J160" s="425"/>
      <c r="K160" s="425"/>
      <c r="L160" s="425"/>
      <c r="M160" s="425"/>
      <c r="N160" s="425"/>
      <c r="O160" s="425"/>
      <c r="P160" s="425"/>
      <c r="Q160" s="425"/>
      <c r="R160" s="425"/>
      <c r="S160" s="425"/>
      <c r="T160" s="425"/>
      <c r="U160" s="425"/>
    </row>
    <row r="161" ht="15.75" customHeight="1">
      <c r="A161" s="425"/>
      <c r="B161" s="425"/>
      <c r="C161" s="425"/>
      <c r="D161" s="425"/>
      <c r="E161" s="425"/>
      <c r="F161" s="425"/>
      <c r="G161" s="425"/>
      <c r="H161" s="425"/>
      <c r="I161" s="425"/>
      <c r="J161" s="425"/>
      <c r="K161" s="425"/>
      <c r="L161" s="425"/>
      <c r="M161" s="425"/>
      <c r="N161" s="425"/>
      <c r="O161" s="425"/>
      <c r="P161" s="425"/>
      <c r="Q161" s="425"/>
      <c r="R161" s="425"/>
      <c r="S161" s="425"/>
      <c r="T161" s="425"/>
      <c r="U161" s="425"/>
    </row>
    <row r="162" ht="15.75" customHeight="1">
      <c r="A162" s="425"/>
      <c r="B162" s="425"/>
      <c r="C162" s="425"/>
      <c r="D162" s="425"/>
      <c r="E162" s="425"/>
      <c r="F162" s="425"/>
      <c r="G162" s="425"/>
      <c r="H162" s="425"/>
      <c r="I162" s="425"/>
      <c r="J162" s="425"/>
      <c r="K162" s="425"/>
      <c r="L162" s="425"/>
      <c r="M162" s="425"/>
      <c r="N162" s="425"/>
      <c r="O162" s="425"/>
      <c r="P162" s="425"/>
      <c r="Q162" s="425"/>
      <c r="R162" s="425"/>
      <c r="S162" s="425"/>
      <c r="T162" s="425"/>
      <c r="U162" s="425"/>
    </row>
    <row r="163" ht="15.75" customHeight="1">
      <c r="A163" s="425"/>
      <c r="B163" s="425"/>
      <c r="C163" s="425"/>
      <c r="D163" s="425"/>
      <c r="E163" s="425"/>
      <c r="F163" s="425"/>
      <c r="G163" s="425"/>
      <c r="H163" s="425"/>
      <c r="I163" s="425"/>
      <c r="J163" s="425"/>
      <c r="K163" s="425"/>
      <c r="L163" s="425"/>
      <c r="M163" s="425"/>
      <c r="N163" s="425"/>
      <c r="O163" s="425"/>
      <c r="P163" s="425"/>
      <c r="Q163" s="425"/>
      <c r="R163" s="425"/>
      <c r="S163" s="425"/>
      <c r="T163" s="425"/>
      <c r="U163" s="425"/>
    </row>
    <row r="164" ht="15.75" customHeight="1">
      <c r="A164" s="425"/>
      <c r="B164" s="425"/>
      <c r="C164" s="425"/>
      <c r="D164" s="425"/>
      <c r="E164" s="425"/>
      <c r="F164" s="425"/>
      <c r="G164" s="425"/>
      <c r="H164" s="425"/>
      <c r="I164" s="425"/>
      <c r="J164" s="425"/>
      <c r="K164" s="425"/>
      <c r="L164" s="425"/>
      <c r="M164" s="425"/>
      <c r="N164" s="425"/>
      <c r="O164" s="425"/>
      <c r="P164" s="425"/>
      <c r="Q164" s="425"/>
      <c r="R164" s="425"/>
      <c r="S164" s="425"/>
      <c r="T164" s="425"/>
      <c r="U164" s="425"/>
    </row>
    <row r="165" ht="15.75" customHeight="1">
      <c r="A165" s="425"/>
      <c r="B165" s="425"/>
      <c r="C165" s="425"/>
      <c r="D165" s="425"/>
      <c r="E165" s="425"/>
      <c r="F165" s="425"/>
      <c r="G165" s="425"/>
      <c r="H165" s="425"/>
      <c r="I165" s="425"/>
      <c r="J165" s="425"/>
      <c r="K165" s="425"/>
      <c r="L165" s="425"/>
      <c r="M165" s="425"/>
      <c r="N165" s="425"/>
      <c r="O165" s="425"/>
      <c r="P165" s="425"/>
      <c r="Q165" s="425"/>
      <c r="R165" s="425"/>
      <c r="S165" s="425"/>
      <c r="T165" s="425"/>
      <c r="U165" s="425"/>
    </row>
    <row r="166" ht="15.75" customHeight="1">
      <c r="A166" s="425"/>
      <c r="B166" s="425"/>
      <c r="C166" s="425"/>
      <c r="D166" s="425"/>
      <c r="E166" s="425"/>
      <c r="F166" s="425"/>
      <c r="G166" s="425"/>
      <c r="H166" s="425"/>
      <c r="I166" s="425"/>
      <c r="J166" s="425"/>
      <c r="K166" s="425"/>
      <c r="L166" s="425"/>
      <c r="M166" s="425"/>
      <c r="N166" s="425"/>
      <c r="O166" s="425"/>
      <c r="P166" s="425"/>
      <c r="Q166" s="425"/>
      <c r="R166" s="425"/>
      <c r="S166" s="425"/>
      <c r="T166" s="425"/>
      <c r="U166" s="425"/>
    </row>
    <row r="167" ht="15.75" customHeight="1">
      <c r="A167" s="425"/>
      <c r="B167" s="425"/>
      <c r="C167" s="425"/>
      <c r="D167" s="425"/>
      <c r="E167" s="425"/>
      <c r="F167" s="425"/>
      <c r="G167" s="425"/>
      <c r="H167" s="425"/>
      <c r="I167" s="425"/>
      <c r="J167" s="425"/>
      <c r="K167" s="425"/>
      <c r="L167" s="425"/>
      <c r="M167" s="425"/>
      <c r="N167" s="425"/>
      <c r="O167" s="425"/>
      <c r="P167" s="425"/>
      <c r="Q167" s="425"/>
      <c r="R167" s="425"/>
      <c r="S167" s="425"/>
      <c r="T167" s="425"/>
      <c r="U167" s="425"/>
    </row>
    <row r="168" ht="15.75" customHeight="1">
      <c r="A168" s="425"/>
      <c r="B168" s="425"/>
      <c r="C168" s="425"/>
      <c r="D168" s="425"/>
      <c r="E168" s="425"/>
      <c r="F168" s="425"/>
      <c r="G168" s="425"/>
      <c r="H168" s="425"/>
      <c r="I168" s="425"/>
      <c r="J168" s="425"/>
      <c r="K168" s="425"/>
      <c r="L168" s="425"/>
      <c r="M168" s="425"/>
      <c r="N168" s="425"/>
      <c r="O168" s="425"/>
      <c r="P168" s="425"/>
      <c r="Q168" s="425"/>
      <c r="R168" s="425"/>
      <c r="S168" s="425"/>
      <c r="T168" s="425"/>
      <c r="U168" s="425"/>
    </row>
    <row r="169" ht="15.75" customHeight="1">
      <c r="A169" s="425"/>
      <c r="B169" s="425"/>
      <c r="C169" s="425"/>
      <c r="D169" s="425"/>
      <c r="E169" s="425"/>
      <c r="F169" s="425"/>
      <c r="G169" s="425"/>
      <c r="H169" s="425"/>
      <c r="I169" s="425"/>
      <c r="J169" s="425"/>
      <c r="K169" s="425"/>
      <c r="L169" s="425"/>
      <c r="M169" s="425"/>
      <c r="N169" s="425"/>
      <c r="O169" s="425"/>
      <c r="P169" s="425"/>
      <c r="Q169" s="425"/>
      <c r="R169" s="425"/>
      <c r="S169" s="425"/>
      <c r="T169" s="425"/>
      <c r="U169" s="425"/>
    </row>
    <row r="170" ht="15.75" customHeight="1">
      <c r="A170" s="425"/>
      <c r="B170" s="425"/>
      <c r="C170" s="425"/>
      <c r="D170" s="425"/>
      <c r="E170" s="425"/>
      <c r="F170" s="425"/>
      <c r="G170" s="425"/>
      <c r="H170" s="425"/>
      <c r="I170" s="425"/>
      <c r="J170" s="425"/>
      <c r="K170" s="425"/>
      <c r="L170" s="425"/>
      <c r="M170" s="425"/>
      <c r="N170" s="425"/>
      <c r="O170" s="425"/>
      <c r="P170" s="425"/>
      <c r="Q170" s="425"/>
      <c r="R170" s="425"/>
      <c r="S170" s="425"/>
      <c r="T170" s="425"/>
      <c r="U170" s="425"/>
    </row>
    <row r="171" ht="15.75" customHeight="1">
      <c r="A171" s="425"/>
      <c r="B171" s="425"/>
      <c r="C171" s="425"/>
      <c r="D171" s="425"/>
      <c r="E171" s="425"/>
      <c r="F171" s="425"/>
      <c r="G171" s="425"/>
      <c r="H171" s="425"/>
      <c r="I171" s="425"/>
      <c r="J171" s="425"/>
      <c r="K171" s="425"/>
      <c r="L171" s="425"/>
      <c r="M171" s="425"/>
      <c r="N171" s="425"/>
      <c r="O171" s="425"/>
      <c r="P171" s="425"/>
      <c r="Q171" s="425"/>
      <c r="R171" s="425"/>
      <c r="S171" s="425"/>
      <c r="T171" s="425"/>
      <c r="U171" s="425"/>
    </row>
    <row r="172" ht="15.75" customHeight="1">
      <c r="A172" s="425"/>
      <c r="B172" s="425"/>
      <c r="C172" s="425"/>
      <c r="D172" s="425"/>
      <c r="E172" s="425"/>
      <c r="F172" s="425"/>
      <c r="G172" s="425"/>
      <c r="H172" s="425"/>
      <c r="I172" s="425"/>
      <c r="J172" s="425"/>
      <c r="K172" s="425"/>
      <c r="L172" s="425"/>
      <c r="M172" s="425"/>
      <c r="N172" s="425"/>
      <c r="O172" s="425"/>
      <c r="P172" s="425"/>
      <c r="Q172" s="425"/>
      <c r="R172" s="425"/>
      <c r="S172" s="425"/>
      <c r="T172" s="425"/>
      <c r="U172" s="425"/>
    </row>
    <row r="173" ht="15.75" customHeight="1">
      <c r="A173" s="425"/>
      <c r="B173" s="425"/>
      <c r="C173" s="425"/>
      <c r="D173" s="425"/>
      <c r="E173" s="425"/>
      <c r="F173" s="425"/>
      <c r="G173" s="425"/>
      <c r="H173" s="425"/>
      <c r="I173" s="425"/>
      <c r="J173" s="425"/>
      <c r="K173" s="425"/>
      <c r="L173" s="425"/>
      <c r="M173" s="425"/>
      <c r="N173" s="425"/>
      <c r="O173" s="425"/>
      <c r="P173" s="425"/>
      <c r="Q173" s="425"/>
      <c r="R173" s="425"/>
      <c r="S173" s="425"/>
      <c r="T173" s="425"/>
      <c r="U173" s="425"/>
    </row>
    <row r="174" ht="15.75" customHeight="1">
      <c r="A174" s="425"/>
      <c r="B174" s="425"/>
      <c r="C174" s="425"/>
      <c r="D174" s="425"/>
      <c r="E174" s="425"/>
      <c r="F174" s="425"/>
      <c r="G174" s="425"/>
      <c r="H174" s="425"/>
      <c r="I174" s="425"/>
      <c r="J174" s="425"/>
      <c r="K174" s="425"/>
      <c r="L174" s="425"/>
      <c r="M174" s="425"/>
      <c r="N174" s="425"/>
      <c r="O174" s="425"/>
      <c r="P174" s="425"/>
      <c r="Q174" s="425"/>
      <c r="R174" s="425"/>
      <c r="S174" s="425"/>
      <c r="T174" s="425"/>
      <c r="U174" s="425"/>
    </row>
    <row r="175" ht="15.75" customHeight="1">
      <c r="A175" s="425"/>
      <c r="B175" s="425"/>
      <c r="C175" s="425"/>
      <c r="D175" s="425"/>
      <c r="E175" s="425"/>
      <c r="F175" s="425"/>
      <c r="G175" s="425"/>
      <c r="H175" s="425"/>
      <c r="I175" s="425"/>
      <c r="J175" s="425"/>
      <c r="K175" s="425"/>
      <c r="L175" s="425"/>
      <c r="M175" s="425"/>
      <c r="N175" s="425"/>
      <c r="O175" s="425"/>
      <c r="P175" s="425"/>
      <c r="Q175" s="425"/>
      <c r="R175" s="425"/>
      <c r="S175" s="425"/>
      <c r="T175" s="425"/>
      <c r="U175" s="425"/>
    </row>
    <row r="176" ht="15.75" customHeight="1">
      <c r="A176" s="425"/>
      <c r="B176" s="425"/>
      <c r="C176" s="425"/>
      <c r="D176" s="425"/>
      <c r="E176" s="425"/>
      <c r="F176" s="425"/>
      <c r="G176" s="425"/>
      <c r="H176" s="425"/>
      <c r="I176" s="425"/>
      <c r="J176" s="425"/>
      <c r="K176" s="425"/>
      <c r="L176" s="425"/>
      <c r="M176" s="425"/>
      <c r="N176" s="425"/>
      <c r="O176" s="425"/>
      <c r="P176" s="425"/>
      <c r="Q176" s="425"/>
      <c r="R176" s="425"/>
      <c r="S176" s="425"/>
      <c r="T176" s="425"/>
      <c r="U176" s="425"/>
    </row>
    <row r="177" ht="15.75" customHeight="1">
      <c r="A177" s="425"/>
      <c r="B177" s="425"/>
      <c r="C177" s="425"/>
      <c r="D177" s="425"/>
      <c r="E177" s="425"/>
      <c r="F177" s="425"/>
      <c r="G177" s="425"/>
      <c r="H177" s="425"/>
      <c r="I177" s="425"/>
      <c r="J177" s="425"/>
      <c r="K177" s="425"/>
      <c r="L177" s="425"/>
      <c r="M177" s="425"/>
      <c r="N177" s="425"/>
      <c r="O177" s="425"/>
      <c r="P177" s="425"/>
      <c r="Q177" s="425"/>
      <c r="R177" s="425"/>
      <c r="S177" s="425"/>
      <c r="T177" s="425"/>
      <c r="U177" s="425"/>
    </row>
    <row r="178" ht="15.75" customHeight="1">
      <c r="A178" s="425"/>
      <c r="B178" s="425"/>
      <c r="C178" s="425"/>
      <c r="D178" s="425"/>
      <c r="E178" s="425"/>
      <c r="F178" s="425"/>
      <c r="G178" s="425"/>
      <c r="H178" s="425"/>
      <c r="I178" s="425"/>
      <c r="J178" s="425"/>
      <c r="K178" s="425"/>
      <c r="L178" s="425"/>
      <c r="M178" s="425"/>
      <c r="N178" s="425"/>
      <c r="O178" s="425"/>
      <c r="P178" s="425"/>
      <c r="Q178" s="425"/>
      <c r="R178" s="425"/>
      <c r="S178" s="425"/>
      <c r="T178" s="425"/>
      <c r="U178" s="425"/>
    </row>
    <row r="179" ht="15.75" customHeight="1">
      <c r="A179" s="425"/>
      <c r="B179" s="425"/>
      <c r="C179" s="425"/>
      <c r="D179" s="425"/>
      <c r="E179" s="425"/>
      <c r="F179" s="425"/>
      <c r="G179" s="425"/>
      <c r="H179" s="425"/>
      <c r="I179" s="425"/>
      <c r="J179" s="425"/>
      <c r="K179" s="425"/>
      <c r="L179" s="425"/>
      <c r="M179" s="425"/>
      <c r="N179" s="425"/>
      <c r="O179" s="425"/>
      <c r="P179" s="425"/>
      <c r="Q179" s="425"/>
      <c r="R179" s="425"/>
      <c r="S179" s="425"/>
      <c r="T179" s="425"/>
      <c r="U179" s="425"/>
    </row>
    <row r="180" ht="15.75" customHeight="1">
      <c r="A180" s="425"/>
      <c r="B180" s="425"/>
      <c r="C180" s="425"/>
      <c r="D180" s="425"/>
      <c r="E180" s="425"/>
      <c r="F180" s="425"/>
      <c r="G180" s="425"/>
      <c r="H180" s="425"/>
      <c r="I180" s="425"/>
      <c r="J180" s="425"/>
      <c r="K180" s="425"/>
      <c r="L180" s="425"/>
      <c r="M180" s="425"/>
      <c r="N180" s="425"/>
      <c r="O180" s="425"/>
      <c r="P180" s="425"/>
      <c r="Q180" s="425"/>
      <c r="R180" s="425"/>
      <c r="S180" s="425"/>
      <c r="T180" s="425"/>
      <c r="U180" s="425"/>
    </row>
    <row r="181" ht="15.75" customHeight="1">
      <c r="A181" s="425"/>
      <c r="B181" s="425"/>
      <c r="C181" s="425"/>
      <c r="D181" s="425"/>
      <c r="E181" s="425"/>
      <c r="F181" s="425"/>
      <c r="G181" s="425"/>
      <c r="H181" s="425"/>
      <c r="I181" s="425"/>
      <c r="J181" s="425"/>
      <c r="K181" s="425"/>
      <c r="L181" s="425"/>
      <c r="M181" s="425"/>
      <c r="N181" s="425"/>
      <c r="O181" s="425"/>
      <c r="P181" s="425"/>
      <c r="Q181" s="425"/>
      <c r="R181" s="425"/>
      <c r="S181" s="425"/>
      <c r="T181" s="425"/>
      <c r="U181" s="425"/>
    </row>
    <row r="182" ht="15.75" customHeight="1">
      <c r="A182" s="425"/>
      <c r="B182" s="425"/>
      <c r="C182" s="425"/>
      <c r="D182" s="425"/>
      <c r="E182" s="425"/>
      <c r="F182" s="425"/>
      <c r="G182" s="425"/>
      <c r="H182" s="425"/>
      <c r="I182" s="425"/>
      <c r="J182" s="425"/>
      <c r="K182" s="425"/>
      <c r="L182" s="425"/>
      <c r="M182" s="425"/>
      <c r="N182" s="425"/>
      <c r="O182" s="425"/>
      <c r="P182" s="425"/>
      <c r="Q182" s="425"/>
      <c r="R182" s="425"/>
      <c r="S182" s="425"/>
      <c r="T182" s="425"/>
      <c r="U182" s="425"/>
    </row>
    <row r="183" ht="15.75" customHeight="1">
      <c r="A183" s="425"/>
      <c r="B183" s="425"/>
      <c r="C183" s="425"/>
      <c r="D183" s="425"/>
      <c r="E183" s="425"/>
      <c r="F183" s="425"/>
      <c r="G183" s="425"/>
      <c r="H183" s="425"/>
      <c r="I183" s="425"/>
      <c r="J183" s="425"/>
      <c r="K183" s="425"/>
      <c r="L183" s="425"/>
      <c r="M183" s="425"/>
      <c r="N183" s="425"/>
      <c r="O183" s="425"/>
      <c r="P183" s="425"/>
      <c r="Q183" s="425"/>
      <c r="R183" s="425"/>
      <c r="S183" s="425"/>
      <c r="T183" s="425"/>
      <c r="U183" s="425"/>
    </row>
    <row r="184" ht="15.75" customHeight="1">
      <c r="A184" s="425"/>
      <c r="B184" s="425"/>
      <c r="C184" s="425"/>
      <c r="D184" s="425"/>
      <c r="E184" s="425"/>
      <c r="F184" s="425"/>
      <c r="G184" s="425"/>
      <c r="H184" s="425"/>
      <c r="I184" s="425"/>
      <c r="J184" s="425"/>
      <c r="K184" s="425"/>
      <c r="L184" s="425"/>
      <c r="M184" s="425"/>
      <c r="N184" s="425"/>
      <c r="O184" s="425"/>
      <c r="P184" s="425"/>
      <c r="Q184" s="425"/>
      <c r="R184" s="425"/>
      <c r="S184" s="425"/>
      <c r="T184" s="425"/>
      <c r="U184" s="425"/>
    </row>
    <row r="185" ht="15.75" customHeight="1">
      <c r="A185" s="425"/>
      <c r="B185" s="425"/>
      <c r="C185" s="425"/>
      <c r="D185" s="425"/>
      <c r="E185" s="425"/>
      <c r="F185" s="425"/>
      <c r="G185" s="425"/>
      <c r="H185" s="425"/>
      <c r="I185" s="425"/>
      <c r="J185" s="425"/>
      <c r="K185" s="425"/>
      <c r="L185" s="425"/>
      <c r="M185" s="425"/>
      <c r="N185" s="425"/>
      <c r="O185" s="425"/>
      <c r="P185" s="425"/>
      <c r="Q185" s="425"/>
      <c r="R185" s="425"/>
      <c r="S185" s="425"/>
      <c r="T185" s="425"/>
      <c r="U185" s="425"/>
    </row>
    <row r="186" ht="15.75" customHeight="1">
      <c r="A186" s="425"/>
      <c r="B186" s="425"/>
      <c r="C186" s="425"/>
      <c r="D186" s="425"/>
      <c r="E186" s="425"/>
      <c r="F186" s="425"/>
      <c r="G186" s="425"/>
      <c r="H186" s="425"/>
      <c r="I186" s="425"/>
      <c r="J186" s="425"/>
      <c r="K186" s="425"/>
      <c r="L186" s="425"/>
      <c r="M186" s="425"/>
      <c r="N186" s="425"/>
      <c r="O186" s="425"/>
      <c r="P186" s="425"/>
      <c r="Q186" s="425"/>
      <c r="R186" s="425"/>
      <c r="S186" s="425"/>
      <c r="T186" s="425"/>
      <c r="U186" s="425"/>
    </row>
    <row r="187" ht="15.75" customHeight="1">
      <c r="A187" s="425"/>
      <c r="B187" s="425"/>
      <c r="C187" s="425"/>
      <c r="D187" s="425"/>
      <c r="E187" s="425"/>
      <c r="F187" s="425"/>
      <c r="G187" s="425"/>
      <c r="H187" s="425"/>
      <c r="I187" s="425"/>
      <c r="J187" s="425"/>
      <c r="K187" s="425"/>
      <c r="L187" s="425"/>
      <c r="M187" s="425"/>
      <c r="N187" s="425"/>
      <c r="O187" s="425"/>
      <c r="P187" s="425"/>
      <c r="Q187" s="425"/>
      <c r="R187" s="425"/>
      <c r="S187" s="425"/>
      <c r="T187" s="425"/>
      <c r="U187" s="425"/>
    </row>
    <row r="188" ht="15.75" customHeight="1">
      <c r="A188" s="425"/>
      <c r="B188" s="425"/>
      <c r="C188" s="425"/>
      <c r="D188" s="425"/>
      <c r="E188" s="425"/>
      <c r="F188" s="425"/>
      <c r="G188" s="425"/>
      <c r="H188" s="425"/>
      <c r="I188" s="425"/>
      <c r="J188" s="425"/>
      <c r="K188" s="425"/>
      <c r="L188" s="425"/>
      <c r="M188" s="425"/>
      <c r="N188" s="425"/>
      <c r="O188" s="425"/>
      <c r="P188" s="425"/>
      <c r="Q188" s="425"/>
      <c r="R188" s="425"/>
      <c r="S188" s="425"/>
      <c r="T188" s="425"/>
      <c r="U188" s="425"/>
    </row>
    <row r="189" ht="15.75" customHeight="1">
      <c r="A189" s="425"/>
      <c r="B189" s="425"/>
      <c r="C189" s="425"/>
      <c r="D189" s="425"/>
      <c r="E189" s="425"/>
      <c r="F189" s="425"/>
      <c r="G189" s="425"/>
      <c r="H189" s="425"/>
      <c r="I189" s="425"/>
      <c r="J189" s="425"/>
      <c r="K189" s="425"/>
      <c r="L189" s="425"/>
      <c r="M189" s="425"/>
      <c r="N189" s="425"/>
      <c r="O189" s="425"/>
      <c r="P189" s="425"/>
      <c r="Q189" s="425"/>
      <c r="R189" s="425"/>
      <c r="S189" s="425"/>
      <c r="T189" s="425"/>
      <c r="U189" s="425"/>
    </row>
    <row r="190" ht="15.75" customHeight="1">
      <c r="A190" s="425"/>
      <c r="B190" s="425"/>
      <c r="C190" s="425"/>
      <c r="D190" s="425"/>
      <c r="E190" s="425"/>
      <c r="F190" s="425"/>
      <c r="G190" s="425"/>
      <c r="H190" s="425"/>
      <c r="I190" s="425"/>
      <c r="J190" s="425"/>
      <c r="K190" s="425"/>
      <c r="L190" s="425"/>
      <c r="M190" s="425"/>
      <c r="N190" s="425"/>
      <c r="O190" s="425"/>
      <c r="P190" s="425"/>
      <c r="Q190" s="425"/>
      <c r="R190" s="425"/>
      <c r="S190" s="425"/>
      <c r="T190" s="425"/>
      <c r="U190" s="425"/>
    </row>
    <row r="191" ht="15.75" customHeight="1">
      <c r="A191" s="425"/>
      <c r="B191" s="425"/>
      <c r="C191" s="425"/>
      <c r="D191" s="425"/>
      <c r="E191" s="425"/>
      <c r="F191" s="425"/>
      <c r="G191" s="425"/>
      <c r="H191" s="425"/>
      <c r="I191" s="425"/>
      <c r="J191" s="425"/>
      <c r="K191" s="425"/>
      <c r="L191" s="425"/>
      <c r="M191" s="425"/>
      <c r="N191" s="425"/>
      <c r="O191" s="425"/>
      <c r="P191" s="425"/>
      <c r="Q191" s="425"/>
      <c r="R191" s="425"/>
      <c r="S191" s="425"/>
      <c r="T191" s="425"/>
      <c r="U191" s="425"/>
    </row>
    <row r="192" ht="15.75" customHeight="1">
      <c r="A192" s="425"/>
      <c r="B192" s="425"/>
      <c r="C192" s="425"/>
      <c r="D192" s="425"/>
      <c r="E192" s="425"/>
      <c r="F192" s="425"/>
      <c r="G192" s="425"/>
      <c r="H192" s="425"/>
      <c r="I192" s="425"/>
      <c r="J192" s="425"/>
      <c r="K192" s="425"/>
      <c r="L192" s="425"/>
      <c r="M192" s="425"/>
      <c r="N192" s="425"/>
      <c r="O192" s="425"/>
      <c r="P192" s="425"/>
      <c r="Q192" s="425"/>
      <c r="R192" s="425"/>
      <c r="S192" s="425"/>
      <c r="T192" s="425"/>
      <c r="U192" s="425"/>
    </row>
    <row r="193" ht="15.75" customHeight="1">
      <c r="A193" s="425"/>
      <c r="B193" s="425"/>
      <c r="C193" s="425"/>
      <c r="D193" s="425"/>
      <c r="E193" s="425"/>
      <c r="F193" s="425"/>
      <c r="G193" s="425"/>
      <c r="H193" s="425"/>
      <c r="I193" s="425"/>
      <c r="J193" s="425"/>
      <c r="K193" s="425"/>
      <c r="L193" s="425"/>
      <c r="M193" s="425"/>
      <c r="N193" s="425"/>
      <c r="O193" s="425"/>
      <c r="P193" s="425"/>
      <c r="Q193" s="425"/>
      <c r="R193" s="425"/>
      <c r="S193" s="425"/>
      <c r="T193" s="425"/>
      <c r="U193" s="425"/>
    </row>
    <row r="194" ht="15.75" customHeight="1">
      <c r="A194" s="425"/>
      <c r="B194" s="425"/>
      <c r="C194" s="425"/>
      <c r="D194" s="425"/>
      <c r="E194" s="425"/>
      <c r="F194" s="425"/>
      <c r="G194" s="425"/>
      <c r="H194" s="425"/>
      <c r="I194" s="425"/>
      <c r="J194" s="425"/>
      <c r="K194" s="425"/>
      <c r="L194" s="425"/>
      <c r="M194" s="425"/>
      <c r="N194" s="425"/>
      <c r="O194" s="425"/>
      <c r="P194" s="425"/>
      <c r="Q194" s="425"/>
      <c r="R194" s="425"/>
      <c r="S194" s="425"/>
      <c r="T194" s="425"/>
      <c r="U194" s="425"/>
    </row>
    <row r="195" ht="15.75" customHeight="1">
      <c r="A195" s="425"/>
      <c r="B195" s="425"/>
      <c r="C195" s="425"/>
      <c r="D195" s="425"/>
      <c r="E195" s="425"/>
      <c r="F195" s="425"/>
      <c r="G195" s="425"/>
      <c r="H195" s="425"/>
      <c r="I195" s="425"/>
      <c r="J195" s="425"/>
      <c r="K195" s="425"/>
      <c r="L195" s="425"/>
      <c r="M195" s="425"/>
      <c r="N195" s="425"/>
      <c r="O195" s="425"/>
      <c r="P195" s="425"/>
      <c r="Q195" s="425"/>
      <c r="R195" s="425"/>
      <c r="S195" s="425"/>
      <c r="T195" s="425"/>
      <c r="U195" s="425"/>
    </row>
    <row r="196" ht="15.75" customHeight="1">
      <c r="A196" s="425"/>
      <c r="B196" s="425"/>
      <c r="C196" s="425"/>
      <c r="D196" s="425"/>
      <c r="E196" s="425"/>
      <c r="F196" s="425"/>
      <c r="G196" s="425"/>
      <c r="H196" s="425"/>
      <c r="I196" s="425"/>
      <c r="J196" s="425"/>
      <c r="K196" s="425"/>
      <c r="L196" s="425"/>
      <c r="M196" s="425"/>
      <c r="N196" s="425"/>
      <c r="O196" s="425"/>
      <c r="P196" s="425"/>
      <c r="Q196" s="425"/>
      <c r="R196" s="425"/>
      <c r="S196" s="425"/>
      <c r="T196" s="425"/>
      <c r="U196" s="425"/>
    </row>
    <row r="197" ht="15.75" customHeight="1">
      <c r="A197" s="425"/>
      <c r="B197" s="425"/>
      <c r="C197" s="425"/>
      <c r="D197" s="425"/>
      <c r="E197" s="425"/>
      <c r="F197" s="425"/>
      <c r="G197" s="425"/>
      <c r="H197" s="425"/>
      <c r="I197" s="425"/>
      <c r="J197" s="425"/>
      <c r="K197" s="425"/>
      <c r="L197" s="425"/>
      <c r="M197" s="425"/>
      <c r="N197" s="425"/>
      <c r="O197" s="425"/>
      <c r="P197" s="425"/>
      <c r="Q197" s="425"/>
      <c r="R197" s="425"/>
      <c r="S197" s="425"/>
      <c r="T197" s="425"/>
      <c r="U197" s="425"/>
    </row>
    <row r="198" ht="15.75" customHeight="1">
      <c r="A198" s="425"/>
      <c r="B198" s="425"/>
      <c r="C198" s="425"/>
      <c r="D198" s="425"/>
      <c r="E198" s="425"/>
      <c r="F198" s="425"/>
      <c r="G198" s="425"/>
      <c r="H198" s="425"/>
      <c r="I198" s="425"/>
      <c r="J198" s="425"/>
      <c r="K198" s="425"/>
      <c r="L198" s="425"/>
      <c r="M198" s="425"/>
      <c r="N198" s="425"/>
      <c r="O198" s="425"/>
      <c r="P198" s="425"/>
      <c r="Q198" s="425"/>
      <c r="R198" s="425"/>
      <c r="S198" s="425"/>
      <c r="T198" s="425"/>
      <c r="U198" s="425"/>
    </row>
    <row r="199" ht="15.75" customHeight="1">
      <c r="A199" s="425"/>
      <c r="B199" s="425"/>
      <c r="C199" s="425"/>
      <c r="D199" s="425"/>
      <c r="E199" s="425"/>
      <c r="F199" s="425"/>
      <c r="G199" s="425"/>
      <c r="H199" s="425"/>
      <c r="I199" s="425"/>
      <c r="J199" s="425"/>
      <c r="K199" s="425"/>
      <c r="L199" s="425"/>
      <c r="M199" s="425"/>
      <c r="N199" s="425"/>
      <c r="O199" s="425"/>
      <c r="P199" s="425"/>
      <c r="Q199" s="425"/>
      <c r="R199" s="425"/>
      <c r="S199" s="425"/>
      <c r="T199" s="425"/>
      <c r="U199" s="425"/>
    </row>
    <row r="200" ht="15.75" customHeight="1">
      <c r="A200" s="425"/>
      <c r="B200" s="425"/>
      <c r="C200" s="425"/>
      <c r="D200" s="425"/>
      <c r="E200" s="425"/>
      <c r="F200" s="425"/>
      <c r="G200" s="425"/>
      <c r="H200" s="425"/>
      <c r="I200" s="425"/>
      <c r="J200" s="425"/>
      <c r="K200" s="425"/>
      <c r="L200" s="425"/>
      <c r="M200" s="425"/>
      <c r="N200" s="425"/>
      <c r="O200" s="425"/>
      <c r="P200" s="425"/>
      <c r="Q200" s="425"/>
      <c r="R200" s="425"/>
      <c r="S200" s="425"/>
      <c r="T200" s="425"/>
      <c r="U200" s="425"/>
    </row>
    <row r="201" ht="15.75" customHeight="1">
      <c r="A201" s="425"/>
      <c r="B201" s="425"/>
      <c r="C201" s="425"/>
      <c r="D201" s="425"/>
      <c r="E201" s="425"/>
      <c r="F201" s="425"/>
      <c r="G201" s="425"/>
      <c r="H201" s="425"/>
      <c r="I201" s="425"/>
      <c r="J201" s="425"/>
      <c r="K201" s="425"/>
      <c r="L201" s="425"/>
      <c r="M201" s="425"/>
      <c r="N201" s="425"/>
      <c r="O201" s="425"/>
      <c r="P201" s="425"/>
      <c r="Q201" s="425"/>
      <c r="R201" s="425"/>
      <c r="S201" s="425"/>
      <c r="T201" s="425"/>
      <c r="U201" s="425"/>
    </row>
    <row r="202" ht="15.75" customHeight="1">
      <c r="A202" s="425"/>
      <c r="B202" s="425"/>
      <c r="C202" s="425"/>
      <c r="D202" s="425"/>
      <c r="E202" s="425"/>
      <c r="F202" s="425"/>
      <c r="G202" s="425"/>
      <c r="H202" s="425"/>
      <c r="I202" s="425"/>
      <c r="J202" s="425"/>
      <c r="K202" s="425"/>
      <c r="L202" s="425"/>
      <c r="M202" s="425"/>
      <c r="N202" s="425"/>
      <c r="O202" s="425"/>
      <c r="P202" s="425"/>
      <c r="Q202" s="425"/>
      <c r="R202" s="425"/>
      <c r="S202" s="425"/>
      <c r="T202" s="425"/>
      <c r="U202" s="425"/>
    </row>
    <row r="203" ht="15.75" customHeight="1">
      <c r="A203" s="425"/>
      <c r="B203" s="425"/>
      <c r="C203" s="425"/>
      <c r="D203" s="425"/>
      <c r="E203" s="425"/>
      <c r="F203" s="425"/>
      <c r="G203" s="425"/>
      <c r="H203" s="425"/>
      <c r="I203" s="425"/>
      <c r="J203" s="425"/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</row>
    <row r="204" ht="15.75" customHeight="1">
      <c r="A204" s="425"/>
      <c r="B204" s="425"/>
      <c r="C204" s="425"/>
      <c r="D204" s="425"/>
      <c r="E204" s="425"/>
      <c r="F204" s="425"/>
      <c r="G204" s="425"/>
      <c r="H204" s="425"/>
      <c r="I204" s="425"/>
      <c r="J204" s="425"/>
      <c r="K204" s="425"/>
      <c r="L204" s="425"/>
      <c r="M204" s="425"/>
      <c r="N204" s="425"/>
      <c r="O204" s="425"/>
      <c r="P204" s="425"/>
      <c r="Q204" s="425"/>
      <c r="R204" s="425"/>
      <c r="S204" s="425"/>
      <c r="T204" s="425"/>
      <c r="U204" s="425"/>
    </row>
    <row r="205" ht="15.75" customHeight="1">
      <c r="A205" s="425"/>
      <c r="B205" s="425"/>
      <c r="C205" s="425"/>
      <c r="D205" s="425"/>
      <c r="E205" s="425"/>
      <c r="F205" s="425"/>
      <c r="G205" s="425"/>
      <c r="H205" s="425"/>
      <c r="I205" s="425"/>
      <c r="J205" s="425"/>
      <c r="K205" s="425"/>
      <c r="L205" s="425"/>
      <c r="M205" s="425"/>
      <c r="N205" s="425"/>
      <c r="O205" s="425"/>
      <c r="P205" s="425"/>
      <c r="Q205" s="425"/>
      <c r="R205" s="425"/>
      <c r="S205" s="425"/>
      <c r="T205" s="425"/>
      <c r="U205" s="425"/>
    </row>
    <row r="206" ht="15.75" customHeight="1">
      <c r="A206" s="425"/>
      <c r="B206" s="425"/>
      <c r="C206" s="425"/>
      <c r="D206" s="425"/>
      <c r="E206" s="425"/>
      <c r="F206" s="425"/>
      <c r="G206" s="425"/>
      <c r="H206" s="425"/>
      <c r="I206" s="425"/>
      <c r="J206" s="425"/>
      <c r="K206" s="425"/>
      <c r="L206" s="425"/>
      <c r="M206" s="425"/>
      <c r="N206" s="425"/>
      <c r="O206" s="425"/>
      <c r="P206" s="425"/>
      <c r="Q206" s="425"/>
      <c r="R206" s="425"/>
      <c r="S206" s="425"/>
      <c r="T206" s="425"/>
      <c r="U206" s="425"/>
    </row>
    <row r="207" ht="15.75" customHeight="1">
      <c r="A207" s="425"/>
      <c r="B207" s="425"/>
      <c r="C207" s="425"/>
      <c r="D207" s="425"/>
      <c r="E207" s="425"/>
      <c r="F207" s="425"/>
      <c r="G207" s="425"/>
      <c r="H207" s="425"/>
      <c r="I207" s="425"/>
      <c r="J207" s="425"/>
      <c r="K207" s="425"/>
      <c r="L207" s="425"/>
      <c r="M207" s="425"/>
      <c r="N207" s="425"/>
      <c r="O207" s="425"/>
      <c r="P207" s="425"/>
      <c r="Q207" s="425"/>
      <c r="R207" s="425"/>
      <c r="S207" s="425"/>
      <c r="T207" s="425"/>
      <c r="U207" s="425"/>
    </row>
    <row r="208" ht="15.75" customHeight="1">
      <c r="A208" s="425"/>
      <c r="B208" s="425"/>
      <c r="C208" s="425"/>
      <c r="D208" s="425"/>
      <c r="E208" s="425"/>
      <c r="F208" s="425"/>
      <c r="G208" s="425"/>
      <c r="H208" s="425"/>
      <c r="I208" s="425"/>
      <c r="J208" s="425"/>
      <c r="K208" s="425"/>
      <c r="L208" s="425"/>
      <c r="M208" s="425"/>
      <c r="N208" s="425"/>
      <c r="O208" s="425"/>
      <c r="P208" s="425"/>
      <c r="Q208" s="425"/>
      <c r="R208" s="425"/>
      <c r="S208" s="425"/>
      <c r="T208" s="425"/>
      <c r="U208" s="425"/>
    </row>
    <row r="209" ht="15.75" customHeight="1">
      <c r="A209" s="425"/>
      <c r="B209" s="425"/>
      <c r="C209" s="425"/>
      <c r="D209" s="425"/>
      <c r="E209" s="425"/>
      <c r="F209" s="425"/>
      <c r="G209" s="425"/>
      <c r="H209" s="425"/>
      <c r="I209" s="425"/>
      <c r="J209" s="425"/>
      <c r="K209" s="425"/>
      <c r="L209" s="425"/>
      <c r="M209" s="425"/>
      <c r="N209" s="425"/>
      <c r="O209" s="425"/>
      <c r="P209" s="425"/>
      <c r="Q209" s="425"/>
      <c r="R209" s="425"/>
      <c r="S209" s="425"/>
      <c r="T209" s="425"/>
      <c r="U209" s="425"/>
    </row>
    <row r="210" ht="15.75" customHeight="1">
      <c r="A210" s="425"/>
      <c r="B210" s="425"/>
      <c r="C210" s="425"/>
      <c r="D210" s="425"/>
      <c r="E210" s="425"/>
      <c r="F210" s="425"/>
      <c r="G210" s="425"/>
      <c r="H210" s="425"/>
      <c r="I210" s="425"/>
      <c r="J210" s="425"/>
      <c r="K210" s="425"/>
      <c r="L210" s="425"/>
      <c r="M210" s="425"/>
      <c r="N210" s="425"/>
      <c r="O210" s="425"/>
      <c r="P210" s="425"/>
      <c r="Q210" s="425"/>
      <c r="R210" s="425"/>
      <c r="S210" s="425"/>
      <c r="T210" s="425"/>
      <c r="U210" s="425"/>
    </row>
    <row r="211" ht="15.75" customHeight="1">
      <c r="A211" s="425"/>
      <c r="B211" s="425"/>
      <c r="C211" s="425"/>
      <c r="D211" s="425"/>
      <c r="E211" s="425"/>
      <c r="F211" s="425"/>
      <c r="G211" s="425"/>
      <c r="H211" s="425"/>
      <c r="I211" s="425"/>
      <c r="J211" s="425"/>
      <c r="K211" s="425"/>
      <c r="L211" s="425"/>
      <c r="M211" s="425"/>
      <c r="N211" s="425"/>
      <c r="O211" s="425"/>
      <c r="P211" s="425"/>
      <c r="Q211" s="425"/>
      <c r="R211" s="425"/>
      <c r="S211" s="425"/>
      <c r="T211" s="425"/>
      <c r="U211" s="425"/>
    </row>
    <row r="212" ht="15.75" customHeight="1">
      <c r="A212" s="425"/>
      <c r="B212" s="425"/>
      <c r="C212" s="425"/>
      <c r="D212" s="425"/>
      <c r="E212" s="425"/>
      <c r="F212" s="425"/>
      <c r="G212" s="425"/>
      <c r="H212" s="425"/>
      <c r="I212" s="425"/>
      <c r="J212" s="425"/>
      <c r="K212" s="425"/>
      <c r="L212" s="425"/>
      <c r="M212" s="425"/>
      <c r="N212" s="425"/>
      <c r="O212" s="425"/>
      <c r="P212" s="425"/>
      <c r="Q212" s="425"/>
      <c r="R212" s="425"/>
      <c r="S212" s="425"/>
      <c r="T212" s="425"/>
      <c r="U212" s="425"/>
    </row>
    <row r="213" ht="15.75" customHeight="1">
      <c r="A213" s="425"/>
      <c r="B213" s="425"/>
      <c r="C213" s="425"/>
      <c r="D213" s="425"/>
      <c r="E213" s="425"/>
      <c r="F213" s="425"/>
      <c r="G213" s="425"/>
      <c r="H213" s="425"/>
      <c r="I213" s="425"/>
      <c r="J213" s="425"/>
      <c r="K213" s="425"/>
      <c r="L213" s="425"/>
      <c r="M213" s="425"/>
      <c r="N213" s="425"/>
      <c r="O213" s="425"/>
      <c r="P213" s="425"/>
      <c r="Q213" s="425"/>
      <c r="R213" s="425"/>
      <c r="S213" s="425"/>
      <c r="T213" s="425"/>
      <c r="U213" s="425"/>
    </row>
    <row r="214" ht="15.75" customHeight="1">
      <c r="A214" s="425"/>
      <c r="B214" s="425"/>
      <c r="C214" s="425"/>
      <c r="D214" s="425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25"/>
    </row>
    <row r="215" ht="15.75" customHeight="1">
      <c r="A215" s="425"/>
      <c r="B215" s="425"/>
      <c r="C215" s="425"/>
      <c r="D215" s="425"/>
      <c r="E215" s="425"/>
      <c r="F215" s="425"/>
      <c r="G215" s="425"/>
      <c r="H215" s="425"/>
      <c r="I215" s="425"/>
      <c r="J215" s="425"/>
      <c r="K215" s="425"/>
      <c r="L215" s="425"/>
      <c r="M215" s="425"/>
      <c r="N215" s="425"/>
      <c r="O215" s="425"/>
      <c r="P215" s="425"/>
      <c r="Q215" s="425"/>
      <c r="R215" s="425"/>
      <c r="S215" s="425"/>
      <c r="T215" s="425"/>
      <c r="U215" s="425"/>
    </row>
    <row r="216" ht="15.75" customHeight="1">
      <c r="A216" s="425"/>
      <c r="B216" s="425"/>
      <c r="C216" s="425"/>
      <c r="D216" s="425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5"/>
      <c r="R216" s="425"/>
      <c r="S216" s="425"/>
      <c r="T216" s="425"/>
      <c r="U216" s="425"/>
    </row>
    <row r="217" ht="15.75" customHeight="1">
      <c r="A217" s="425"/>
      <c r="B217" s="425"/>
      <c r="C217" s="425"/>
      <c r="D217" s="425"/>
      <c r="E217" s="425"/>
      <c r="F217" s="425"/>
      <c r="G217" s="425"/>
      <c r="H217" s="425"/>
      <c r="I217" s="425"/>
      <c r="J217" s="425"/>
      <c r="K217" s="425"/>
      <c r="L217" s="425"/>
      <c r="M217" s="425"/>
      <c r="N217" s="425"/>
      <c r="O217" s="425"/>
      <c r="P217" s="425"/>
      <c r="Q217" s="425"/>
      <c r="R217" s="425"/>
      <c r="S217" s="425"/>
      <c r="T217" s="425"/>
      <c r="U217" s="425"/>
    </row>
    <row r="218" ht="15.75" customHeight="1">
      <c r="A218" s="425"/>
      <c r="B218" s="425"/>
      <c r="C218" s="425"/>
      <c r="D218" s="425"/>
      <c r="E218" s="425"/>
      <c r="F218" s="425"/>
      <c r="G218" s="425"/>
      <c r="H218" s="425"/>
      <c r="I218" s="425"/>
      <c r="J218" s="425"/>
      <c r="K218" s="425"/>
      <c r="L218" s="425"/>
      <c r="M218" s="425"/>
      <c r="N218" s="425"/>
      <c r="O218" s="425"/>
      <c r="P218" s="425"/>
      <c r="Q218" s="425"/>
      <c r="R218" s="425"/>
      <c r="S218" s="425"/>
      <c r="T218" s="425"/>
      <c r="U218" s="425"/>
    </row>
    <row r="219" ht="15.75" customHeight="1">
      <c r="A219" s="425"/>
      <c r="B219" s="425"/>
      <c r="C219" s="425"/>
      <c r="D219" s="425"/>
      <c r="E219" s="425"/>
      <c r="F219" s="425"/>
      <c r="G219" s="425"/>
      <c r="H219" s="425"/>
      <c r="I219" s="425"/>
      <c r="J219" s="425"/>
      <c r="K219" s="425"/>
      <c r="L219" s="425"/>
      <c r="M219" s="425"/>
      <c r="N219" s="425"/>
      <c r="O219" s="425"/>
      <c r="P219" s="425"/>
      <c r="Q219" s="425"/>
      <c r="R219" s="425"/>
      <c r="S219" s="425"/>
      <c r="T219" s="425"/>
      <c r="U219" s="425"/>
    </row>
    <row r="220" ht="15.75" customHeight="1">
      <c r="A220" s="425"/>
      <c r="B220" s="425"/>
      <c r="C220" s="425"/>
      <c r="D220" s="425"/>
      <c r="E220" s="425"/>
      <c r="F220" s="425"/>
      <c r="G220" s="425"/>
      <c r="H220" s="425"/>
      <c r="I220" s="425"/>
      <c r="J220" s="425"/>
      <c r="K220" s="425"/>
      <c r="L220" s="425"/>
      <c r="M220" s="425"/>
      <c r="N220" s="425"/>
      <c r="O220" s="425"/>
      <c r="P220" s="425"/>
      <c r="Q220" s="425"/>
      <c r="R220" s="425"/>
      <c r="S220" s="425"/>
      <c r="T220" s="425"/>
      <c r="U220" s="425"/>
    </row>
    <row r="221" ht="15.75" customHeight="1">
      <c r="A221" s="425"/>
      <c r="B221" s="425"/>
      <c r="C221" s="425"/>
      <c r="D221" s="425"/>
      <c r="E221" s="425"/>
      <c r="F221" s="425"/>
      <c r="G221" s="425"/>
      <c r="H221" s="425"/>
      <c r="I221" s="425"/>
      <c r="J221" s="425"/>
      <c r="K221" s="425"/>
      <c r="L221" s="425"/>
      <c r="M221" s="425"/>
      <c r="N221" s="425"/>
      <c r="O221" s="425"/>
      <c r="P221" s="425"/>
      <c r="Q221" s="425"/>
      <c r="R221" s="425"/>
      <c r="S221" s="425"/>
      <c r="T221" s="425"/>
      <c r="U221" s="425"/>
    </row>
    <row r="222" ht="15.75" customHeight="1">
      <c r="A222" s="425"/>
      <c r="B222" s="425"/>
      <c r="C222" s="425"/>
      <c r="D222" s="425"/>
      <c r="E222" s="425"/>
      <c r="F222" s="425"/>
      <c r="G222" s="425"/>
      <c r="H222" s="425"/>
      <c r="I222" s="425"/>
      <c r="J222" s="425"/>
      <c r="K222" s="425"/>
      <c r="L222" s="425"/>
      <c r="M222" s="425"/>
      <c r="N222" s="425"/>
      <c r="O222" s="425"/>
      <c r="P222" s="425"/>
      <c r="Q222" s="425"/>
      <c r="R222" s="425"/>
      <c r="S222" s="425"/>
      <c r="T222" s="425"/>
      <c r="U222" s="425"/>
    </row>
    <row r="223" ht="15.75" customHeight="1">
      <c r="A223" s="425"/>
      <c r="B223" s="425"/>
      <c r="C223" s="425"/>
      <c r="D223" s="425"/>
      <c r="E223" s="425"/>
      <c r="F223" s="425"/>
      <c r="G223" s="425"/>
      <c r="H223" s="425"/>
      <c r="I223" s="425"/>
      <c r="J223" s="425"/>
      <c r="K223" s="425"/>
      <c r="L223" s="425"/>
      <c r="M223" s="425"/>
      <c r="N223" s="425"/>
      <c r="O223" s="425"/>
      <c r="P223" s="425"/>
      <c r="Q223" s="425"/>
      <c r="R223" s="425"/>
      <c r="S223" s="425"/>
      <c r="T223" s="425"/>
      <c r="U223" s="425"/>
    </row>
    <row r="224" ht="15.75" customHeight="1">
      <c r="A224" s="425"/>
      <c r="B224" s="425"/>
      <c r="C224" s="425"/>
      <c r="D224" s="425"/>
      <c r="E224" s="425"/>
      <c r="F224" s="425"/>
      <c r="G224" s="425"/>
      <c r="H224" s="425"/>
      <c r="I224" s="425"/>
      <c r="J224" s="425"/>
      <c r="K224" s="425"/>
      <c r="L224" s="425"/>
      <c r="M224" s="425"/>
      <c r="N224" s="425"/>
      <c r="O224" s="425"/>
      <c r="P224" s="425"/>
      <c r="Q224" s="425"/>
      <c r="R224" s="425"/>
      <c r="S224" s="425"/>
      <c r="T224" s="425"/>
      <c r="U224" s="425"/>
    </row>
    <row r="225" ht="15.75" customHeight="1">
      <c r="A225" s="425"/>
      <c r="B225" s="425"/>
      <c r="C225" s="425"/>
      <c r="D225" s="425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</row>
    <row r="226" ht="15.75" customHeight="1">
      <c r="A226" s="425"/>
      <c r="B226" s="425"/>
      <c r="C226" s="425"/>
      <c r="D226" s="425"/>
      <c r="E226" s="425"/>
      <c r="F226" s="425"/>
      <c r="G226" s="425"/>
      <c r="H226" s="425"/>
      <c r="I226" s="425"/>
      <c r="J226" s="425"/>
      <c r="K226" s="425"/>
      <c r="L226" s="425"/>
      <c r="M226" s="425"/>
      <c r="N226" s="425"/>
      <c r="O226" s="425"/>
      <c r="P226" s="425"/>
      <c r="Q226" s="425"/>
      <c r="R226" s="425"/>
      <c r="S226" s="425"/>
      <c r="T226" s="425"/>
      <c r="U226" s="425"/>
    </row>
    <row r="227" ht="15.75" customHeight="1">
      <c r="A227" s="425"/>
      <c r="B227" s="425"/>
      <c r="C227" s="425"/>
      <c r="D227" s="425"/>
      <c r="E227" s="425"/>
      <c r="F227" s="425"/>
      <c r="G227" s="425"/>
      <c r="H227" s="425"/>
      <c r="I227" s="425"/>
      <c r="J227" s="425"/>
      <c r="K227" s="425"/>
      <c r="L227" s="425"/>
      <c r="M227" s="425"/>
      <c r="N227" s="425"/>
      <c r="O227" s="425"/>
      <c r="P227" s="425"/>
      <c r="Q227" s="425"/>
      <c r="R227" s="425"/>
      <c r="S227" s="425"/>
      <c r="T227" s="425"/>
      <c r="U227" s="425"/>
    </row>
    <row r="228" ht="15.75" customHeight="1">
      <c r="A228" s="425"/>
      <c r="B228" s="425"/>
      <c r="C228" s="425"/>
      <c r="D228" s="425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</row>
    <row r="229" ht="15.75" customHeight="1">
      <c r="A229" s="425"/>
      <c r="B229" s="425"/>
      <c r="C229" s="425"/>
      <c r="D229" s="425"/>
      <c r="E229" s="425"/>
      <c r="F229" s="425"/>
      <c r="G229" s="425"/>
      <c r="H229" s="425"/>
      <c r="I229" s="425"/>
      <c r="J229" s="425"/>
      <c r="K229" s="425"/>
      <c r="L229" s="425"/>
      <c r="M229" s="425"/>
      <c r="N229" s="425"/>
      <c r="O229" s="425"/>
      <c r="P229" s="425"/>
      <c r="Q229" s="425"/>
      <c r="R229" s="425"/>
      <c r="S229" s="425"/>
      <c r="T229" s="425"/>
      <c r="U229" s="425"/>
    </row>
    <row r="230" ht="15.75" customHeight="1">
      <c r="A230" s="425"/>
      <c r="B230" s="425"/>
      <c r="C230" s="425"/>
      <c r="D230" s="425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25"/>
    </row>
    <row r="231" ht="15.75" customHeight="1">
      <c r="A231" s="425"/>
      <c r="B231" s="425"/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  <c r="P231" s="425"/>
      <c r="Q231" s="425"/>
      <c r="R231" s="425"/>
      <c r="S231" s="425"/>
      <c r="T231" s="425"/>
      <c r="U231" s="425"/>
    </row>
    <row r="232" ht="15.75" customHeight="1">
      <c r="A232" s="425"/>
      <c r="B232" s="425"/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  <c r="P232" s="425"/>
      <c r="Q232" s="425"/>
      <c r="R232" s="425"/>
      <c r="S232" s="425"/>
      <c r="T232" s="425"/>
      <c r="U232" s="425"/>
    </row>
    <row r="233" ht="15.75" customHeight="1">
      <c r="A233" s="425"/>
      <c r="B233" s="425"/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  <c r="P233" s="425"/>
      <c r="Q233" s="425"/>
      <c r="R233" s="425"/>
      <c r="S233" s="425"/>
      <c r="T233" s="425"/>
      <c r="U233" s="425"/>
    </row>
    <row r="234" ht="15.75" customHeight="1">
      <c r="A234" s="425"/>
      <c r="B234" s="425"/>
      <c r="C234" s="425"/>
      <c r="D234" s="425"/>
      <c r="E234" s="425"/>
      <c r="F234" s="425"/>
      <c r="G234" s="425"/>
      <c r="H234" s="425"/>
      <c r="I234" s="425"/>
      <c r="J234" s="425"/>
      <c r="K234" s="425"/>
      <c r="L234" s="425"/>
      <c r="M234" s="425"/>
      <c r="N234" s="425"/>
      <c r="O234" s="425"/>
      <c r="P234" s="425"/>
      <c r="Q234" s="425"/>
      <c r="R234" s="425"/>
      <c r="S234" s="425"/>
      <c r="T234" s="425"/>
      <c r="U234" s="425"/>
    </row>
    <row r="235" ht="15.75" customHeight="1">
      <c r="A235" s="425"/>
      <c r="B235" s="425"/>
      <c r="C235" s="425"/>
      <c r="D235" s="425"/>
      <c r="E235" s="425"/>
      <c r="F235" s="425"/>
      <c r="G235" s="425"/>
      <c r="H235" s="425"/>
      <c r="I235" s="425"/>
      <c r="J235" s="425"/>
      <c r="K235" s="425"/>
      <c r="L235" s="425"/>
      <c r="M235" s="425"/>
      <c r="N235" s="425"/>
      <c r="O235" s="425"/>
      <c r="P235" s="425"/>
      <c r="Q235" s="425"/>
      <c r="R235" s="425"/>
      <c r="S235" s="425"/>
      <c r="T235" s="425"/>
      <c r="U235" s="425"/>
    </row>
    <row r="236" ht="15.75" customHeight="1">
      <c r="A236" s="425"/>
      <c r="B236" s="425"/>
      <c r="C236" s="425"/>
      <c r="D236" s="425"/>
      <c r="E236" s="425"/>
      <c r="F236" s="425"/>
      <c r="G236" s="425"/>
      <c r="H236" s="425"/>
      <c r="I236" s="425"/>
      <c r="J236" s="425"/>
      <c r="K236" s="425"/>
      <c r="L236" s="425"/>
      <c r="M236" s="425"/>
      <c r="N236" s="425"/>
      <c r="O236" s="425"/>
      <c r="P236" s="425"/>
      <c r="Q236" s="425"/>
      <c r="R236" s="425"/>
      <c r="S236" s="425"/>
      <c r="T236" s="425"/>
      <c r="U236" s="425"/>
    </row>
    <row r="237" ht="15.75" customHeight="1">
      <c r="A237" s="425"/>
      <c r="B237" s="425"/>
      <c r="C237" s="425"/>
      <c r="D237" s="425"/>
      <c r="E237" s="425"/>
      <c r="F237" s="425"/>
      <c r="G237" s="425"/>
      <c r="H237" s="425"/>
      <c r="I237" s="425"/>
      <c r="J237" s="425"/>
      <c r="K237" s="425"/>
      <c r="L237" s="425"/>
      <c r="M237" s="425"/>
      <c r="N237" s="425"/>
      <c r="O237" s="425"/>
      <c r="P237" s="425"/>
      <c r="Q237" s="425"/>
      <c r="R237" s="425"/>
      <c r="S237" s="425"/>
      <c r="T237" s="425"/>
      <c r="U237" s="425"/>
    </row>
    <row r="238" ht="15.75" customHeight="1">
      <c r="A238" s="425"/>
      <c r="B238" s="425"/>
      <c r="C238" s="425"/>
      <c r="D238" s="425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5"/>
      <c r="R238" s="425"/>
      <c r="S238" s="425"/>
      <c r="T238" s="425"/>
      <c r="U238" s="425"/>
    </row>
    <row r="239" ht="15.75" customHeight="1">
      <c r="A239" s="425"/>
      <c r="B239" s="425"/>
      <c r="C239" s="425"/>
      <c r="D239" s="425"/>
      <c r="E239" s="425"/>
      <c r="F239" s="425"/>
      <c r="G239" s="425"/>
      <c r="H239" s="425"/>
      <c r="I239" s="425"/>
      <c r="J239" s="425"/>
      <c r="K239" s="425"/>
      <c r="L239" s="425"/>
      <c r="M239" s="425"/>
      <c r="N239" s="425"/>
      <c r="O239" s="425"/>
      <c r="P239" s="425"/>
      <c r="Q239" s="425"/>
      <c r="R239" s="425"/>
      <c r="S239" s="425"/>
      <c r="T239" s="425"/>
      <c r="U239" s="425"/>
    </row>
    <row r="240" ht="15.75" customHeight="1">
      <c r="A240" s="425"/>
      <c r="B240" s="425"/>
      <c r="C240" s="425"/>
      <c r="D240" s="425"/>
      <c r="E240" s="425"/>
      <c r="F240" s="425"/>
      <c r="G240" s="425"/>
      <c r="H240" s="425"/>
      <c r="I240" s="425"/>
      <c r="J240" s="425"/>
      <c r="K240" s="425"/>
      <c r="L240" s="425"/>
      <c r="M240" s="425"/>
      <c r="N240" s="425"/>
      <c r="O240" s="425"/>
      <c r="P240" s="425"/>
      <c r="Q240" s="425"/>
      <c r="R240" s="425"/>
      <c r="S240" s="425"/>
      <c r="T240" s="425"/>
      <c r="U240" s="425"/>
    </row>
    <row r="241" ht="15.75" customHeight="1">
      <c r="A241" s="425"/>
      <c r="B241" s="425"/>
      <c r="C241" s="425"/>
      <c r="D241" s="425"/>
      <c r="E241" s="425"/>
      <c r="F241" s="425"/>
      <c r="G241" s="425"/>
      <c r="H241" s="425"/>
      <c r="I241" s="425"/>
      <c r="J241" s="425"/>
      <c r="K241" s="425"/>
      <c r="L241" s="425"/>
      <c r="M241" s="425"/>
      <c r="N241" s="425"/>
      <c r="O241" s="425"/>
      <c r="P241" s="425"/>
      <c r="Q241" s="425"/>
      <c r="R241" s="425"/>
      <c r="S241" s="425"/>
      <c r="T241" s="425"/>
      <c r="U241" s="425"/>
    </row>
    <row r="242" ht="15.75" customHeight="1">
      <c r="A242" s="425"/>
      <c r="B242" s="425"/>
      <c r="C242" s="425"/>
      <c r="D242" s="425"/>
      <c r="E242" s="425"/>
      <c r="F242" s="425"/>
      <c r="G242" s="425"/>
      <c r="H242" s="425"/>
      <c r="I242" s="425"/>
      <c r="J242" s="425"/>
      <c r="K242" s="425"/>
      <c r="L242" s="425"/>
      <c r="M242" s="425"/>
      <c r="N242" s="425"/>
      <c r="O242" s="425"/>
      <c r="P242" s="425"/>
      <c r="Q242" s="425"/>
      <c r="R242" s="425"/>
      <c r="S242" s="425"/>
      <c r="T242" s="425"/>
      <c r="U242" s="425"/>
    </row>
    <row r="243" ht="15.75" customHeight="1">
      <c r="A243" s="425"/>
      <c r="B243" s="425"/>
      <c r="C243" s="425"/>
      <c r="D243" s="425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25"/>
    </row>
    <row r="244" ht="15.75" customHeight="1">
      <c r="A244" s="425"/>
      <c r="B244" s="425"/>
      <c r="C244" s="425"/>
      <c r="D244" s="425"/>
      <c r="E244" s="425"/>
      <c r="F244" s="425"/>
      <c r="G244" s="425"/>
      <c r="H244" s="425"/>
      <c r="I244" s="425"/>
      <c r="J244" s="425"/>
      <c r="K244" s="425"/>
      <c r="L244" s="425"/>
      <c r="M244" s="425"/>
      <c r="N244" s="425"/>
      <c r="O244" s="425"/>
      <c r="P244" s="425"/>
      <c r="Q244" s="425"/>
      <c r="R244" s="425"/>
      <c r="S244" s="425"/>
      <c r="T244" s="425"/>
      <c r="U244" s="425"/>
    </row>
    <row r="245" ht="15.75" customHeight="1">
      <c r="A245" s="425"/>
      <c r="B245" s="425"/>
      <c r="C245" s="425"/>
      <c r="D245" s="425"/>
      <c r="E245" s="425"/>
      <c r="F245" s="425"/>
      <c r="G245" s="425"/>
      <c r="H245" s="425"/>
      <c r="I245" s="425"/>
      <c r="J245" s="425"/>
      <c r="K245" s="425"/>
      <c r="L245" s="425"/>
      <c r="M245" s="425"/>
      <c r="N245" s="425"/>
      <c r="O245" s="425"/>
      <c r="P245" s="425"/>
      <c r="Q245" s="425"/>
      <c r="R245" s="425"/>
      <c r="S245" s="425"/>
      <c r="T245" s="425"/>
      <c r="U245" s="425"/>
    </row>
    <row r="246" ht="15.75" customHeight="1">
      <c r="A246" s="425"/>
      <c r="B246" s="425"/>
      <c r="C246" s="425"/>
      <c r="D246" s="425"/>
      <c r="E246" s="425"/>
      <c r="F246" s="425"/>
      <c r="G246" s="425"/>
      <c r="H246" s="425"/>
      <c r="I246" s="425"/>
      <c r="J246" s="425"/>
      <c r="K246" s="425"/>
      <c r="L246" s="425"/>
      <c r="M246" s="425"/>
      <c r="N246" s="425"/>
      <c r="O246" s="425"/>
      <c r="P246" s="425"/>
      <c r="Q246" s="425"/>
      <c r="R246" s="425"/>
      <c r="S246" s="425"/>
      <c r="T246" s="425"/>
      <c r="U246" s="425"/>
    </row>
    <row r="247" ht="15.75" customHeight="1">
      <c r="A247" s="425"/>
      <c r="B247" s="425"/>
      <c r="C247" s="425"/>
      <c r="D247" s="425"/>
      <c r="E247" s="425"/>
      <c r="F247" s="425"/>
      <c r="G247" s="425"/>
      <c r="H247" s="425"/>
      <c r="I247" s="425"/>
      <c r="J247" s="425"/>
      <c r="K247" s="425"/>
      <c r="L247" s="425"/>
      <c r="M247" s="425"/>
      <c r="N247" s="425"/>
      <c r="O247" s="425"/>
      <c r="P247" s="425"/>
      <c r="Q247" s="425"/>
      <c r="R247" s="425"/>
      <c r="S247" s="425"/>
      <c r="T247" s="425"/>
      <c r="U247" s="425"/>
    </row>
    <row r="248" ht="15.75" customHeight="1">
      <c r="A248" s="425"/>
      <c r="B248" s="425"/>
      <c r="C248" s="425"/>
      <c r="D248" s="425"/>
      <c r="E248" s="425"/>
      <c r="F248" s="425"/>
      <c r="G248" s="425"/>
      <c r="H248" s="425"/>
      <c r="I248" s="425"/>
      <c r="J248" s="425"/>
      <c r="K248" s="425"/>
      <c r="L248" s="425"/>
      <c r="M248" s="425"/>
      <c r="N248" s="425"/>
      <c r="O248" s="425"/>
      <c r="P248" s="425"/>
      <c r="Q248" s="425"/>
      <c r="R248" s="425"/>
      <c r="S248" s="425"/>
      <c r="T248" s="425"/>
      <c r="U248" s="425"/>
    </row>
    <row r="249" ht="15.75" customHeight="1">
      <c r="A249" s="425"/>
      <c r="B249" s="425"/>
      <c r="C249" s="425"/>
      <c r="D249" s="425"/>
      <c r="E249" s="425"/>
      <c r="F249" s="425"/>
      <c r="G249" s="425"/>
      <c r="H249" s="425"/>
      <c r="I249" s="425"/>
      <c r="J249" s="425"/>
      <c r="K249" s="425"/>
      <c r="L249" s="425"/>
      <c r="M249" s="425"/>
      <c r="N249" s="425"/>
      <c r="O249" s="425"/>
      <c r="P249" s="425"/>
      <c r="Q249" s="425"/>
      <c r="R249" s="425"/>
      <c r="S249" s="425"/>
      <c r="T249" s="425"/>
      <c r="U249" s="425"/>
    </row>
    <row r="250" ht="15.75" customHeight="1">
      <c r="A250" s="425"/>
      <c r="B250" s="425"/>
      <c r="C250" s="425"/>
      <c r="D250" s="425"/>
      <c r="E250" s="425"/>
      <c r="F250" s="425"/>
      <c r="G250" s="425"/>
      <c r="H250" s="425"/>
      <c r="I250" s="425"/>
      <c r="J250" s="425"/>
      <c r="K250" s="425"/>
      <c r="L250" s="425"/>
      <c r="M250" s="425"/>
      <c r="N250" s="425"/>
      <c r="O250" s="425"/>
      <c r="P250" s="425"/>
      <c r="Q250" s="425"/>
      <c r="R250" s="425"/>
      <c r="S250" s="425"/>
      <c r="T250" s="425"/>
      <c r="U250" s="425"/>
    </row>
    <row r="251" ht="15.75" customHeight="1">
      <c r="A251" s="425"/>
      <c r="B251" s="425"/>
      <c r="C251" s="425"/>
      <c r="D251" s="425"/>
      <c r="E251" s="425"/>
      <c r="F251" s="425"/>
      <c r="G251" s="425"/>
      <c r="H251" s="425"/>
      <c r="I251" s="425"/>
      <c r="J251" s="425"/>
      <c r="K251" s="425"/>
      <c r="L251" s="425"/>
      <c r="M251" s="425"/>
      <c r="N251" s="425"/>
      <c r="O251" s="425"/>
      <c r="P251" s="425"/>
      <c r="Q251" s="425"/>
      <c r="R251" s="425"/>
      <c r="S251" s="425"/>
      <c r="T251" s="425"/>
      <c r="U251" s="425"/>
    </row>
    <row r="252" ht="15.75" customHeight="1">
      <c r="A252" s="425"/>
      <c r="B252" s="425"/>
      <c r="C252" s="425"/>
      <c r="D252" s="425"/>
      <c r="E252" s="425"/>
      <c r="F252" s="425"/>
      <c r="G252" s="425"/>
      <c r="H252" s="425"/>
      <c r="I252" s="425"/>
      <c r="J252" s="425"/>
      <c r="K252" s="425"/>
      <c r="L252" s="425"/>
      <c r="M252" s="425"/>
      <c r="N252" s="425"/>
      <c r="O252" s="425"/>
      <c r="P252" s="425"/>
      <c r="Q252" s="425"/>
      <c r="R252" s="425"/>
      <c r="S252" s="425"/>
      <c r="T252" s="425"/>
      <c r="U252" s="425"/>
    </row>
    <row r="253" ht="15.75" customHeight="1">
      <c r="A253" s="425"/>
      <c r="B253" s="425"/>
      <c r="C253" s="425"/>
      <c r="D253" s="425"/>
      <c r="E253" s="425"/>
      <c r="F253" s="425"/>
      <c r="G253" s="425"/>
      <c r="H253" s="425"/>
      <c r="I253" s="425"/>
      <c r="J253" s="425"/>
      <c r="K253" s="425"/>
      <c r="L253" s="425"/>
      <c r="M253" s="425"/>
      <c r="N253" s="425"/>
      <c r="O253" s="425"/>
      <c r="P253" s="425"/>
      <c r="Q253" s="425"/>
      <c r="R253" s="425"/>
      <c r="S253" s="425"/>
      <c r="T253" s="425"/>
      <c r="U253" s="425"/>
    </row>
    <row r="254" ht="15.75" customHeight="1">
      <c r="A254" s="425"/>
      <c r="B254" s="425"/>
      <c r="C254" s="425"/>
      <c r="D254" s="425"/>
      <c r="E254" s="425"/>
      <c r="F254" s="425"/>
      <c r="G254" s="425"/>
      <c r="H254" s="425"/>
      <c r="I254" s="425"/>
      <c r="J254" s="425"/>
      <c r="K254" s="425"/>
      <c r="L254" s="425"/>
      <c r="M254" s="425"/>
      <c r="N254" s="425"/>
      <c r="O254" s="425"/>
      <c r="P254" s="425"/>
      <c r="Q254" s="425"/>
      <c r="R254" s="425"/>
      <c r="S254" s="425"/>
      <c r="T254" s="425"/>
      <c r="U254" s="425"/>
    </row>
    <row r="255" ht="15.75" customHeight="1">
      <c r="A255" s="425"/>
      <c r="B255" s="425"/>
      <c r="C255" s="425"/>
      <c r="D255" s="425"/>
      <c r="E255" s="425"/>
      <c r="F255" s="425"/>
      <c r="G255" s="425"/>
      <c r="H255" s="425"/>
      <c r="I255" s="425"/>
      <c r="J255" s="425"/>
      <c r="K255" s="425"/>
      <c r="L255" s="425"/>
      <c r="M255" s="425"/>
      <c r="N255" s="425"/>
      <c r="O255" s="425"/>
      <c r="P255" s="425"/>
      <c r="Q255" s="425"/>
      <c r="R255" s="425"/>
      <c r="S255" s="425"/>
      <c r="T255" s="425"/>
      <c r="U255" s="425"/>
    </row>
    <row r="256" ht="15.75" customHeight="1">
      <c r="A256" s="425"/>
      <c r="B256" s="425"/>
      <c r="C256" s="425"/>
      <c r="D256" s="425"/>
      <c r="E256" s="425"/>
      <c r="F256" s="425"/>
      <c r="G256" s="425"/>
      <c r="H256" s="425"/>
      <c r="I256" s="425"/>
      <c r="J256" s="425"/>
      <c r="K256" s="425"/>
      <c r="L256" s="425"/>
      <c r="M256" s="425"/>
      <c r="N256" s="425"/>
      <c r="O256" s="425"/>
      <c r="P256" s="425"/>
      <c r="Q256" s="425"/>
      <c r="R256" s="425"/>
      <c r="S256" s="425"/>
      <c r="T256" s="425"/>
      <c r="U256" s="425"/>
    </row>
    <row r="257" ht="15.75" customHeight="1">
      <c r="A257" s="425"/>
      <c r="B257" s="425"/>
      <c r="C257" s="425"/>
      <c r="D257" s="425"/>
      <c r="E257" s="425"/>
      <c r="F257" s="425"/>
      <c r="G257" s="425"/>
      <c r="H257" s="425"/>
      <c r="I257" s="425"/>
      <c r="J257" s="425"/>
      <c r="K257" s="425"/>
      <c r="L257" s="425"/>
      <c r="M257" s="425"/>
      <c r="N257" s="425"/>
      <c r="O257" s="425"/>
      <c r="P257" s="425"/>
      <c r="Q257" s="425"/>
      <c r="R257" s="425"/>
      <c r="S257" s="425"/>
      <c r="T257" s="425"/>
      <c r="U257" s="425"/>
    </row>
    <row r="258" ht="15.75" customHeight="1">
      <c r="A258" s="425"/>
      <c r="B258" s="425"/>
      <c r="C258" s="425"/>
      <c r="D258" s="425"/>
      <c r="E258" s="425"/>
      <c r="F258" s="425"/>
      <c r="G258" s="425"/>
      <c r="H258" s="425"/>
      <c r="I258" s="425"/>
      <c r="J258" s="425"/>
      <c r="K258" s="425"/>
      <c r="L258" s="425"/>
      <c r="M258" s="425"/>
      <c r="N258" s="425"/>
      <c r="O258" s="425"/>
      <c r="P258" s="425"/>
      <c r="Q258" s="425"/>
      <c r="R258" s="425"/>
      <c r="S258" s="425"/>
      <c r="T258" s="425"/>
      <c r="U258" s="425"/>
    </row>
    <row r="259" ht="15.75" customHeight="1">
      <c r="A259" s="425"/>
      <c r="B259" s="425"/>
      <c r="C259" s="425"/>
      <c r="D259" s="425"/>
      <c r="E259" s="425"/>
      <c r="F259" s="425"/>
      <c r="G259" s="425"/>
      <c r="H259" s="425"/>
      <c r="I259" s="425"/>
      <c r="J259" s="425"/>
      <c r="K259" s="425"/>
      <c r="L259" s="425"/>
      <c r="M259" s="425"/>
      <c r="N259" s="425"/>
      <c r="O259" s="425"/>
      <c r="P259" s="425"/>
      <c r="Q259" s="425"/>
      <c r="R259" s="425"/>
      <c r="S259" s="425"/>
      <c r="T259" s="425"/>
      <c r="U259" s="425"/>
    </row>
    <row r="260" ht="15.75" customHeight="1">
      <c r="A260" s="425"/>
      <c r="B260" s="425"/>
      <c r="C260" s="425"/>
      <c r="D260" s="425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5"/>
      <c r="R260" s="425"/>
      <c r="S260" s="425"/>
      <c r="T260" s="425"/>
      <c r="U260" s="425"/>
    </row>
    <row r="261" ht="15.75" customHeight="1">
      <c r="A261" s="425"/>
      <c r="B261" s="425"/>
      <c r="C261" s="425"/>
      <c r="D261" s="425"/>
      <c r="E261" s="425"/>
      <c r="F261" s="425"/>
      <c r="G261" s="425"/>
      <c r="H261" s="425"/>
      <c r="I261" s="425"/>
      <c r="J261" s="425"/>
      <c r="K261" s="425"/>
      <c r="L261" s="425"/>
      <c r="M261" s="425"/>
      <c r="N261" s="425"/>
      <c r="O261" s="425"/>
      <c r="P261" s="425"/>
      <c r="Q261" s="425"/>
      <c r="R261" s="425"/>
      <c r="S261" s="425"/>
      <c r="T261" s="425"/>
      <c r="U261" s="425"/>
    </row>
    <row r="262" ht="15.75" customHeight="1">
      <c r="A262" s="425"/>
      <c r="B262" s="425"/>
      <c r="C262" s="425"/>
      <c r="D262" s="425"/>
      <c r="E262" s="425"/>
      <c r="F262" s="425"/>
      <c r="G262" s="425"/>
      <c r="H262" s="425"/>
      <c r="I262" s="425"/>
      <c r="J262" s="425"/>
      <c r="K262" s="425"/>
      <c r="L262" s="425"/>
      <c r="M262" s="425"/>
      <c r="N262" s="425"/>
      <c r="O262" s="425"/>
      <c r="P262" s="425"/>
      <c r="Q262" s="425"/>
      <c r="R262" s="425"/>
      <c r="S262" s="425"/>
      <c r="T262" s="425"/>
      <c r="U262" s="425"/>
    </row>
    <row r="263" ht="15.75" customHeight="1">
      <c r="A263" s="425"/>
      <c r="B263" s="425"/>
      <c r="C263" s="425"/>
      <c r="D263" s="425"/>
      <c r="E263" s="425"/>
      <c r="F263" s="425"/>
      <c r="G263" s="425"/>
      <c r="H263" s="425"/>
      <c r="I263" s="425"/>
      <c r="J263" s="425"/>
      <c r="K263" s="425"/>
      <c r="L263" s="425"/>
      <c r="M263" s="425"/>
      <c r="N263" s="425"/>
      <c r="O263" s="425"/>
      <c r="P263" s="425"/>
      <c r="Q263" s="425"/>
      <c r="R263" s="425"/>
      <c r="S263" s="425"/>
      <c r="T263" s="425"/>
      <c r="U263" s="425"/>
    </row>
    <row r="264" ht="15.75" customHeight="1">
      <c r="A264" s="425"/>
      <c r="B264" s="425"/>
      <c r="C264" s="425"/>
      <c r="D264" s="425"/>
      <c r="E264" s="425"/>
      <c r="F264" s="425"/>
      <c r="G264" s="425"/>
      <c r="H264" s="425"/>
      <c r="I264" s="425"/>
      <c r="J264" s="425"/>
      <c r="K264" s="425"/>
      <c r="L264" s="425"/>
      <c r="M264" s="425"/>
      <c r="N264" s="425"/>
      <c r="O264" s="425"/>
      <c r="P264" s="425"/>
      <c r="Q264" s="425"/>
      <c r="R264" s="425"/>
      <c r="S264" s="425"/>
      <c r="T264" s="425"/>
      <c r="U264" s="425"/>
    </row>
    <row r="265" ht="15.75" customHeight="1">
      <c r="A265" s="425"/>
      <c r="B265" s="425"/>
      <c r="C265" s="425"/>
      <c r="D265" s="425"/>
      <c r="E265" s="425"/>
      <c r="F265" s="425"/>
      <c r="G265" s="425"/>
      <c r="H265" s="425"/>
      <c r="I265" s="425"/>
      <c r="J265" s="425"/>
      <c r="K265" s="425"/>
      <c r="L265" s="425"/>
      <c r="M265" s="425"/>
      <c r="N265" s="425"/>
      <c r="O265" s="425"/>
      <c r="P265" s="425"/>
      <c r="Q265" s="425"/>
      <c r="R265" s="425"/>
      <c r="S265" s="425"/>
      <c r="T265" s="425"/>
      <c r="U265" s="425"/>
    </row>
    <row r="266" ht="15.75" customHeight="1">
      <c r="A266" s="425"/>
      <c r="B266" s="425"/>
      <c r="C266" s="425"/>
      <c r="D266" s="425"/>
      <c r="E266" s="425"/>
      <c r="F266" s="425"/>
      <c r="G266" s="425"/>
      <c r="H266" s="425"/>
      <c r="I266" s="425"/>
      <c r="J266" s="425"/>
      <c r="K266" s="425"/>
      <c r="L266" s="425"/>
      <c r="M266" s="425"/>
      <c r="N266" s="425"/>
      <c r="O266" s="425"/>
      <c r="P266" s="425"/>
      <c r="Q266" s="425"/>
      <c r="R266" s="425"/>
      <c r="S266" s="425"/>
      <c r="T266" s="425"/>
      <c r="U266" s="425"/>
    </row>
    <row r="267" ht="15.75" customHeight="1">
      <c r="A267" s="425"/>
      <c r="B267" s="425"/>
      <c r="C267" s="425"/>
      <c r="D267" s="425"/>
      <c r="E267" s="425"/>
      <c r="F267" s="425"/>
      <c r="G267" s="425"/>
      <c r="H267" s="425"/>
      <c r="I267" s="425"/>
      <c r="J267" s="425"/>
      <c r="K267" s="425"/>
      <c r="L267" s="425"/>
      <c r="M267" s="425"/>
      <c r="N267" s="425"/>
      <c r="O267" s="425"/>
      <c r="P267" s="425"/>
      <c r="Q267" s="425"/>
      <c r="R267" s="425"/>
      <c r="S267" s="425"/>
      <c r="T267" s="425"/>
      <c r="U267" s="425"/>
    </row>
    <row r="268" ht="15.75" customHeight="1">
      <c r="A268" s="425"/>
      <c r="B268" s="425"/>
      <c r="C268" s="425"/>
      <c r="D268" s="425"/>
      <c r="E268" s="425"/>
      <c r="F268" s="425"/>
      <c r="G268" s="425"/>
      <c r="H268" s="425"/>
      <c r="I268" s="425"/>
      <c r="J268" s="425"/>
      <c r="K268" s="425"/>
      <c r="L268" s="425"/>
      <c r="M268" s="425"/>
      <c r="N268" s="425"/>
      <c r="O268" s="425"/>
      <c r="P268" s="425"/>
      <c r="Q268" s="425"/>
      <c r="R268" s="425"/>
      <c r="S268" s="425"/>
      <c r="T268" s="425"/>
      <c r="U268" s="425"/>
    </row>
    <row r="269" ht="15.75" customHeight="1">
      <c r="A269" s="425"/>
      <c r="B269" s="425"/>
      <c r="C269" s="425"/>
      <c r="D269" s="425"/>
      <c r="E269" s="425"/>
      <c r="F269" s="425"/>
      <c r="G269" s="425"/>
      <c r="H269" s="425"/>
      <c r="I269" s="425"/>
      <c r="J269" s="425"/>
      <c r="K269" s="425"/>
      <c r="L269" s="425"/>
      <c r="M269" s="425"/>
      <c r="N269" s="425"/>
      <c r="O269" s="425"/>
      <c r="P269" s="425"/>
      <c r="Q269" s="425"/>
      <c r="R269" s="425"/>
      <c r="S269" s="425"/>
      <c r="T269" s="425"/>
      <c r="U269" s="425"/>
    </row>
    <row r="270" ht="15.75" customHeight="1">
      <c r="A270" s="425"/>
      <c r="B270" s="425"/>
      <c r="C270" s="425"/>
      <c r="D270" s="425"/>
      <c r="E270" s="425"/>
      <c r="F270" s="425"/>
      <c r="G270" s="425"/>
      <c r="H270" s="425"/>
      <c r="I270" s="425"/>
      <c r="J270" s="425"/>
      <c r="K270" s="425"/>
      <c r="L270" s="425"/>
      <c r="M270" s="425"/>
      <c r="N270" s="425"/>
      <c r="O270" s="425"/>
      <c r="P270" s="425"/>
      <c r="Q270" s="425"/>
      <c r="R270" s="425"/>
      <c r="S270" s="425"/>
      <c r="T270" s="425"/>
      <c r="U270" s="425"/>
    </row>
    <row r="271" ht="15.75" customHeight="1">
      <c r="A271" s="425"/>
      <c r="B271" s="425"/>
      <c r="C271" s="425"/>
      <c r="D271" s="425"/>
      <c r="E271" s="425"/>
      <c r="F271" s="425"/>
      <c r="G271" s="425"/>
      <c r="H271" s="425"/>
      <c r="I271" s="425"/>
      <c r="J271" s="425"/>
      <c r="K271" s="425"/>
      <c r="L271" s="425"/>
      <c r="M271" s="425"/>
      <c r="N271" s="425"/>
      <c r="O271" s="425"/>
      <c r="P271" s="425"/>
      <c r="Q271" s="425"/>
      <c r="R271" s="425"/>
      <c r="S271" s="425"/>
      <c r="T271" s="425"/>
      <c r="U271" s="425"/>
    </row>
    <row r="272" ht="15.75" customHeight="1">
      <c r="A272" s="425"/>
      <c r="B272" s="425"/>
      <c r="C272" s="425"/>
      <c r="D272" s="425"/>
      <c r="E272" s="425"/>
      <c r="F272" s="425"/>
      <c r="G272" s="425"/>
      <c r="H272" s="425"/>
      <c r="I272" s="425"/>
      <c r="J272" s="425"/>
      <c r="K272" s="425"/>
      <c r="L272" s="425"/>
      <c r="M272" s="425"/>
      <c r="N272" s="425"/>
      <c r="O272" s="425"/>
      <c r="P272" s="425"/>
      <c r="Q272" s="425"/>
      <c r="R272" s="425"/>
      <c r="S272" s="425"/>
      <c r="T272" s="425"/>
      <c r="U272" s="425"/>
    </row>
    <row r="273" ht="15.75" customHeight="1">
      <c r="A273" s="425"/>
      <c r="B273" s="425"/>
      <c r="C273" s="425"/>
      <c r="D273" s="425"/>
      <c r="E273" s="425"/>
      <c r="F273" s="425"/>
      <c r="G273" s="425"/>
      <c r="H273" s="425"/>
      <c r="I273" s="425"/>
      <c r="J273" s="425"/>
      <c r="K273" s="425"/>
      <c r="L273" s="425"/>
      <c r="M273" s="425"/>
      <c r="N273" s="425"/>
      <c r="O273" s="425"/>
      <c r="P273" s="425"/>
      <c r="Q273" s="425"/>
      <c r="R273" s="425"/>
      <c r="S273" s="425"/>
      <c r="T273" s="425"/>
      <c r="U273" s="425"/>
    </row>
    <row r="274" ht="15.75" customHeight="1">
      <c r="A274" s="425"/>
      <c r="B274" s="425"/>
      <c r="C274" s="425"/>
      <c r="D274" s="425"/>
      <c r="E274" s="425"/>
      <c r="F274" s="425"/>
      <c r="G274" s="425"/>
      <c r="H274" s="425"/>
      <c r="I274" s="425"/>
      <c r="J274" s="425"/>
      <c r="K274" s="425"/>
      <c r="L274" s="425"/>
      <c r="M274" s="425"/>
      <c r="N274" s="425"/>
      <c r="O274" s="425"/>
      <c r="P274" s="425"/>
      <c r="Q274" s="425"/>
      <c r="R274" s="425"/>
      <c r="S274" s="425"/>
      <c r="T274" s="425"/>
      <c r="U274" s="425"/>
    </row>
    <row r="275" ht="15.75" customHeight="1">
      <c r="A275" s="425"/>
      <c r="B275" s="425"/>
      <c r="C275" s="425"/>
      <c r="D275" s="425"/>
      <c r="E275" s="425"/>
      <c r="F275" s="425"/>
      <c r="G275" s="425"/>
      <c r="H275" s="425"/>
      <c r="I275" s="425"/>
      <c r="J275" s="425"/>
      <c r="K275" s="425"/>
      <c r="L275" s="425"/>
      <c r="M275" s="425"/>
      <c r="N275" s="425"/>
      <c r="O275" s="425"/>
      <c r="P275" s="425"/>
      <c r="Q275" s="425"/>
      <c r="R275" s="425"/>
      <c r="S275" s="425"/>
      <c r="T275" s="425"/>
      <c r="U275" s="425"/>
    </row>
    <row r="276" ht="15.75" customHeight="1">
      <c r="A276" s="425"/>
      <c r="B276" s="425"/>
      <c r="C276" s="425"/>
      <c r="D276" s="425"/>
      <c r="E276" s="425"/>
      <c r="F276" s="425"/>
      <c r="G276" s="425"/>
      <c r="H276" s="425"/>
      <c r="I276" s="425"/>
      <c r="J276" s="425"/>
      <c r="K276" s="425"/>
      <c r="L276" s="425"/>
      <c r="M276" s="425"/>
      <c r="N276" s="425"/>
      <c r="O276" s="425"/>
      <c r="P276" s="425"/>
      <c r="Q276" s="425"/>
      <c r="R276" s="425"/>
      <c r="S276" s="425"/>
      <c r="T276" s="425"/>
      <c r="U276" s="425"/>
    </row>
    <row r="277" ht="15.75" customHeight="1">
      <c r="A277" s="425"/>
      <c r="B277" s="425"/>
      <c r="C277" s="425"/>
      <c r="D277" s="425"/>
      <c r="E277" s="425"/>
      <c r="F277" s="425"/>
      <c r="G277" s="425"/>
      <c r="H277" s="425"/>
      <c r="I277" s="425"/>
      <c r="J277" s="425"/>
      <c r="K277" s="425"/>
      <c r="L277" s="425"/>
      <c r="M277" s="425"/>
      <c r="N277" s="425"/>
      <c r="O277" s="425"/>
      <c r="P277" s="425"/>
      <c r="Q277" s="425"/>
      <c r="R277" s="425"/>
      <c r="S277" s="425"/>
      <c r="T277" s="425"/>
      <c r="U277" s="425"/>
    </row>
    <row r="278" ht="15.75" customHeight="1">
      <c r="A278" s="425"/>
      <c r="B278" s="425"/>
      <c r="C278" s="425"/>
      <c r="D278" s="425"/>
      <c r="E278" s="425"/>
      <c r="F278" s="425"/>
      <c r="G278" s="425"/>
      <c r="H278" s="425"/>
      <c r="I278" s="425"/>
      <c r="J278" s="425"/>
      <c r="K278" s="425"/>
      <c r="L278" s="425"/>
      <c r="M278" s="425"/>
      <c r="N278" s="425"/>
      <c r="O278" s="425"/>
      <c r="P278" s="425"/>
      <c r="Q278" s="425"/>
      <c r="R278" s="425"/>
      <c r="S278" s="425"/>
      <c r="T278" s="425"/>
      <c r="U278" s="425"/>
    </row>
    <row r="279" ht="15.75" customHeight="1">
      <c r="A279" s="425"/>
      <c r="B279" s="425"/>
      <c r="C279" s="425"/>
      <c r="D279" s="425"/>
      <c r="E279" s="425"/>
      <c r="F279" s="425"/>
      <c r="G279" s="425"/>
      <c r="H279" s="425"/>
      <c r="I279" s="425"/>
      <c r="J279" s="425"/>
      <c r="K279" s="425"/>
      <c r="L279" s="425"/>
      <c r="M279" s="425"/>
      <c r="N279" s="425"/>
      <c r="O279" s="425"/>
      <c r="P279" s="425"/>
      <c r="Q279" s="425"/>
      <c r="R279" s="425"/>
      <c r="S279" s="425"/>
      <c r="T279" s="425"/>
      <c r="U279" s="425"/>
    </row>
    <row r="280" ht="15.75" customHeight="1">
      <c r="A280" s="425"/>
      <c r="B280" s="425"/>
      <c r="C280" s="425"/>
      <c r="D280" s="425"/>
      <c r="E280" s="425"/>
      <c r="F280" s="425"/>
      <c r="G280" s="425"/>
      <c r="H280" s="425"/>
      <c r="I280" s="425"/>
      <c r="J280" s="425"/>
      <c r="K280" s="425"/>
      <c r="L280" s="425"/>
      <c r="M280" s="425"/>
      <c r="N280" s="425"/>
      <c r="O280" s="425"/>
      <c r="P280" s="425"/>
      <c r="Q280" s="425"/>
      <c r="R280" s="425"/>
      <c r="S280" s="425"/>
      <c r="T280" s="425"/>
      <c r="U280" s="425"/>
    </row>
    <row r="281" ht="15.75" customHeight="1">
      <c r="A281" s="425"/>
      <c r="B281" s="425"/>
      <c r="C281" s="425"/>
      <c r="D281" s="425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</row>
    <row r="282" ht="15.75" customHeight="1">
      <c r="A282" s="425"/>
      <c r="B282" s="425"/>
      <c r="C282" s="425"/>
      <c r="D282" s="425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5"/>
      <c r="R282" s="425"/>
      <c r="S282" s="425"/>
      <c r="T282" s="425"/>
      <c r="U282" s="425"/>
    </row>
    <row r="283" ht="15.75" customHeight="1">
      <c r="A283" s="425"/>
      <c r="B283" s="425"/>
      <c r="C283" s="425"/>
      <c r="D283" s="425"/>
      <c r="E283" s="425"/>
      <c r="F283" s="425"/>
      <c r="G283" s="425"/>
      <c r="H283" s="425"/>
      <c r="I283" s="425"/>
      <c r="J283" s="425"/>
      <c r="K283" s="425"/>
      <c r="L283" s="425"/>
      <c r="M283" s="425"/>
      <c r="N283" s="425"/>
      <c r="O283" s="425"/>
      <c r="P283" s="425"/>
      <c r="Q283" s="425"/>
      <c r="R283" s="425"/>
      <c r="S283" s="425"/>
      <c r="T283" s="425"/>
      <c r="U283" s="425"/>
    </row>
    <row r="284" ht="15.75" customHeight="1">
      <c r="A284" s="425"/>
      <c r="B284" s="425"/>
      <c r="C284" s="425"/>
      <c r="D284" s="425"/>
      <c r="E284" s="425"/>
      <c r="F284" s="425"/>
      <c r="G284" s="425"/>
      <c r="H284" s="425"/>
      <c r="I284" s="425"/>
      <c r="J284" s="425"/>
      <c r="K284" s="425"/>
      <c r="L284" s="425"/>
      <c r="M284" s="425"/>
      <c r="N284" s="425"/>
      <c r="O284" s="425"/>
      <c r="P284" s="425"/>
      <c r="Q284" s="425"/>
      <c r="R284" s="425"/>
      <c r="S284" s="425"/>
      <c r="T284" s="425"/>
      <c r="U284" s="425"/>
    </row>
    <row r="285" ht="15.75" customHeight="1">
      <c r="A285" s="425"/>
      <c r="B285" s="425"/>
      <c r="C285" s="425"/>
      <c r="D285" s="425"/>
      <c r="E285" s="425"/>
      <c r="F285" s="425"/>
      <c r="G285" s="425"/>
      <c r="H285" s="425"/>
      <c r="I285" s="425"/>
      <c r="J285" s="425"/>
      <c r="K285" s="425"/>
      <c r="L285" s="425"/>
      <c r="M285" s="425"/>
      <c r="N285" s="425"/>
      <c r="O285" s="425"/>
      <c r="P285" s="425"/>
      <c r="Q285" s="425"/>
      <c r="R285" s="425"/>
      <c r="S285" s="425"/>
      <c r="T285" s="425"/>
      <c r="U285" s="425"/>
    </row>
    <row r="286" ht="15.75" customHeight="1">
      <c r="A286" s="425"/>
      <c r="B286" s="425"/>
      <c r="C286" s="425"/>
      <c r="D286" s="425"/>
      <c r="E286" s="425"/>
      <c r="F286" s="425"/>
      <c r="G286" s="425"/>
      <c r="H286" s="425"/>
      <c r="I286" s="425"/>
      <c r="J286" s="425"/>
      <c r="K286" s="425"/>
      <c r="L286" s="425"/>
      <c r="M286" s="425"/>
      <c r="N286" s="425"/>
      <c r="O286" s="425"/>
      <c r="P286" s="425"/>
      <c r="Q286" s="425"/>
      <c r="R286" s="425"/>
      <c r="S286" s="425"/>
      <c r="T286" s="425"/>
      <c r="U286" s="425"/>
    </row>
    <row r="287" ht="15.75" customHeight="1">
      <c r="A287" s="425"/>
      <c r="B287" s="425"/>
      <c r="C287" s="425"/>
      <c r="D287" s="425"/>
      <c r="E287" s="425"/>
      <c r="F287" s="425"/>
      <c r="G287" s="425"/>
      <c r="H287" s="425"/>
      <c r="I287" s="425"/>
      <c r="J287" s="425"/>
      <c r="K287" s="425"/>
      <c r="L287" s="425"/>
      <c r="M287" s="425"/>
      <c r="N287" s="425"/>
      <c r="O287" s="425"/>
      <c r="P287" s="425"/>
      <c r="Q287" s="425"/>
      <c r="R287" s="425"/>
      <c r="S287" s="425"/>
      <c r="T287" s="425"/>
      <c r="U287" s="425"/>
    </row>
    <row r="288" ht="15.75" customHeight="1">
      <c r="A288" s="425"/>
      <c r="B288" s="425"/>
      <c r="C288" s="425"/>
      <c r="D288" s="425"/>
      <c r="E288" s="425"/>
      <c r="F288" s="425"/>
      <c r="G288" s="425"/>
      <c r="H288" s="425"/>
      <c r="I288" s="425"/>
      <c r="J288" s="425"/>
      <c r="K288" s="425"/>
      <c r="L288" s="425"/>
      <c r="M288" s="425"/>
      <c r="N288" s="425"/>
      <c r="O288" s="425"/>
      <c r="P288" s="425"/>
      <c r="Q288" s="425"/>
      <c r="R288" s="425"/>
      <c r="S288" s="425"/>
      <c r="T288" s="425"/>
      <c r="U288" s="425"/>
    </row>
    <row r="289" ht="15.75" customHeight="1">
      <c r="A289" s="425"/>
      <c r="B289" s="425"/>
      <c r="C289" s="425"/>
      <c r="D289" s="425"/>
      <c r="E289" s="425"/>
      <c r="F289" s="425"/>
      <c r="G289" s="425"/>
      <c r="H289" s="425"/>
      <c r="I289" s="425"/>
      <c r="J289" s="425"/>
      <c r="K289" s="425"/>
      <c r="L289" s="425"/>
      <c r="M289" s="425"/>
      <c r="N289" s="425"/>
      <c r="O289" s="425"/>
      <c r="P289" s="425"/>
      <c r="Q289" s="425"/>
      <c r="R289" s="425"/>
      <c r="S289" s="425"/>
      <c r="T289" s="425"/>
      <c r="U289" s="425"/>
    </row>
    <row r="290" ht="15.75" customHeight="1">
      <c r="A290" s="425"/>
      <c r="B290" s="425"/>
      <c r="C290" s="425"/>
      <c r="D290" s="425"/>
      <c r="E290" s="425"/>
      <c r="F290" s="425"/>
      <c r="G290" s="425"/>
      <c r="H290" s="425"/>
      <c r="I290" s="425"/>
      <c r="J290" s="425"/>
      <c r="K290" s="425"/>
      <c r="L290" s="425"/>
      <c r="M290" s="425"/>
      <c r="N290" s="425"/>
      <c r="O290" s="425"/>
      <c r="P290" s="425"/>
      <c r="Q290" s="425"/>
      <c r="R290" s="425"/>
      <c r="S290" s="425"/>
      <c r="T290" s="425"/>
      <c r="U290" s="425"/>
    </row>
    <row r="291" ht="15.75" customHeight="1">
      <c r="A291" s="425"/>
      <c r="B291" s="425"/>
      <c r="C291" s="425"/>
      <c r="D291" s="425"/>
      <c r="E291" s="425"/>
      <c r="F291" s="425"/>
      <c r="G291" s="425"/>
      <c r="H291" s="425"/>
      <c r="I291" s="425"/>
      <c r="J291" s="425"/>
      <c r="K291" s="425"/>
      <c r="L291" s="425"/>
      <c r="M291" s="425"/>
      <c r="N291" s="425"/>
      <c r="O291" s="425"/>
      <c r="P291" s="425"/>
      <c r="Q291" s="425"/>
      <c r="R291" s="425"/>
      <c r="S291" s="425"/>
      <c r="T291" s="425"/>
      <c r="U291" s="425"/>
    </row>
    <row r="292" ht="15.75" customHeight="1">
      <c r="A292" s="425"/>
      <c r="B292" s="425"/>
      <c r="C292" s="425"/>
      <c r="D292" s="425"/>
      <c r="E292" s="425"/>
      <c r="F292" s="425"/>
      <c r="G292" s="425"/>
      <c r="H292" s="425"/>
      <c r="I292" s="425"/>
      <c r="J292" s="425"/>
      <c r="K292" s="425"/>
      <c r="L292" s="425"/>
      <c r="M292" s="425"/>
      <c r="N292" s="425"/>
      <c r="O292" s="425"/>
      <c r="P292" s="425"/>
      <c r="Q292" s="425"/>
      <c r="R292" s="425"/>
      <c r="S292" s="425"/>
      <c r="T292" s="425"/>
      <c r="U292" s="425"/>
    </row>
    <row r="293" ht="15.75" customHeight="1">
      <c r="A293" s="425"/>
      <c r="B293" s="425"/>
      <c r="C293" s="425"/>
      <c r="D293" s="425"/>
      <c r="E293" s="425"/>
      <c r="F293" s="425"/>
      <c r="G293" s="425"/>
      <c r="H293" s="425"/>
      <c r="I293" s="425"/>
      <c r="J293" s="425"/>
      <c r="K293" s="425"/>
      <c r="L293" s="425"/>
      <c r="M293" s="425"/>
      <c r="N293" s="425"/>
      <c r="O293" s="425"/>
      <c r="P293" s="425"/>
      <c r="Q293" s="425"/>
      <c r="R293" s="425"/>
      <c r="S293" s="425"/>
      <c r="T293" s="425"/>
      <c r="U293" s="425"/>
    </row>
    <row r="294" ht="15.75" customHeight="1">
      <c r="A294" s="425"/>
      <c r="B294" s="425"/>
      <c r="C294" s="425"/>
      <c r="D294" s="425"/>
      <c r="E294" s="425"/>
      <c r="F294" s="425"/>
      <c r="G294" s="425"/>
      <c r="H294" s="425"/>
      <c r="I294" s="425"/>
      <c r="J294" s="425"/>
      <c r="K294" s="425"/>
      <c r="L294" s="425"/>
      <c r="M294" s="425"/>
      <c r="N294" s="425"/>
      <c r="O294" s="425"/>
      <c r="P294" s="425"/>
      <c r="Q294" s="425"/>
      <c r="R294" s="425"/>
      <c r="S294" s="425"/>
      <c r="T294" s="425"/>
      <c r="U294" s="425"/>
    </row>
    <row r="295" ht="15.75" customHeight="1">
      <c r="A295" s="425"/>
      <c r="B295" s="425"/>
      <c r="C295" s="425"/>
      <c r="D295" s="425"/>
      <c r="E295" s="425"/>
      <c r="F295" s="425"/>
      <c r="G295" s="425"/>
      <c r="H295" s="425"/>
      <c r="I295" s="425"/>
      <c r="J295" s="425"/>
      <c r="K295" s="425"/>
      <c r="L295" s="425"/>
      <c r="M295" s="425"/>
      <c r="N295" s="425"/>
      <c r="O295" s="425"/>
      <c r="P295" s="425"/>
      <c r="Q295" s="425"/>
      <c r="R295" s="425"/>
      <c r="S295" s="425"/>
      <c r="T295" s="425"/>
      <c r="U295" s="425"/>
    </row>
    <row r="296" ht="15.75" customHeight="1">
      <c r="A296" s="425"/>
      <c r="B296" s="425"/>
      <c r="C296" s="425"/>
      <c r="D296" s="425"/>
      <c r="E296" s="425"/>
      <c r="F296" s="425"/>
      <c r="G296" s="425"/>
      <c r="H296" s="425"/>
      <c r="I296" s="425"/>
      <c r="J296" s="425"/>
      <c r="K296" s="425"/>
      <c r="L296" s="425"/>
      <c r="M296" s="425"/>
      <c r="N296" s="425"/>
      <c r="O296" s="425"/>
      <c r="P296" s="425"/>
      <c r="Q296" s="425"/>
      <c r="R296" s="425"/>
      <c r="S296" s="425"/>
      <c r="T296" s="425"/>
      <c r="U296" s="425"/>
    </row>
    <row r="297" ht="15.75" customHeight="1">
      <c r="A297" s="425"/>
      <c r="B297" s="425"/>
      <c r="C297" s="425"/>
      <c r="D297" s="425"/>
      <c r="E297" s="425"/>
      <c r="F297" s="425"/>
      <c r="G297" s="425"/>
      <c r="H297" s="425"/>
      <c r="I297" s="425"/>
      <c r="J297" s="425"/>
      <c r="K297" s="425"/>
      <c r="L297" s="425"/>
      <c r="M297" s="425"/>
      <c r="N297" s="425"/>
      <c r="O297" s="425"/>
      <c r="P297" s="425"/>
      <c r="Q297" s="425"/>
      <c r="R297" s="425"/>
      <c r="S297" s="425"/>
      <c r="T297" s="425"/>
      <c r="U297" s="425"/>
    </row>
    <row r="298" ht="15.75" customHeight="1">
      <c r="A298" s="425"/>
      <c r="B298" s="425"/>
      <c r="C298" s="425"/>
      <c r="D298" s="425"/>
      <c r="E298" s="425"/>
      <c r="F298" s="425"/>
      <c r="G298" s="425"/>
      <c r="H298" s="425"/>
      <c r="I298" s="425"/>
      <c r="J298" s="425"/>
      <c r="K298" s="425"/>
      <c r="L298" s="425"/>
      <c r="M298" s="425"/>
      <c r="N298" s="425"/>
      <c r="O298" s="425"/>
      <c r="P298" s="425"/>
      <c r="Q298" s="425"/>
      <c r="R298" s="425"/>
      <c r="S298" s="425"/>
      <c r="T298" s="425"/>
      <c r="U298" s="425"/>
    </row>
    <row r="299" ht="15.75" customHeight="1">
      <c r="A299" s="425"/>
      <c r="B299" s="425"/>
      <c r="C299" s="425"/>
      <c r="D299" s="425"/>
      <c r="E299" s="425"/>
      <c r="F299" s="425"/>
      <c r="G299" s="425"/>
      <c r="H299" s="425"/>
      <c r="I299" s="425"/>
      <c r="J299" s="425"/>
      <c r="K299" s="425"/>
      <c r="L299" s="425"/>
      <c r="M299" s="425"/>
      <c r="N299" s="425"/>
      <c r="O299" s="425"/>
      <c r="P299" s="425"/>
      <c r="Q299" s="425"/>
      <c r="R299" s="425"/>
      <c r="S299" s="425"/>
      <c r="T299" s="425"/>
      <c r="U299" s="425"/>
    </row>
    <row r="300" ht="15.75" customHeight="1">
      <c r="A300" s="425"/>
      <c r="B300" s="425"/>
      <c r="C300" s="425"/>
      <c r="D300" s="425"/>
      <c r="E300" s="425"/>
      <c r="F300" s="425"/>
      <c r="G300" s="425"/>
      <c r="H300" s="425"/>
      <c r="I300" s="425"/>
      <c r="J300" s="425"/>
      <c r="K300" s="425"/>
      <c r="L300" s="425"/>
      <c r="M300" s="425"/>
      <c r="N300" s="425"/>
      <c r="O300" s="425"/>
      <c r="P300" s="425"/>
      <c r="Q300" s="425"/>
      <c r="R300" s="425"/>
      <c r="S300" s="425"/>
      <c r="T300" s="425"/>
      <c r="U300" s="425"/>
    </row>
    <row r="301" ht="15.75" customHeight="1">
      <c r="A301" s="425"/>
      <c r="B301" s="425"/>
      <c r="C301" s="425"/>
      <c r="D301" s="425"/>
      <c r="E301" s="425"/>
      <c r="F301" s="425"/>
      <c r="G301" s="425"/>
      <c r="H301" s="425"/>
      <c r="I301" s="425"/>
      <c r="J301" s="425"/>
      <c r="K301" s="425"/>
      <c r="L301" s="425"/>
      <c r="M301" s="425"/>
      <c r="N301" s="425"/>
      <c r="O301" s="425"/>
      <c r="P301" s="425"/>
      <c r="Q301" s="425"/>
      <c r="R301" s="425"/>
      <c r="S301" s="425"/>
      <c r="T301" s="425"/>
      <c r="U301" s="425"/>
    </row>
    <row r="302" ht="15.75" customHeight="1">
      <c r="A302" s="425"/>
      <c r="B302" s="425"/>
      <c r="C302" s="425"/>
      <c r="D302" s="425"/>
      <c r="E302" s="425"/>
      <c r="F302" s="425"/>
      <c r="G302" s="425"/>
      <c r="H302" s="425"/>
      <c r="I302" s="425"/>
      <c r="J302" s="425"/>
      <c r="K302" s="425"/>
      <c r="L302" s="425"/>
      <c r="M302" s="425"/>
      <c r="N302" s="425"/>
      <c r="O302" s="425"/>
      <c r="P302" s="425"/>
      <c r="Q302" s="425"/>
      <c r="R302" s="425"/>
      <c r="S302" s="425"/>
      <c r="T302" s="425"/>
      <c r="U302" s="425"/>
    </row>
    <row r="303" ht="15.75" customHeight="1">
      <c r="A303" s="425"/>
      <c r="B303" s="425"/>
      <c r="C303" s="425"/>
      <c r="D303" s="425"/>
      <c r="E303" s="425"/>
      <c r="F303" s="425"/>
      <c r="G303" s="425"/>
      <c r="H303" s="425"/>
      <c r="I303" s="425"/>
      <c r="J303" s="425"/>
      <c r="K303" s="425"/>
      <c r="L303" s="425"/>
      <c r="M303" s="425"/>
      <c r="N303" s="425"/>
      <c r="O303" s="425"/>
      <c r="P303" s="425"/>
      <c r="Q303" s="425"/>
      <c r="R303" s="425"/>
      <c r="S303" s="425"/>
      <c r="T303" s="425"/>
      <c r="U303" s="425"/>
    </row>
    <row r="304" ht="15.75" customHeight="1">
      <c r="A304" s="425"/>
      <c r="B304" s="425"/>
      <c r="C304" s="425"/>
      <c r="D304" s="425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5"/>
      <c r="R304" s="425"/>
      <c r="S304" s="425"/>
      <c r="T304" s="425"/>
      <c r="U304" s="425"/>
    </row>
    <row r="305" ht="15.75" customHeight="1">
      <c r="A305" s="425"/>
      <c r="B305" s="425"/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P305" s="425"/>
      <c r="Q305" s="425"/>
      <c r="R305" s="425"/>
      <c r="S305" s="425"/>
      <c r="T305" s="425"/>
      <c r="U305" s="425"/>
    </row>
    <row r="306" ht="15.75" customHeight="1">
      <c r="A306" s="425"/>
      <c r="B306" s="425"/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P306" s="425"/>
      <c r="Q306" s="425"/>
      <c r="R306" s="425"/>
      <c r="S306" s="425"/>
      <c r="T306" s="425"/>
      <c r="U306" s="425"/>
    </row>
    <row r="307" ht="15.75" customHeight="1">
      <c r="A307" s="425"/>
      <c r="B307" s="425"/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P307" s="425"/>
      <c r="Q307" s="425"/>
      <c r="R307" s="425"/>
      <c r="S307" s="425"/>
      <c r="T307" s="425"/>
      <c r="U307" s="425"/>
    </row>
    <row r="308" ht="15.75" customHeight="1">
      <c r="A308" s="425"/>
      <c r="B308" s="425"/>
      <c r="C308" s="425"/>
      <c r="D308" s="425"/>
      <c r="E308" s="425"/>
      <c r="F308" s="425"/>
      <c r="G308" s="425"/>
      <c r="H308" s="425"/>
      <c r="I308" s="425"/>
      <c r="J308" s="425"/>
      <c r="K308" s="425"/>
      <c r="L308" s="425"/>
      <c r="M308" s="425"/>
      <c r="N308" s="425"/>
      <c r="O308" s="425"/>
      <c r="P308" s="425"/>
      <c r="Q308" s="425"/>
      <c r="R308" s="425"/>
      <c r="S308" s="425"/>
      <c r="T308" s="425"/>
      <c r="U308" s="425"/>
    </row>
    <row r="309" ht="15.75" customHeight="1">
      <c r="A309" s="425"/>
      <c r="B309" s="425"/>
      <c r="C309" s="425"/>
      <c r="D309" s="425"/>
      <c r="E309" s="425"/>
      <c r="F309" s="425"/>
      <c r="G309" s="425"/>
      <c r="H309" s="425"/>
      <c r="I309" s="425"/>
      <c r="J309" s="425"/>
      <c r="K309" s="425"/>
      <c r="L309" s="425"/>
      <c r="M309" s="425"/>
      <c r="N309" s="425"/>
      <c r="O309" s="425"/>
      <c r="P309" s="425"/>
      <c r="Q309" s="425"/>
      <c r="R309" s="425"/>
      <c r="S309" s="425"/>
      <c r="T309" s="425"/>
      <c r="U309" s="425"/>
    </row>
    <row r="310" ht="15.75" customHeight="1">
      <c r="A310" s="425"/>
      <c r="B310" s="425"/>
      <c r="C310" s="425"/>
      <c r="D310" s="425"/>
      <c r="E310" s="425"/>
      <c r="F310" s="425"/>
      <c r="G310" s="425"/>
      <c r="H310" s="425"/>
      <c r="I310" s="425"/>
      <c r="J310" s="425"/>
      <c r="K310" s="425"/>
      <c r="L310" s="425"/>
      <c r="M310" s="425"/>
      <c r="N310" s="425"/>
      <c r="O310" s="425"/>
      <c r="P310" s="425"/>
      <c r="Q310" s="425"/>
      <c r="R310" s="425"/>
      <c r="S310" s="425"/>
      <c r="T310" s="425"/>
      <c r="U310" s="425"/>
    </row>
    <row r="311" ht="15.75" customHeight="1">
      <c r="A311" s="425"/>
      <c r="B311" s="425"/>
      <c r="C311" s="425"/>
      <c r="D311" s="425"/>
      <c r="E311" s="425"/>
      <c r="F311" s="425"/>
      <c r="G311" s="425"/>
      <c r="H311" s="425"/>
      <c r="I311" s="425"/>
      <c r="J311" s="425"/>
      <c r="K311" s="425"/>
      <c r="L311" s="425"/>
      <c r="M311" s="425"/>
      <c r="N311" s="425"/>
      <c r="O311" s="425"/>
      <c r="P311" s="425"/>
      <c r="Q311" s="425"/>
      <c r="R311" s="425"/>
      <c r="S311" s="425"/>
      <c r="T311" s="425"/>
      <c r="U311" s="425"/>
    </row>
    <row r="312" ht="15.75" customHeight="1">
      <c r="A312" s="425"/>
      <c r="B312" s="425"/>
      <c r="C312" s="425"/>
      <c r="D312" s="425"/>
      <c r="E312" s="425"/>
      <c r="F312" s="425"/>
      <c r="G312" s="425"/>
      <c r="H312" s="425"/>
      <c r="I312" s="425"/>
      <c r="J312" s="425"/>
      <c r="K312" s="425"/>
      <c r="L312" s="425"/>
      <c r="M312" s="425"/>
      <c r="N312" s="425"/>
      <c r="O312" s="425"/>
      <c r="P312" s="425"/>
      <c r="Q312" s="425"/>
      <c r="R312" s="425"/>
      <c r="S312" s="425"/>
      <c r="T312" s="425"/>
      <c r="U312" s="425"/>
    </row>
    <row r="313" ht="15.75" customHeight="1">
      <c r="A313" s="425"/>
      <c r="B313" s="425"/>
      <c r="C313" s="425"/>
      <c r="D313" s="425"/>
      <c r="E313" s="425"/>
      <c r="F313" s="425"/>
      <c r="G313" s="425"/>
      <c r="H313" s="425"/>
      <c r="I313" s="425"/>
      <c r="J313" s="425"/>
      <c r="K313" s="425"/>
      <c r="L313" s="425"/>
      <c r="M313" s="425"/>
      <c r="N313" s="425"/>
      <c r="O313" s="425"/>
      <c r="P313" s="425"/>
      <c r="Q313" s="425"/>
      <c r="R313" s="425"/>
      <c r="S313" s="425"/>
      <c r="T313" s="425"/>
      <c r="U313" s="425"/>
    </row>
    <row r="314" ht="15.75" customHeight="1">
      <c r="A314" s="425"/>
      <c r="B314" s="425"/>
      <c r="C314" s="425"/>
      <c r="D314" s="425"/>
      <c r="E314" s="425"/>
      <c r="F314" s="425"/>
      <c r="G314" s="425"/>
      <c r="H314" s="425"/>
      <c r="I314" s="425"/>
      <c r="J314" s="425"/>
      <c r="K314" s="425"/>
      <c r="L314" s="425"/>
      <c r="M314" s="425"/>
      <c r="N314" s="425"/>
      <c r="O314" s="425"/>
      <c r="P314" s="425"/>
      <c r="Q314" s="425"/>
      <c r="R314" s="425"/>
      <c r="S314" s="425"/>
      <c r="T314" s="425"/>
      <c r="U314" s="425"/>
    </row>
    <row r="315" ht="15.75" customHeight="1">
      <c r="A315" s="425"/>
      <c r="B315" s="425"/>
      <c r="C315" s="425"/>
      <c r="D315" s="425"/>
      <c r="E315" s="425"/>
      <c r="F315" s="425"/>
      <c r="G315" s="425"/>
      <c r="H315" s="425"/>
      <c r="I315" s="425"/>
      <c r="J315" s="425"/>
      <c r="K315" s="425"/>
      <c r="L315" s="425"/>
      <c r="M315" s="425"/>
      <c r="N315" s="425"/>
      <c r="O315" s="425"/>
      <c r="P315" s="425"/>
      <c r="Q315" s="425"/>
      <c r="R315" s="425"/>
      <c r="S315" s="425"/>
      <c r="T315" s="425"/>
      <c r="U315" s="425"/>
    </row>
    <row r="316" ht="15.75" customHeight="1">
      <c r="A316" s="425"/>
      <c r="B316" s="425"/>
      <c r="C316" s="425"/>
      <c r="D316" s="425"/>
      <c r="E316" s="425"/>
      <c r="F316" s="425"/>
      <c r="G316" s="425"/>
      <c r="H316" s="425"/>
      <c r="I316" s="425"/>
      <c r="J316" s="425"/>
      <c r="K316" s="425"/>
      <c r="L316" s="425"/>
      <c r="M316" s="425"/>
      <c r="N316" s="425"/>
      <c r="O316" s="425"/>
      <c r="P316" s="425"/>
      <c r="Q316" s="425"/>
      <c r="R316" s="425"/>
      <c r="S316" s="425"/>
      <c r="T316" s="425"/>
      <c r="U316" s="425"/>
    </row>
    <row r="317" ht="15.75" customHeight="1">
      <c r="A317" s="425"/>
      <c r="B317" s="425"/>
      <c r="C317" s="425"/>
      <c r="D317" s="425"/>
      <c r="E317" s="425"/>
      <c r="F317" s="425"/>
      <c r="G317" s="425"/>
      <c r="H317" s="425"/>
      <c r="I317" s="425"/>
      <c r="J317" s="425"/>
      <c r="K317" s="425"/>
      <c r="L317" s="425"/>
      <c r="M317" s="425"/>
      <c r="N317" s="425"/>
      <c r="O317" s="425"/>
      <c r="P317" s="425"/>
      <c r="Q317" s="425"/>
      <c r="R317" s="425"/>
      <c r="S317" s="425"/>
      <c r="T317" s="425"/>
      <c r="U317" s="425"/>
    </row>
    <row r="318" ht="15.75" customHeight="1">
      <c r="A318" s="425"/>
      <c r="B318" s="425"/>
      <c r="C318" s="425"/>
      <c r="D318" s="425"/>
      <c r="E318" s="425"/>
      <c r="F318" s="425"/>
      <c r="G318" s="425"/>
      <c r="H318" s="425"/>
      <c r="I318" s="425"/>
      <c r="J318" s="425"/>
      <c r="K318" s="425"/>
      <c r="L318" s="425"/>
      <c r="M318" s="425"/>
      <c r="N318" s="425"/>
      <c r="O318" s="425"/>
      <c r="P318" s="425"/>
      <c r="Q318" s="425"/>
      <c r="R318" s="425"/>
      <c r="S318" s="425"/>
      <c r="T318" s="425"/>
      <c r="U318" s="425"/>
    </row>
    <row r="319" ht="15.75" customHeight="1">
      <c r="A319" s="425"/>
      <c r="B319" s="425"/>
      <c r="C319" s="425"/>
      <c r="D319" s="425"/>
      <c r="E319" s="425"/>
      <c r="F319" s="425"/>
      <c r="G319" s="425"/>
      <c r="H319" s="425"/>
      <c r="I319" s="425"/>
      <c r="J319" s="425"/>
      <c r="K319" s="425"/>
      <c r="L319" s="425"/>
      <c r="M319" s="425"/>
      <c r="N319" s="425"/>
      <c r="O319" s="425"/>
      <c r="P319" s="425"/>
      <c r="Q319" s="425"/>
      <c r="R319" s="425"/>
      <c r="S319" s="425"/>
      <c r="T319" s="425"/>
      <c r="U319" s="425"/>
    </row>
    <row r="320" ht="15.75" customHeight="1">
      <c r="A320" s="425"/>
      <c r="B320" s="425"/>
      <c r="C320" s="425"/>
      <c r="D320" s="425"/>
      <c r="E320" s="425"/>
      <c r="F320" s="425"/>
      <c r="G320" s="425"/>
      <c r="H320" s="425"/>
      <c r="I320" s="425"/>
      <c r="J320" s="425"/>
      <c r="K320" s="425"/>
      <c r="L320" s="425"/>
      <c r="M320" s="425"/>
      <c r="N320" s="425"/>
      <c r="O320" s="425"/>
      <c r="P320" s="425"/>
      <c r="Q320" s="425"/>
      <c r="R320" s="425"/>
      <c r="S320" s="425"/>
      <c r="T320" s="425"/>
      <c r="U320" s="425"/>
    </row>
    <row r="321" ht="15.75" customHeight="1">
      <c r="A321" s="425"/>
      <c r="B321" s="425"/>
      <c r="C321" s="425"/>
      <c r="D321" s="425"/>
      <c r="E321" s="425"/>
      <c r="F321" s="425"/>
      <c r="G321" s="425"/>
      <c r="H321" s="425"/>
      <c r="I321" s="425"/>
      <c r="J321" s="425"/>
      <c r="K321" s="425"/>
      <c r="L321" s="425"/>
      <c r="M321" s="425"/>
      <c r="N321" s="425"/>
      <c r="O321" s="425"/>
      <c r="P321" s="425"/>
      <c r="Q321" s="425"/>
      <c r="R321" s="425"/>
      <c r="S321" s="425"/>
      <c r="T321" s="425"/>
      <c r="U321" s="425"/>
    </row>
    <row r="322" ht="15.75" customHeight="1">
      <c r="A322" s="425"/>
      <c r="B322" s="425"/>
      <c r="C322" s="425"/>
      <c r="D322" s="425"/>
      <c r="E322" s="425"/>
      <c r="F322" s="425"/>
      <c r="G322" s="425"/>
      <c r="H322" s="425"/>
      <c r="I322" s="425"/>
      <c r="J322" s="425"/>
      <c r="K322" s="425"/>
      <c r="L322" s="425"/>
      <c r="M322" s="425"/>
      <c r="N322" s="425"/>
      <c r="O322" s="425"/>
      <c r="P322" s="425"/>
      <c r="Q322" s="425"/>
      <c r="R322" s="425"/>
      <c r="S322" s="425"/>
      <c r="T322" s="425"/>
      <c r="U322" s="425"/>
    </row>
    <row r="323" ht="15.75" customHeight="1">
      <c r="A323" s="425"/>
      <c r="B323" s="425"/>
      <c r="C323" s="425"/>
      <c r="D323" s="425"/>
      <c r="E323" s="425"/>
      <c r="F323" s="425"/>
      <c r="G323" s="425"/>
      <c r="H323" s="425"/>
      <c r="I323" s="425"/>
      <c r="J323" s="425"/>
      <c r="K323" s="425"/>
      <c r="L323" s="425"/>
      <c r="M323" s="425"/>
      <c r="N323" s="425"/>
      <c r="O323" s="425"/>
      <c r="P323" s="425"/>
      <c r="Q323" s="425"/>
      <c r="R323" s="425"/>
      <c r="S323" s="425"/>
      <c r="T323" s="425"/>
      <c r="U323" s="425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4.0" topLeftCell="D15" activePane="bottomRight" state="frozen"/>
      <selection activeCell="D1" sqref="D1" pane="topRight"/>
      <selection activeCell="A15" sqref="A15" pane="bottomLeft"/>
      <selection activeCell="D15" sqref="D15" pane="bottomRight"/>
    </sheetView>
  </sheetViews>
  <sheetFormatPr customHeight="1" defaultColWidth="12.63" defaultRowHeight="15.0"/>
  <cols>
    <col customWidth="1" min="1" max="1" width="5.63"/>
    <col customWidth="1" min="2" max="2" width="12.38"/>
    <col customWidth="1" min="3" max="3" width="36.75"/>
    <col customWidth="1" min="4" max="4" width="11.88"/>
    <col customWidth="1" hidden="1" min="5" max="5" width="9.25"/>
    <col customWidth="1" hidden="1" min="6" max="6" width="11.0"/>
    <col customWidth="1" hidden="1" min="7" max="7" width="8.25"/>
    <col customWidth="1" hidden="1" min="8" max="8" width="12.38"/>
    <col customWidth="1" hidden="1" min="9" max="9" width="9.38"/>
    <col customWidth="1" min="10" max="10" width="10.88"/>
    <col customWidth="1" hidden="1" min="11" max="11" width="9.25"/>
    <col customWidth="1" hidden="1" min="12" max="12" width="11.0"/>
    <col customWidth="1" hidden="1" min="13" max="13" width="8.25"/>
    <col customWidth="1" hidden="1" min="14" max="14" width="12.38"/>
    <col customWidth="1" hidden="1" min="15" max="15" width="9.38"/>
    <col customWidth="1" min="16" max="16" width="11.88"/>
    <col customWidth="1" hidden="1" min="17" max="17" width="9.25"/>
    <col customWidth="1" hidden="1" min="18" max="18" width="11.0"/>
    <col customWidth="1" hidden="1" min="19" max="19" width="8.25"/>
    <col customWidth="1" hidden="1" min="20" max="20" width="12.38"/>
    <col customWidth="1" hidden="1" min="21" max="21" width="9.38"/>
  </cols>
  <sheetData>
    <row r="1" ht="15.75" customHeight="1">
      <c r="A1" s="426"/>
      <c r="B1" s="426" t="s">
        <v>0</v>
      </c>
      <c r="C1" s="425"/>
      <c r="D1" s="511"/>
      <c r="E1" s="425"/>
      <c r="F1" s="511"/>
      <c r="G1" s="425"/>
      <c r="H1" s="511"/>
      <c r="I1" s="425"/>
      <c r="J1" s="511"/>
      <c r="K1" s="425"/>
      <c r="L1" s="511"/>
      <c r="M1" s="425"/>
      <c r="N1" s="511"/>
      <c r="O1" s="425"/>
      <c r="P1" s="511"/>
      <c r="Q1" s="425"/>
      <c r="R1" s="511"/>
      <c r="S1" s="425"/>
      <c r="T1" s="511"/>
      <c r="U1" s="425"/>
    </row>
    <row r="2" ht="15.75" customHeight="1">
      <c r="A2" s="425"/>
      <c r="B2" s="512" t="s">
        <v>259</v>
      </c>
      <c r="C2" s="425"/>
      <c r="D2" s="511"/>
      <c r="E2" s="425"/>
      <c r="F2" s="511"/>
      <c r="G2" s="425"/>
      <c r="H2" s="511"/>
      <c r="I2" s="425"/>
      <c r="J2" s="511"/>
      <c r="K2" s="425"/>
      <c r="L2" s="511"/>
      <c r="M2" s="425"/>
      <c r="N2" s="511"/>
      <c r="O2" s="425"/>
      <c r="P2" s="511"/>
      <c r="Q2" s="425"/>
      <c r="R2" s="511"/>
      <c r="S2" s="425"/>
      <c r="T2" s="511"/>
      <c r="U2" s="425"/>
    </row>
    <row r="3" ht="15.75" customHeight="1">
      <c r="A3" s="425"/>
      <c r="B3" s="425"/>
      <c r="C3" s="425"/>
      <c r="D3" s="511"/>
      <c r="E3" s="425"/>
      <c r="F3" s="511"/>
      <c r="G3" s="425"/>
      <c r="H3" s="511"/>
      <c r="I3" s="425"/>
      <c r="J3" s="511"/>
      <c r="K3" s="425"/>
      <c r="L3" s="511"/>
      <c r="M3" s="425"/>
      <c r="N3" s="511"/>
      <c r="O3" s="425"/>
      <c r="P3" s="511"/>
      <c r="Q3" s="425"/>
      <c r="R3" s="511"/>
      <c r="S3" s="425"/>
      <c r="T3" s="511"/>
      <c r="U3" s="425"/>
    </row>
    <row r="4" ht="15.75" customHeight="1">
      <c r="A4" s="425"/>
      <c r="B4" s="428" t="s">
        <v>165</v>
      </c>
      <c r="C4" s="428" t="s">
        <v>166</v>
      </c>
      <c r="D4" s="513" t="s">
        <v>167</v>
      </c>
      <c r="E4" s="10"/>
      <c r="F4" s="10"/>
      <c r="G4" s="10"/>
      <c r="H4" s="10"/>
      <c r="I4" s="12"/>
      <c r="J4" s="513" t="s">
        <v>168</v>
      </c>
      <c r="K4" s="10"/>
      <c r="L4" s="10"/>
      <c r="M4" s="10"/>
      <c r="N4" s="10"/>
      <c r="O4" s="12"/>
      <c r="P4" s="431" t="s">
        <v>169</v>
      </c>
      <c r="Q4" s="10"/>
      <c r="R4" s="10"/>
      <c r="S4" s="10"/>
      <c r="T4" s="10"/>
      <c r="U4" s="12"/>
    </row>
    <row r="5" ht="21.75" customHeight="1">
      <c r="A5" s="514"/>
      <c r="B5" s="515"/>
      <c r="C5" s="515"/>
      <c r="D5" s="516" t="s">
        <v>170</v>
      </c>
      <c r="E5" s="517" t="s">
        <v>18</v>
      </c>
      <c r="F5" s="518" t="s">
        <v>171</v>
      </c>
      <c r="G5" s="517" t="s">
        <v>18</v>
      </c>
      <c r="H5" s="518" t="s">
        <v>172</v>
      </c>
      <c r="I5" s="519" t="s">
        <v>260</v>
      </c>
      <c r="J5" s="516" t="s">
        <v>170</v>
      </c>
      <c r="K5" s="517" t="s">
        <v>18</v>
      </c>
      <c r="L5" s="518" t="s">
        <v>171</v>
      </c>
      <c r="M5" s="517" t="s">
        <v>18</v>
      </c>
      <c r="N5" s="518" t="s">
        <v>172</v>
      </c>
      <c r="O5" s="519" t="s">
        <v>260</v>
      </c>
      <c r="P5" s="520" t="s">
        <v>170</v>
      </c>
      <c r="Q5" s="436" t="s">
        <v>18</v>
      </c>
      <c r="R5" s="520" t="s">
        <v>171</v>
      </c>
      <c r="S5" s="436" t="s">
        <v>18</v>
      </c>
      <c r="T5" s="520" t="s">
        <v>172</v>
      </c>
      <c r="U5" s="436" t="s">
        <v>260</v>
      </c>
    </row>
    <row r="6" ht="15.75" hidden="1" customHeight="1">
      <c r="A6" s="425"/>
      <c r="B6" s="454"/>
      <c r="C6" s="450" t="s">
        <v>76</v>
      </c>
      <c r="D6" s="452">
        <v>4700.0</v>
      </c>
      <c r="E6" s="521"/>
      <c r="F6" s="501"/>
      <c r="G6" s="521"/>
      <c r="H6" s="501"/>
      <c r="I6" s="464"/>
      <c r="J6" s="452">
        <v>4700.0</v>
      </c>
      <c r="K6" s="521"/>
      <c r="L6" s="501"/>
      <c r="M6" s="521"/>
      <c r="N6" s="501"/>
      <c r="O6" s="464"/>
      <c r="P6" s="448">
        <v>4700.0</v>
      </c>
      <c r="Q6" s="522"/>
      <c r="R6" s="523"/>
      <c r="S6" s="522"/>
      <c r="T6" s="523"/>
      <c r="U6" s="524"/>
    </row>
    <row r="7" ht="15.75" hidden="1" customHeight="1">
      <c r="A7" s="425"/>
      <c r="B7" s="454"/>
      <c r="C7" s="450" t="s">
        <v>83</v>
      </c>
      <c r="D7" s="452">
        <v>348.0</v>
      </c>
      <c r="E7" s="521"/>
      <c r="F7" s="501"/>
      <c r="G7" s="521"/>
      <c r="H7" s="501"/>
      <c r="I7" s="464"/>
      <c r="J7" s="452">
        <v>348.0</v>
      </c>
      <c r="K7" s="521"/>
      <c r="L7" s="501"/>
      <c r="M7" s="521"/>
      <c r="N7" s="501"/>
      <c r="O7" s="464"/>
      <c r="P7" s="452">
        <v>348.0</v>
      </c>
      <c r="Q7" s="521"/>
      <c r="R7" s="501"/>
      <c r="S7" s="521"/>
      <c r="T7" s="501"/>
      <c r="U7" s="464"/>
    </row>
    <row r="8" ht="15.75" hidden="1" customHeight="1">
      <c r="A8" s="425"/>
      <c r="B8" s="454"/>
      <c r="C8" s="450" t="s">
        <v>90</v>
      </c>
      <c r="D8" s="452">
        <f>D24+D25+D28+D16</f>
        <v>19734167.61</v>
      </c>
      <c r="E8" s="521"/>
      <c r="F8" s="501"/>
      <c r="G8" s="521"/>
      <c r="H8" s="501"/>
      <c r="I8" s="464"/>
      <c r="J8" s="452">
        <f>J24+J25+J28+J16</f>
        <v>18325199</v>
      </c>
      <c r="K8" s="521"/>
      <c r="L8" s="501"/>
      <c r="M8" s="521"/>
      <c r="N8" s="501"/>
      <c r="O8" s="464"/>
      <c r="P8" s="452">
        <f>P24+P25+P28+P16</f>
        <v>0</v>
      </c>
      <c r="Q8" s="521"/>
      <c r="R8" s="501"/>
      <c r="S8" s="521"/>
      <c r="T8" s="501"/>
      <c r="U8" s="464"/>
    </row>
    <row r="9" ht="15.75" hidden="1" customHeight="1">
      <c r="A9" s="425"/>
      <c r="B9" s="454"/>
      <c r="C9" s="450" t="s">
        <v>97</v>
      </c>
      <c r="D9" s="452">
        <f>D17+D19+D20+D21</f>
        <v>792545.26</v>
      </c>
      <c r="E9" s="521"/>
      <c r="F9" s="501"/>
      <c r="G9" s="521"/>
      <c r="H9" s="501"/>
      <c r="I9" s="464"/>
      <c r="J9" s="452">
        <f>J17+J19+J20+J21</f>
        <v>2082381</v>
      </c>
      <c r="K9" s="521"/>
      <c r="L9" s="501"/>
      <c r="M9" s="521"/>
      <c r="N9" s="501"/>
      <c r="O9" s="464"/>
      <c r="P9" s="452">
        <f>P17+P19+P20+P21</f>
        <v>0</v>
      </c>
      <c r="Q9" s="521"/>
      <c r="R9" s="501"/>
      <c r="S9" s="521"/>
      <c r="T9" s="501"/>
      <c r="U9" s="464"/>
    </row>
    <row r="10" ht="15.75" hidden="1" customHeight="1">
      <c r="A10" s="425"/>
      <c r="B10" s="454"/>
      <c r="C10" s="450" t="s">
        <v>104</v>
      </c>
      <c r="D10" s="452">
        <f>SUM(D8:D9)-D29</f>
        <v>0.000000003725290298</v>
      </c>
      <c r="E10" s="521"/>
      <c r="F10" s="501"/>
      <c r="G10" s="521"/>
      <c r="H10" s="501"/>
      <c r="I10" s="464"/>
      <c r="J10" s="452">
        <f>SUM(J8:J9)-J29</f>
        <v>0</v>
      </c>
      <c r="K10" s="521"/>
      <c r="L10" s="501"/>
      <c r="M10" s="521"/>
      <c r="N10" s="501"/>
      <c r="O10" s="464"/>
      <c r="P10" s="452">
        <f>SUM(P8:P9)-P29</f>
        <v>0</v>
      </c>
      <c r="Q10" s="521"/>
      <c r="R10" s="501"/>
      <c r="S10" s="521"/>
      <c r="T10" s="501"/>
      <c r="U10" s="464"/>
    </row>
    <row r="11" ht="15.75" hidden="1" customHeight="1">
      <c r="A11" s="425"/>
      <c r="B11" s="454"/>
      <c r="C11" s="450" t="s">
        <v>111</v>
      </c>
      <c r="D11" s="452">
        <f t="shared" ref="D11:D12" si="1">D8/D6</f>
        <v>4198.759066</v>
      </c>
      <c r="E11" s="521"/>
      <c r="F11" s="501"/>
      <c r="G11" s="521"/>
      <c r="H11" s="501"/>
      <c r="I11" s="464"/>
      <c r="J11" s="452">
        <f t="shared" ref="J11:J12" si="2">J8/J6</f>
        <v>3898.978511</v>
      </c>
      <c r="K11" s="521"/>
      <c r="L11" s="501"/>
      <c r="M11" s="521"/>
      <c r="N11" s="501"/>
      <c r="O11" s="464"/>
      <c r="P11" s="452">
        <f t="shared" ref="P11:P12" si="3">P8/P6</f>
        <v>0</v>
      </c>
      <c r="Q11" s="521"/>
      <c r="R11" s="501"/>
      <c r="S11" s="521"/>
      <c r="T11" s="501"/>
      <c r="U11" s="464"/>
    </row>
    <row r="12" ht="15.75" hidden="1" customHeight="1">
      <c r="A12" s="425"/>
      <c r="B12" s="454"/>
      <c r="C12" s="450" t="s">
        <v>118</v>
      </c>
      <c r="D12" s="452">
        <f t="shared" si="1"/>
        <v>2277.428908</v>
      </c>
      <c r="E12" s="521"/>
      <c r="F12" s="501"/>
      <c r="G12" s="521"/>
      <c r="H12" s="501"/>
      <c r="I12" s="464"/>
      <c r="J12" s="452">
        <f t="shared" si="2"/>
        <v>5983.853448</v>
      </c>
      <c r="K12" s="521"/>
      <c r="L12" s="501"/>
      <c r="M12" s="521"/>
      <c r="N12" s="501"/>
      <c r="O12" s="464"/>
      <c r="P12" s="452">
        <f t="shared" si="3"/>
        <v>0</v>
      </c>
      <c r="Q12" s="521"/>
      <c r="R12" s="501"/>
      <c r="S12" s="521"/>
      <c r="T12" s="501"/>
      <c r="U12" s="464"/>
    </row>
    <row r="13" ht="15.75" hidden="1" customHeight="1">
      <c r="A13" s="425"/>
      <c r="B13" s="454"/>
      <c r="C13" s="450"/>
      <c r="D13" s="452"/>
      <c r="E13" s="521"/>
      <c r="F13" s="501"/>
      <c r="G13" s="521"/>
      <c r="H13" s="501"/>
      <c r="I13" s="464"/>
      <c r="J13" s="452"/>
      <c r="K13" s="521"/>
      <c r="L13" s="501"/>
      <c r="M13" s="521"/>
      <c r="N13" s="501"/>
      <c r="O13" s="464"/>
      <c r="P13" s="452"/>
      <c r="Q13" s="521"/>
      <c r="R13" s="501"/>
      <c r="S13" s="521"/>
      <c r="T13" s="501"/>
      <c r="U13" s="464"/>
    </row>
    <row r="14" ht="15.75" hidden="1" customHeight="1">
      <c r="A14" s="425"/>
      <c r="B14" s="525"/>
      <c r="C14" s="468"/>
      <c r="D14" s="470"/>
      <c r="E14" s="526"/>
      <c r="F14" s="527"/>
      <c r="G14" s="526"/>
      <c r="H14" s="527"/>
      <c r="I14" s="528"/>
      <c r="J14" s="470"/>
      <c r="K14" s="526"/>
      <c r="L14" s="527"/>
      <c r="M14" s="526"/>
      <c r="N14" s="527"/>
      <c r="O14" s="528"/>
      <c r="P14" s="470"/>
      <c r="Q14" s="526"/>
      <c r="R14" s="527"/>
      <c r="S14" s="526"/>
      <c r="T14" s="527"/>
      <c r="U14" s="528"/>
    </row>
    <row r="15" ht="15.75" customHeight="1">
      <c r="A15" s="425"/>
      <c r="B15" s="442" t="s">
        <v>173</v>
      </c>
      <c r="C15" s="474"/>
      <c r="D15" s="444">
        <f t="shared" ref="D15:E15" si="4">SUM(D16:D22)</f>
        <v>12668923.87</v>
      </c>
      <c r="E15" s="529">
        <f t="shared" si="4"/>
        <v>20400.9977</v>
      </c>
      <c r="F15" s="530">
        <f t="shared" ref="F15:H15" si="5">SUM(F16:F21)</f>
        <v>0</v>
      </c>
      <c r="G15" s="529" t="str">
        <f t="shared" si="5"/>
        <v>#DIV/0!</v>
      </c>
      <c r="H15" s="530">
        <f t="shared" si="5"/>
        <v>12668923.87</v>
      </c>
      <c r="I15" s="531" t="str">
        <f>(H15/F15)</f>
        <v>#DIV/0!</v>
      </c>
      <c r="J15" s="444">
        <f t="shared" ref="J15:K15" si="6">SUM(J16:J22)</f>
        <v>14320635</v>
      </c>
      <c r="K15" s="529">
        <f t="shared" si="6"/>
        <v>20401.01735</v>
      </c>
      <c r="L15" s="530">
        <f t="shared" ref="L15:N15" si="7">SUM(L16:L21)</f>
        <v>0</v>
      </c>
      <c r="M15" s="529" t="str">
        <f t="shared" si="7"/>
        <v>#DIV/0!</v>
      </c>
      <c r="N15" s="530">
        <f t="shared" si="7"/>
        <v>14320635</v>
      </c>
      <c r="O15" s="531" t="str">
        <f>(N15/L15)</f>
        <v>#DIV/0!</v>
      </c>
      <c r="P15" s="475">
        <f t="shared" ref="P15:Q15" si="8">SUM(P16:P22)</f>
        <v>0</v>
      </c>
      <c r="Q15" s="532" t="str">
        <f t="shared" si="8"/>
        <v>#DIV/0!</v>
      </c>
      <c r="R15" s="530">
        <f t="shared" ref="R15:T15" si="9">SUM(R16:R21)</f>
        <v>0</v>
      </c>
      <c r="S15" s="529" t="str">
        <f t="shared" si="9"/>
        <v>#DIV/0!</v>
      </c>
      <c r="T15" s="530">
        <f t="shared" si="9"/>
        <v>0</v>
      </c>
      <c r="U15" s="531" t="str">
        <f>(T15/R15)</f>
        <v>#DIV/0!</v>
      </c>
    </row>
    <row r="16" ht="15.75" customHeight="1">
      <c r="A16" s="425"/>
      <c r="B16" s="446" t="s">
        <v>23</v>
      </c>
      <c r="C16" s="481" t="s">
        <v>175</v>
      </c>
      <c r="D16" s="448">
        <v>1.187637861E7</v>
      </c>
      <c r="E16" s="533">
        <f>D16/D$15</f>
        <v>0.9374417853</v>
      </c>
      <c r="F16" s="523"/>
      <c r="G16" s="533" t="str">
        <f t="shared" ref="G16:G21" si="10">F16/$F$15</f>
        <v>#DIV/0!</v>
      </c>
      <c r="H16" s="523">
        <f t="shared" ref="H16:H22" si="11">D16-F16</f>
        <v>11876378.61</v>
      </c>
      <c r="I16" s="534" t="str">
        <f t="shared" ref="I16:I17" si="12">H16/F16</f>
        <v>#DIV/0!</v>
      </c>
      <c r="J16" s="29">
        <v>1.2238254E7</v>
      </c>
      <c r="K16" s="535">
        <f>J16/J$15</f>
        <v>0.8545887805</v>
      </c>
      <c r="L16" s="523"/>
      <c r="M16" s="533" t="str">
        <f t="shared" ref="M16:M21" si="13">L16/$F$15</f>
        <v>#DIV/0!</v>
      </c>
      <c r="N16" s="523">
        <f t="shared" ref="N16:N22" si="14">J16-L16</f>
        <v>12238254</v>
      </c>
      <c r="O16" s="536" t="str">
        <f t="shared" ref="O16:O17" si="15">N16/L16</f>
        <v>#DIV/0!</v>
      </c>
      <c r="P16" s="537"/>
      <c r="Q16" s="535" t="str">
        <f>P16/P$15</f>
        <v>#DIV/0!</v>
      </c>
      <c r="R16" s="523"/>
      <c r="S16" s="533" t="str">
        <f t="shared" ref="S16:S21" si="16">R16/$F$15</f>
        <v>#DIV/0!</v>
      </c>
      <c r="T16" s="523">
        <f t="shared" ref="T16:T22" si="17">P16-R16</f>
        <v>0</v>
      </c>
      <c r="U16" s="536" t="str">
        <f t="shared" ref="U16:U17" si="18">T16/R16</f>
        <v>#DIV/0!</v>
      </c>
    </row>
    <row r="17" ht="15.75" customHeight="1">
      <c r="A17" s="425"/>
      <c r="B17" s="450"/>
      <c r="C17" s="450" t="s">
        <v>176</v>
      </c>
      <c r="D17" s="452">
        <f>131070+455241+127679</f>
        <v>713990</v>
      </c>
      <c r="E17" s="538">
        <f t="shared" ref="E17:E20" si="19">D17/$D$15</f>
        <v>0.05635758864</v>
      </c>
      <c r="F17" s="501"/>
      <c r="G17" s="538" t="str">
        <f t="shared" si="10"/>
        <v>#DIV/0!</v>
      </c>
      <c r="H17" s="501">
        <f t="shared" si="11"/>
        <v>713990</v>
      </c>
      <c r="I17" s="539" t="str">
        <f t="shared" si="12"/>
        <v>#DIV/0!</v>
      </c>
      <c r="J17" s="540">
        <f>564963+154618</f>
        <v>719581</v>
      </c>
      <c r="K17" s="541">
        <f t="shared" ref="K17:K20" si="20">J17/$D$15</f>
        <v>0.05679890474</v>
      </c>
      <c r="L17" s="501"/>
      <c r="M17" s="538" t="str">
        <f t="shared" si="13"/>
        <v>#DIV/0!</v>
      </c>
      <c r="N17" s="501">
        <f t="shared" si="14"/>
        <v>719581</v>
      </c>
      <c r="O17" s="542" t="str">
        <f t="shared" si="15"/>
        <v>#DIV/0!</v>
      </c>
      <c r="P17" s="543"/>
      <c r="Q17" s="541">
        <f t="shared" ref="Q17:Q20" si="21">P17/$D$15</f>
        <v>0</v>
      </c>
      <c r="R17" s="501"/>
      <c r="S17" s="538" t="str">
        <f t="shared" si="16"/>
        <v>#DIV/0!</v>
      </c>
      <c r="T17" s="501">
        <f t="shared" si="17"/>
        <v>0</v>
      </c>
      <c r="U17" s="542" t="str">
        <f t="shared" si="18"/>
        <v>#DIV/0!</v>
      </c>
    </row>
    <row r="18" ht="15.75" customHeight="1">
      <c r="A18" s="425"/>
      <c r="B18" s="450"/>
      <c r="C18" s="450" t="s">
        <v>261</v>
      </c>
      <c r="D18" s="452">
        <v>0.0</v>
      </c>
      <c r="E18" s="538">
        <f t="shared" si="19"/>
        <v>0</v>
      </c>
      <c r="F18" s="501"/>
      <c r="G18" s="538" t="str">
        <f t="shared" si="10"/>
        <v>#DIV/0!</v>
      </c>
      <c r="H18" s="501">
        <f t="shared" si="11"/>
        <v>0</v>
      </c>
      <c r="I18" s="539"/>
      <c r="J18" s="452">
        <v>0.0</v>
      </c>
      <c r="K18" s="541">
        <f t="shared" si="20"/>
        <v>0</v>
      </c>
      <c r="L18" s="501"/>
      <c r="M18" s="538" t="str">
        <f t="shared" si="13"/>
        <v>#DIV/0!</v>
      </c>
      <c r="N18" s="501">
        <f t="shared" si="14"/>
        <v>0</v>
      </c>
      <c r="O18" s="542"/>
      <c r="P18" s="459"/>
      <c r="Q18" s="541">
        <f t="shared" si="21"/>
        <v>0</v>
      </c>
      <c r="R18" s="501"/>
      <c r="S18" s="538" t="str">
        <f t="shared" si="16"/>
        <v>#DIV/0!</v>
      </c>
      <c r="T18" s="501">
        <f t="shared" si="17"/>
        <v>0</v>
      </c>
      <c r="U18" s="542"/>
    </row>
    <row r="19" ht="15.75" customHeight="1">
      <c r="A19" s="425"/>
      <c r="B19" s="450"/>
      <c r="C19" s="450" t="s">
        <v>262</v>
      </c>
      <c r="D19" s="452">
        <v>42857.0</v>
      </c>
      <c r="E19" s="538">
        <f t="shared" si="19"/>
        <v>0.003382844545</v>
      </c>
      <c r="F19" s="501"/>
      <c r="G19" s="538" t="str">
        <f t="shared" si="10"/>
        <v>#DIV/0!</v>
      </c>
      <c r="H19" s="501">
        <f t="shared" si="11"/>
        <v>42857</v>
      </c>
      <c r="I19" s="539"/>
      <c r="J19" s="41">
        <v>1342400.0</v>
      </c>
      <c r="K19" s="541">
        <f t="shared" si="20"/>
        <v>0.1059600653</v>
      </c>
      <c r="L19" s="501"/>
      <c r="M19" s="538" t="str">
        <f t="shared" si="13"/>
        <v>#DIV/0!</v>
      </c>
      <c r="N19" s="501">
        <f t="shared" si="14"/>
        <v>1342400</v>
      </c>
      <c r="O19" s="542"/>
      <c r="P19" s="544"/>
      <c r="Q19" s="541">
        <f t="shared" si="21"/>
        <v>0</v>
      </c>
      <c r="R19" s="501"/>
      <c r="S19" s="538" t="str">
        <f t="shared" si="16"/>
        <v>#DIV/0!</v>
      </c>
      <c r="T19" s="501">
        <f t="shared" si="17"/>
        <v>0</v>
      </c>
      <c r="U19" s="542"/>
    </row>
    <row r="20" ht="15.75" customHeight="1">
      <c r="A20" s="425"/>
      <c r="B20" s="450"/>
      <c r="C20" s="450" t="s">
        <v>178</v>
      </c>
      <c r="D20" s="470">
        <v>6553.51</v>
      </c>
      <c r="E20" s="545">
        <f t="shared" si="19"/>
        <v>0.0005172901872</v>
      </c>
      <c r="F20" s="527"/>
      <c r="G20" s="545" t="str">
        <f t="shared" si="10"/>
        <v>#DIV/0!</v>
      </c>
      <c r="H20" s="527">
        <f t="shared" si="11"/>
        <v>6553.51</v>
      </c>
      <c r="I20" s="546" t="str">
        <f t="shared" ref="I20:I21" si="22">H20/F20</f>
        <v>#DIV/0!</v>
      </c>
      <c r="J20" s="494"/>
      <c r="K20" s="538">
        <f t="shared" si="20"/>
        <v>0</v>
      </c>
      <c r="L20" s="501"/>
      <c r="M20" s="538" t="str">
        <f t="shared" si="13"/>
        <v>#DIV/0!</v>
      </c>
      <c r="N20" s="501">
        <f t="shared" si="14"/>
        <v>0</v>
      </c>
      <c r="O20" s="542" t="str">
        <f t="shared" ref="O20:O21" si="23">N20/L20</f>
        <v>#DIV/0!</v>
      </c>
      <c r="P20" s="495"/>
      <c r="Q20" s="541">
        <f t="shared" si="21"/>
        <v>0</v>
      </c>
      <c r="R20" s="501"/>
      <c r="S20" s="538" t="str">
        <f t="shared" si="16"/>
        <v>#DIV/0!</v>
      </c>
      <c r="T20" s="501">
        <f t="shared" si="17"/>
        <v>0</v>
      </c>
      <c r="U20" s="542" t="str">
        <f t="shared" ref="U20:U21" si="24">T20/R20</f>
        <v>#DIV/0!</v>
      </c>
    </row>
    <row r="21" ht="15.75" customHeight="1">
      <c r="A21" s="425"/>
      <c r="B21" s="450"/>
      <c r="C21" s="450" t="s">
        <v>179</v>
      </c>
      <c r="D21" s="547">
        <v>29144.75</v>
      </c>
      <c r="E21" s="548">
        <v>20400.0</v>
      </c>
      <c r="F21" s="501"/>
      <c r="G21" s="538" t="str">
        <f t="shared" si="10"/>
        <v>#DIV/0!</v>
      </c>
      <c r="H21" s="501">
        <f t="shared" si="11"/>
        <v>29144.75</v>
      </c>
      <c r="I21" s="539" t="str">
        <f t="shared" si="22"/>
        <v>#DIV/0!</v>
      </c>
      <c r="J21" s="540">
        <v>20400.0</v>
      </c>
      <c r="K21" s="121">
        <v>20400.0</v>
      </c>
      <c r="L21" s="501"/>
      <c r="M21" s="538" t="str">
        <f t="shared" si="13"/>
        <v>#DIV/0!</v>
      </c>
      <c r="N21" s="501">
        <f t="shared" si="14"/>
        <v>20400</v>
      </c>
      <c r="O21" s="542" t="str">
        <f t="shared" si="23"/>
        <v>#DIV/0!</v>
      </c>
      <c r="P21" s="543"/>
      <c r="Q21" s="121">
        <v>20400.0</v>
      </c>
      <c r="R21" s="501"/>
      <c r="S21" s="538" t="str">
        <f t="shared" si="16"/>
        <v>#DIV/0!</v>
      </c>
      <c r="T21" s="501">
        <f t="shared" si="17"/>
        <v>0</v>
      </c>
      <c r="U21" s="542" t="str">
        <f t="shared" si="24"/>
        <v>#DIV/0!</v>
      </c>
    </row>
    <row r="22" ht="15.75" customHeight="1">
      <c r="A22" s="425"/>
      <c r="B22" s="450"/>
      <c r="C22" s="450" t="s">
        <v>263</v>
      </c>
      <c r="D22" s="448"/>
      <c r="E22" s="533">
        <f>D22/$D$15</f>
        <v>0</v>
      </c>
      <c r="F22" s="523"/>
      <c r="G22" s="533"/>
      <c r="H22" s="523">
        <f t="shared" si="11"/>
        <v>0</v>
      </c>
      <c r="I22" s="549" t="str">
        <f>IFERROR(H22/F22,"")</f>
        <v/>
      </c>
      <c r="J22" s="448"/>
      <c r="K22" s="538">
        <f>J22/$D$15</f>
        <v>0</v>
      </c>
      <c r="L22" s="501"/>
      <c r="M22" s="538"/>
      <c r="N22" s="501">
        <f t="shared" si="14"/>
        <v>0</v>
      </c>
      <c r="O22" s="550" t="str">
        <f>IFERROR(N22/L22,"")</f>
        <v/>
      </c>
      <c r="P22" s="482"/>
      <c r="Q22" s="541">
        <f>P22/$D$15</f>
        <v>0</v>
      </c>
      <c r="R22" s="501"/>
      <c r="S22" s="538"/>
      <c r="T22" s="501">
        <f t="shared" si="17"/>
        <v>0</v>
      </c>
      <c r="U22" s="550" t="str">
        <f>IFERROR(T22/R22,"")</f>
        <v/>
      </c>
    </row>
    <row r="23" ht="15.75" customHeight="1">
      <c r="A23" s="425"/>
      <c r="B23" s="454"/>
      <c r="C23" s="450"/>
      <c r="D23" s="452"/>
      <c r="E23" s="521"/>
      <c r="F23" s="501"/>
      <c r="G23" s="521"/>
      <c r="H23" s="501"/>
      <c r="I23" s="551"/>
      <c r="J23" s="452"/>
      <c r="K23" s="521"/>
      <c r="L23" s="501"/>
      <c r="M23" s="521"/>
      <c r="N23" s="501"/>
      <c r="O23" s="464"/>
      <c r="P23" s="459"/>
      <c r="Q23" s="552"/>
      <c r="R23" s="501"/>
      <c r="S23" s="521"/>
      <c r="T23" s="501"/>
      <c r="U23" s="464"/>
    </row>
    <row r="24" ht="15.75" customHeight="1">
      <c r="A24" s="425"/>
      <c r="B24" s="454" t="s">
        <v>21</v>
      </c>
      <c r="C24" s="450" t="s">
        <v>21</v>
      </c>
      <c r="D24" s="452">
        <v>1172105.0</v>
      </c>
      <c r="E24" s="538">
        <f>D24/D29</f>
        <v>0.05710144666</v>
      </c>
      <c r="F24" s="501"/>
      <c r="G24" s="538" t="str">
        <f>F24/F29</f>
        <v>#DIV/0!</v>
      </c>
      <c r="H24" s="501">
        <f t="shared" ref="H24:H25" si="25">D24-F24</f>
        <v>1172105</v>
      </c>
      <c r="I24" s="539" t="str">
        <f t="shared" ref="I24:I26" si="26">H24/F24</f>
        <v>#DIV/0!</v>
      </c>
      <c r="J24" s="41">
        <v>1235475.0</v>
      </c>
      <c r="K24" s="538">
        <f>J24/J29</f>
        <v>0.06054000523</v>
      </c>
      <c r="L24" s="501"/>
      <c r="M24" s="538" t="str">
        <f>L24/L29</f>
        <v>#DIV/0!</v>
      </c>
      <c r="N24" s="501">
        <f t="shared" ref="N24:N25" si="27">J24-L24</f>
        <v>1235475</v>
      </c>
      <c r="O24" s="542" t="str">
        <f t="shared" ref="O24:O26" si="28">N24/L24</f>
        <v>#DIV/0!</v>
      </c>
      <c r="P24" s="544"/>
      <c r="Q24" s="541" t="str">
        <f>P24/P29</f>
        <v>#DIV/0!</v>
      </c>
      <c r="R24" s="501"/>
      <c r="S24" s="538" t="str">
        <f>R24/R29</f>
        <v>#DIV/0!</v>
      </c>
      <c r="T24" s="501">
        <f t="shared" ref="T24:T25" si="29">P24-R24</f>
        <v>0</v>
      </c>
      <c r="U24" s="542" t="str">
        <f t="shared" ref="U24:U26" si="30">T24/R24</f>
        <v>#DIV/0!</v>
      </c>
    </row>
    <row r="25" ht="15.75" customHeight="1">
      <c r="A25" s="425"/>
      <c r="B25" s="454" t="s">
        <v>22</v>
      </c>
      <c r="C25" s="450" t="s">
        <v>22</v>
      </c>
      <c r="D25" s="452">
        <v>4966546.0</v>
      </c>
      <c r="E25" s="538">
        <f>D25/D29</f>
        <v>0.2419552527</v>
      </c>
      <c r="F25" s="501"/>
      <c r="G25" s="538" t="str">
        <f>F25/F29</f>
        <v>#DIV/0!</v>
      </c>
      <c r="H25" s="501">
        <f t="shared" si="25"/>
        <v>4966546</v>
      </c>
      <c r="I25" s="539" t="str">
        <f t="shared" si="26"/>
        <v>#DIV/0!</v>
      </c>
      <c r="J25" s="41">
        <v>4851470.0</v>
      </c>
      <c r="K25" s="538">
        <f>J25/J29</f>
        <v>0.2377288243</v>
      </c>
      <c r="L25" s="501"/>
      <c r="M25" s="538" t="str">
        <f>L25/L29</f>
        <v>#DIV/0!</v>
      </c>
      <c r="N25" s="501">
        <f t="shared" si="27"/>
        <v>4851470</v>
      </c>
      <c r="O25" s="542" t="str">
        <f t="shared" si="28"/>
        <v>#DIV/0!</v>
      </c>
      <c r="P25" s="544"/>
      <c r="Q25" s="541" t="str">
        <f>P25/P29</f>
        <v>#DIV/0!</v>
      </c>
      <c r="R25" s="501"/>
      <c r="S25" s="538" t="str">
        <f>R25/R29</f>
        <v>#DIV/0!</v>
      </c>
      <c r="T25" s="501">
        <f t="shared" si="29"/>
        <v>0</v>
      </c>
      <c r="U25" s="542" t="str">
        <f t="shared" si="30"/>
        <v>#DIV/0!</v>
      </c>
    </row>
    <row r="26" ht="15.75" customHeight="1">
      <c r="A26" s="425"/>
      <c r="B26" s="454" t="s">
        <v>23</v>
      </c>
      <c r="C26" s="450" t="s">
        <v>180</v>
      </c>
      <c r="D26" s="460">
        <f>SUM(D16:D22)</f>
        <v>12668923.87</v>
      </c>
      <c r="E26" s="538">
        <f>D26/D29</f>
        <v>0.6171920439</v>
      </c>
      <c r="F26" s="501"/>
      <c r="G26" s="538" t="str">
        <f>F26/F29</f>
        <v>#DIV/0!</v>
      </c>
      <c r="H26" s="553">
        <f>SUM(H16:H21)</f>
        <v>12668923.87</v>
      </c>
      <c r="I26" s="542" t="str">
        <f t="shared" si="26"/>
        <v>#DIV/0!</v>
      </c>
      <c r="J26" s="460">
        <f>SUM(J16:J22)</f>
        <v>14320635</v>
      </c>
      <c r="K26" s="538">
        <f>J26/J29</f>
        <v>0.7017311705</v>
      </c>
      <c r="L26" s="501"/>
      <c r="M26" s="538" t="str">
        <f>L26/L29</f>
        <v>#DIV/0!</v>
      </c>
      <c r="N26" s="553">
        <f>SUM(N16:N21)</f>
        <v>14320635</v>
      </c>
      <c r="O26" s="542" t="str">
        <f t="shared" si="28"/>
        <v>#DIV/0!</v>
      </c>
      <c r="P26" s="461"/>
      <c r="Q26" s="541" t="str">
        <f>P26/P29</f>
        <v>#DIV/0!</v>
      </c>
      <c r="R26" s="501"/>
      <c r="S26" s="538" t="str">
        <f>R26/R29</f>
        <v>#DIV/0!</v>
      </c>
      <c r="T26" s="553">
        <f>SUM(T16:T21)</f>
        <v>0</v>
      </c>
      <c r="U26" s="542" t="str">
        <f t="shared" si="30"/>
        <v>#DIV/0!</v>
      </c>
    </row>
    <row r="27" ht="15.75" customHeight="1">
      <c r="A27" s="425"/>
      <c r="B27" s="450"/>
      <c r="C27" s="450"/>
      <c r="D27" s="452"/>
      <c r="E27" s="521"/>
      <c r="F27" s="501"/>
      <c r="G27" s="538"/>
      <c r="H27" s="501"/>
      <c r="I27" s="464"/>
      <c r="J27" s="452"/>
      <c r="K27" s="521"/>
      <c r="L27" s="501"/>
      <c r="M27" s="538"/>
      <c r="N27" s="501"/>
      <c r="O27" s="464"/>
      <c r="P27" s="459"/>
      <c r="Q27" s="552"/>
      <c r="R27" s="501"/>
      <c r="S27" s="538"/>
      <c r="T27" s="501"/>
      <c r="U27" s="464"/>
    </row>
    <row r="28" ht="15.75" customHeight="1">
      <c r="A28" s="425"/>
      <c r="B28" s="468"/>
      <c r="C28" s="468" t="s">
        <v>181</v>
      </c>
      <c r="D28" s="470">
        <v>1719138.0</v>
      </c>
      <c r="E28" s="545">
        <f>D28/D29</f>
        <v>0.08375125676</v>
      </c>
      <c r="F28" s="527"/>
      <c r="G28" s="545" t="str">
        <f>F28/F29</f>
        <v>#DIV/0!</v>
      </c>
      <c r="H28" s="527">
        <f>D28-F28</f>
        <v>1719138</v>
      </c>
      <c r="I28" s="546" t="str">
        <f>H28/F28</f>
        <v>#DIV/0!</v>
      </c>
      <c r="J28" s="470"/>
      <c r="K28" s="545">
        <f>J28/J29</f>
        <v>0</v>
      </c>
      <c r="L28" s="527"/>
      <c r="M28" s="545" t="str">
        <f>L28/L29</f>
        <v>#DIV/0!</v>
      </c>
      <c r="N28" s="527">
        <f>J28-L28</f>
        <v>0</v>
      </c>
      <c r="O28" s="546" t="str">
        <f>N28/L28</f>
        <v>#DIV/0!</v>
      </c>
      <c r="P28" s="472"/>
      <c r="Q28" s="554" t="str">
        <f>P28/P29</f>
        <v>#DIV/0!</v>
      </c>
      <c r="R28" s="527"/>
      <c r="S28" s="545" t="str">
        <f>R28/R29</f>
        <v>#DIV/0!</v>
      </c>
      <c r="T28" s="527">
        <f>P28-R28</f>
        <v>0</v>
      </c>
      <c r="U28" s="546" t="str">
        <f>T28/R28</f>
        <v>#DIV/0!</v>
      </c>
    </row>
    <row r="29" ht="15.75" customHeight="1">
      <c r="A29" s="425"/>
      <c r="B29" s="474"/>
      <c r="C29" s="474" t="s">
        <v>182</v>
      </c>
      <c r="D29" s="444">
        <f>D24+D25+D26+D28</f>
        <v>20526712.87</v>
      </c>
      <c r="E29" s="555"/>
      <c r="F29" s="444">
        <f>F24+F25+F26+F28</f>
        <v>0</v>
      </c>
      <c r="G29" s="555"/>
      <c r="H29" s="444">
        <f>H24+H25+H26+H28</f>
        <v>20526712.87</v>
      </c>
      <c r="I29" s="556"/>
      <c r="J29" s="444">
        <f>J24+J25+J26+J28</f>
        <v>20407580</v>
      </c>
      <c r="K29" s="555"/>
      <c r="L29" s="444">
        <f>L24+L25+L26+L28</f>
        <v>0</v>
      </c>
      <c r="M29" s="555"/>
      <c r="N29" s="444">
        <f>N24+N25+N26+N28</f>
        <v>20407580</v>
      </c>
      <c r="O29" s="556"/>
      <c r="P29" s="475">
        <f>P24+P25+P26+P28</f>
        <v>0</v>
      </c>
      <c r="Q29" s="557"/>
      <c r="R29" s="444">
        <f>R24+R25+R26+R28</f>
        <v>0</v>
      </c>
      <c r="S29" s="555"/>
      <c r="T29" s="444">
        <f>T24+T25+T26+T28</f>
        <v>0</v>
      </c>
      <c r="U29" s="556"/>
    </row>
    <row r="30" ht="15.75" customHeight="1">
      <c r="A30" s="425"/>
      <c r="B30" s="454"/>
      <c r="C30" s="454"/>
      <c r="D30" s="452"/>
      <c r="E30" s="521"/>
      <c r="F30" s="501"/>
      <c r="G30" s="521"/>
      <c r="H30" s="501"/>
      <c r="I30" s="464"/>
      <c r="J30" s="452"/>
      <c r="K30" s="521"/>
      <c r="L30" s="501"/>
      <c r="M30" s="521"/>
      <c r="N30" s="501"/>
      <c r="O30" s="464"/>
      <c r="P30" s="459"/>
      <c r="Q30" s="552"/>
      <c r="R30" s="501"/>
      <c r="S30" s="521"/>
      <c r="T30" s="501"/>
      <c r="U30" s="464"/>
    </row>
    <row r="31" ht="15.75" customHeight="1">
      <c r="A31" s="425"/>
      <c r="B31" s="466" t="s">
        <v>186</v>
      </c>
      <c r="C31" s="450"/>
      <c r="D31" s="452"/>
      <c r="E31" s="521"/>
      <c r="F31" s="501"/>
      <c r="G31" s="521"/>
      <c r="H31" s="501"/>
      <c r="I31" s="464"/>
      <c r="J31" s="452"/>
      <c r="K31" s="521"/>
      <c r="L31" s="501"/>
      <c r="M31" s="521"/>
      <c r="N31" s="501"/>
      <c r="O31" s="464"/>
      <c r="P31" s="459"/>
      <c r="Q31" s="552"/>
      <c r="R31" s="501"/>
      <c r="S31" s="521"/>
      <c r="T31" s="501"/>
      <c r="U31" s="464"/>
    </row>
    <row r="32" ht="15.75" customHeight="1">
      <c r="A32" s="425"/>
      <c r="B32" s="454" t="s">
        <v>28</v>
      </c>
      <c r="C32" s="450"/>
      <c r="D32" s="452"/>
      <c r="E32" s="521"/>
      <c r="F32" s="501"/>
      <c r="G32" s="521"/>
      <c r="H32" s="501"/>
      <c r="I32" s="464"/>
      <c r="J32" s="452"/>
      <c r="K32" s="521"/>
      <c r="L32" s="501"/>
      <c r="M32" s="521"/>
      <c r="N32" s="501"/>
      <c r="O32" s="464"/>
      <c r="P32" s="459"/>
      <c r="Q32" s="552"/>
      <c r="R32" s="501"/>
      <c r="S32" s="521"/>
      <c r="T32" s="501"/>
      <c r="U32" s="464"/>
    </row>
    <row r="33" ht="15.75" customHeight="1">
      <c r="A33" s="425"/>
      <c r="B33" s="450"/>
      <c r="C33" s="558" t="s">
        <v>187</v>
      </c>
      <c r="D33" s="452"/>
      <c r="E33" s="521"/>
      <c r="F33" s="501"/>
      <c r="G33" s="521"/>
      <c r="H33" s="501"/>
      <c r="I33" s="464"/>
      <c r="J33" s="470"/>
      <c r="K33" s="521"/>
      <c r="L33" s="501"/>
      <c r="M33" s="521"/>
      <c r="N33" s="501"/>
      <c r="O33" s="464"/>
      <c r="P33" s="472"/>
      <c r="Q33" s="552"/>
      <c r="R33" s="501"/>
      <c r="S33" s="521"/>
      <c r="T33" s="501"/>
      <c r="U33" s="464"/>
    </row>
    <row r="34" ht="15.75" customHeight="1">
      <c r="A34" s="425"/>
      <c r="B34" s="450"/>
      <c r="C34" s="450" t="s">
        <v>188</v>
      </c>
      <c r="D34" s="452">
        <f>'MSBC CK Allocation'!C30</f>
        <v>245241.979</v>
      </c>
      <c r="E34" s="538">
        <f t="shared" ref="E34:E37" si="31">D34/D26</f>
        <v>0.01935775931</v>
      </c>
      <c r="F34" s="501"/>
      <c r="G34" s="559" t="str">
        <f t="shared" ref="G34:G38" si="32">F34/$F$29</f>
        <v>#DIV/0!</v>
      </c>
      <c r="H34" s="501">
        <f t="shared" ref="H34:H38" si="33">D34-F34</f>
        <v>245241.979</v>
      </c>
      <c r="I34" s="539" t="str">
        <f t="shared" ref="I34:I41" si="34">H34/F34</f>
        <v>#DIV/0!</v>
      </c>
      <c r="J34" s="452">
        <f>'MSBC CK Allocation'!C30</f>
        <v>245241.979</v>
      </c>
      <c r="K34" s="541">
        <f t="shared" ref="K34:K37" si="35">J34/J26</f>
        <v>0.01712507714</v>
      </c>
      <c r="L34" s="501"/>
      <c r="M34" s="559" t="str">
        <f t="shared" ref="M34:M38" si="36">L34/$F$29</f>
        <v>#DIV/0!</v>
      </c>
      <c r="N34" s="501">
        <f t="shared" ref="N34:N38" si="37">J34-L34</f>
        <v>245241.979</v>
      </c>
      <c r="O34" s="542" t="str">
        <f t="shared" ref="O34:O41" si="38">N34/L34</f>
        <v>#DIV/0!</v>
      </c>
      <c r="P34" s="459"/>
      <c r="Q34" s="541" t="str">
        <f t="shared" ref="Q34:Q37" si="39">P34/P26</f>
        <v>#DIV/0!</v>
      </c>
      <c r="R34" s="501"/>
      <c r="S34" s="559" t="str">
        <f t="shared" ref="S34:S38" si="40">R34/$F$29</f>
        <v>#DIV/0!</v>
      </c>
      <c r="T34" s="501">
        <f t="shared" ref="T34:T38" si="41">P34-R34</f>
        <v>0</v>
      </c>
      <c r="U34" s="542" t="str">
        <f t="shared" ref="U34:U41" si="42">T34/R34</f>
        <v>#DIV/0!</v>
      </c>
    </row>
    <row r="35" ht="15.75" customHeight="1">
      <c r="A35" s="425"/>
      <c r="B35" s="450"/>
      <c r="C35" s="450" t="s">
        <v>264</v>
      </c>
      <c r="D35" s="452">
        <v>4596849.022197289</v>
      </c>
      <c r="E35" s="538" t="str">
        <f t="shared" si="31"/>
        <v>#DIV/0!</v>
      </c>
      <c r="F35" s="501"/>
      <c r="G35" s="559" t="str">
        <f t="shared" si="32"/>
        <v>#DIV/0!</v>
      </c>
      <c r="H35" s="501">
        <f t="shared" si="33"/>
        <v>4596849.022</v>
      </c>
      <c r="I35" s="539" t="str">
        <f t="shared" si="34"/>
        <v>#DIV/0!</v>
      </c>
      <c r="J35" s="540">
        <f>4832237.07</f>
        <v>4832237.07</v>
      </c>
      <c r="K35" s="541" t="str">
        <f t="shared" si="35"/>
        <v>#DIV/0!</v>
      </c>
      <c r="L35" s="501"/>
      <c r="M35" s="559" t="str">
        <f t="shared" si="36"/>
        <v>#DIV/0!</v>
      </c>
      <c r="N35" s="501">
        <f t="shared" si="37"/>
        <v>4832237.07</v>
      </c>
      <c r="O35" s="542" t="str">
        <f t="shared" si="38"/>
        <v>#DIV/0!</v>
      </c>
      <c r="P35" s="543"/>
      <c r="Q35" s="541" t="str">
        <f t="shared" si="39"/>
        <v>#DIV/0!</v>
      </c>
      <c r="R35" s="501"/>
      <c r="S35" s="559" t="str">
        <f t="shared" si="40"/>
        <v>#DIV/0!</v>
      </c>
      <c r="T35" s="501">
        <f t="shared" si="41"/>
        <v>0</v>
      </c>
      <c r="U35" s="542" t="str">
        <f t="shared" si="42"/>
        <v>#DIV/0!</v>
      </c>
    </row>
    <row r="36" ht="15.75" customHeight="1">
      <c r="A36" s="425"/>
      <c r="B36" s="450"/>
      <c r="C36" s="450" t="s">
        <v>21</v>
      </c>
      <c r="D36" s="452">
        <v>238857.90367941</v>
      </c>
      <c r="E36" s="538">
        <f t="shared" si="31"/>
        <v>0.138940506</v>
      </c>
      <c r="F36" s="501"/>
      <c r="G36" s="559" t="str">
        <f t="shared" si="32"/>
        <v>#DIV/0!</v>
      </c>
      <c r="H36" s="501">
        <f t="shared" si="33"/>
        <v>238857.9037</v>
      </c>
      <c r="I36" s="539" t="str">
        <f t="shared" si="34"/>
        <v>#DIV/0!</v>
      </c>
      <c r="J36" s="560">
        <f>(223850.18)+33973.87</f>
        <v>257824.05</v>
      </c>
      <c r="K36" s="541" t="str">
        <f t="shared" si="35"/>
        <v>#DIV/0!</v>
      </c>
      <c r="L36" s="501"/>
      <c r="M36" s="559" t="str">
        <f t="shared" si="36"/>
        <v>#DIV/0!</v>
      </c>
      <c r="N36" s="501">
        <f t="shared" si="37"/>
        <v>257824.05</v>
      </c>
      <c r="O36" s="542" t="str">
        <f t="shared" si="38"/>
        <v>#DIV/0!</v>
      </c>
      <c r="P36" s="561"/>
      <c r="Q36" s="541" t="str">
        <f t="shared" si="39"/>
        <v>#DIV/0!</v>
      </c>
      <c r="R36" s="501"/>
      <c r="S36" s="559" t="str">
        <f t="shared" si="40"/>
        <v>#DIV/0!</v>
      </c>
      <c r="T36" s="501">
        <f t="shared" si="41"/>
        <v>0</v>
      </c>
      <c r="U36" s="542" t="str">
        <f t="shared" si="42"/>
        <v>#DIV/0!</v>
      </c>
    </row>
    <row r="37" ht="15.75" customHeight="1">
      <c r="A37" s="425"/>
      <c r="B37" s="450"/>
      <c r="C37" s="450" t="s">
        <v>22</v>
      </c>
      <c r="D37" s="452">
        <v>1707488.82</v>
      </c>
      <c r="E37" s="538">
        <f t="shared" si="31"/>
        <v>0.08318374358</v>
      </c>
      <c r="F37" s="501"/>
      <c r="G37" s="559" t="str">
        <f t="shared" si="32"/>
        <v>#DIV/0!</v>
      </c>
      <c r="H37" s="501">
        <f t="shared" si="33"/>
        <v>1707488.82</v>
      </c>
      <c r="I37" s="539" t="str">
        <f t="shared" si="34"/>
        <v>#DIV/0!</v>
      </c>
      <c r="J37" s="560">
        <v>1586470.35</v>
      </c>
      <c r="K37" s="541">
        <f t="shared" si="35"/>
        <v>0.07773926894</v>
      </c>
      <c r="L37" s="501"/>
      <c r="M37" s="559" t="str">
        <f t="shared" si="36"/>
        <v>#DIV/0!</v>
      </c>
      <c r="N37" s="501">
        <f t="shared" si="37"/>
        <v>1586470.35</v>
      </c>
      <c r="O37" s="542" t="str">
        <f t="shared" si="38"/>
        <v>#DIV/0!</v>
      </c>
      <c r="P37" s="561"/>
      <c r="Q37" s="541" t="str">
        <f t="shared" si="39"/>
        <v>#DIV/0!</v>
      </c>
      <c r="R37" s="501"/>
      <c r="S37" s="559" t="str">
        <f t="shared" si="40"/>
        <v>#DIV/0!</v>
      </c>
      <c r="T37" s="501">
        <f t="shared" si="41"/>
        <v>0</v>
      </c>
      <c r="U37" s="542" t="str">
        <f t="shared" si="42"/>
        <v>#DIV/0!</v>
      </c>
    </row>
    <row r="38" ht="15.75" customHeight="1">
      <c r="A38" s="425"/>
      <c r="B38" s="468"/>
      <c r="C38" s="468" t="s">
        <v>265</v>
      </c>
      <c r="D38" s="470">
        <f>'Calculation Sheet for GST on Pu'!C21</f>
        <v>275059.9029</v>
      </c>
      <c r="E38" s="545">
        <f>D38/D29</f>
        <v>0.01340009502</v>
      </c>
      <c r="F38" s="527"/>
      <c r="G38" s="559" t="str">
        <f t="shared" si="32"/>
        <v>#DIV/0!</v>
      </c>
      <c r="H38" s="527">
        <f t="shared" si="33"/>
        <v>275059.9029</v>
      </c>
      <c r="I38" s="546" t="str">
        <f t="shared" si="34"/>
        <v>#DIV/0!</v>
      </c>
      <c r="J38" s="470">
        <f>'Calculation Sheet for GST on Pu'!D21</f>
        <v>274601.4745</v>
      </c>
      <c r="K38" s="545">
        <f>J38/J29</f>
        <v>0.01345585682</v>
      </c>
      <c r="L38" s="527"/>
      <c r="M38" s="559" t="str">
        <f t="shared" si="36"/>
        <v>#DIV/0!</v>
      </c>
      <c r="N38" s="527">
        <f t="shared" si="37"/>
        <v>274601.4745</v>
      </c>
      <c r="O38" s="546" t="str">
        <f t="shared" si="38"/>
        <v>#DIV/0!</v>
      </c>
      <c r="P38" s="472"/>
      <c r="Q38" s="554" t="str">
        <f>P38/P29</f>
        <v>#DIV/0!</v>
      </c>
      <c r="R38" s="527"/>
      <c r="S38" s="559" t="str">
        <f t="shared" si="40"/>
        <v>#DIV/0!</v>
      </c>
      <c r="T38" s="527">
        <f t="shared" si="41"/>
        <v>0</v>
      </c>
      <c r="U38" s="546" t="str">
        <f t="shared" si="42"/>
        <v>#DIV/0!</v>
      </c>
    </row>
    <row r="39" ht="15.75" customHeight="1">
      <c r="A39" s="425"/>
      <c r="B39" s="474"/>
      <c r="C39" s="474" t="s">
        <v>191</v>
      </c>
      <c r="D39" s="444">
        <f>SUM(D34:D38)</f>
        <v>7063497.628</v>
      </c>
      <c r="E39" s="529">
        <f>D39/D29</f>
        <v>0.3441124584</v>
      </c>
      <c r="F39" s="530">
        <f>SUM(F34:F38)</f>
        <v>0</v>
      </c>
      <c r="G39" s="529" t="str">
        <f>F39/F29</f>
        <v>#DIV/0!</v>
      </c>
      <c r="H39" s="530">
        <f>SUM(H34:H38)</f>
        <v>7063497.628</v>
      </c>
      <c r="I39" s="531" t="str">
        <f t="shared" si="34"/>
        <v>#DIV/0!</v>
      </c>
      <c r="J39" s="444">
        <f>SUM(J34:J38)</f>
        <v>7196374.924</v>
      </c>
      <c r="K39" s="529">
        <f>J39/J29</f>
        <v>0.3526324495</v>
      </c>
      <c r="L39" s="530">
        <f>SUM(L34:L38)</f>
        <v>0</v>
      </c>
      <c r="M39" s="529" t="str">
        <f>L39/L29</f>
        <v>#DIV/0!</v>
      </c>
      <c r="N39" s="530">
        <f>SUM(N34:N38)</f>
        <v>7196374.924</v>
      </c>
      <c r="O39" s="531" t="str">
        <f t="shared" si="38"/>
        <v>#DIV/0!</v>
      </c>
      <c r="P39" s="475">
        <f>SUM(P34:P38)</f>
        <v>0</v>
      </c>
      <c r="Q39" s="532" t="str">
        <f>P39/P29</f>
        <v>#DIV/0!</v>
      </c>
      <c r="R39" s="530">
        <f>SUM(R34:R38)</f>
        <v>0</v>
      </c>
      <c r="S39" s="529" t="str">
        <f>R39/R29</f>
        <v>#DIV/0!</v>
      </c>
      <c r="T39" s="530">
        <f>SUM(T34:T38)</f>
        <v>0</v>
      </c>
      <c r="U39" s="531" t="str">
        <f t="shared" si="42"/>
        <v>#DIV/0!</v>
      </c>
    </row>
    <row r="40" ht="15.75" customHeight="1">
      <c r="A40" s="425"/>
      <c r="B40" s="508"/>
      <c r="C40" s="508" t="s">
        <v>192</v>
      </c>
      <c r="D40" s="494">
        <v>47598.75</v>
      </c>
      <c r="E40" s="562">
        <f>D40/D$29</f>
        <v>0.002318868603</v>
      </c>
      <c r="F40" s="563">
        <f>G40*SUM(F24:F26)</f>
        <v>0</v>
      </c>
      <c r="G40" s="562"/>
      <c r="H40" s="563">
        <f>D40-F40</f>
        <v>47598.75</v>
      </c>
      <c r="I40" s="564" t="str">
        <f t="shared" si="34"/>
        <v>#DIV/0!</v>
      </c>
      <c r="J40" s="565">
        <f>57274.25+1675</f>
        <v>58949.25</v>
      </c>
      <c r="K40" s="566">
        <f>J40/J$29</f>
        <v>0.002888595806</v>
      </c>
      <c r="L40" s="563">
        <f>M40*SUM(L24:L26)</f>
        <v>0</v>
      </c>
      <c r="M40" s="562"/>
      <c r="N40" s="563">
        <f>J40-L40</f>
        <v>58949.25</v>
      </c>
      <c r="O40" s="564" t="str">
        <f t="shared" si="38"/>
        <v>#DIV/0!</v>
      </c>
      <c r="P40" s="565"/>
      <c r="Q40" s="566" t="str">
        <f>P40/P$29</f>
        <v>#DIV/0!</v>
      </c>
      <c r="R40" s="563">
        <f>S40*SUM(R24:R26)</f>
        <v>0</v>
      </c>
      <c r="S40" s="562"/>
      <c r="T40" s="563">
        <f>P40-R40</f>
        <v>0</v>
      </c>
      <c r="U40" s="564" t="str">
        <f t="shared" si="42"/>
        <v>#DIV/0!</v>
      </c>
    </row>
    <row r="41" ht="15.75" customHeight="1">
      <c r="A41" s="425"/>
      <c r="B41" s="567"/>
      <c r="C41" s="567" t="s">
        <v>193</v>
      </c>
      <c r="D41" s="568">
        <f>D39+D40</f>
        <v>7111096.378</v>
      </c>
      <c r="E41" s="569">
        <f>D41/D29</f>
        <v>0.346431327</v>
      </c>
      <c r="F41" s="570">
        <f>F39+F40</f>
        <v>0</v>
      </c>
      <c r="G41" s="569" t="str">
        <f>F41/F29</f>
        <v>#DIV/0!</v>
      </c>
      <c r="H41" s="570">
        <f>H39+H40</f>
        <v>7111096.378</v>
      </c>
      <c r="I41" s="571" t="str">
        <f t="shared" si="34"/>
        <v>#DIV/0!</v>
      </c>
      <c r="J41" s="475">
        <f>J39+J40</f>
        <v>7255324.174</v>
      </c>
      <c r="K41" s="572">
        <f>J41/J29</f>
        <v>0.3555210453</v>
      </c>
      <c r="L41" s="570">
        <f>L39+L40</f>
        <v>0</v>
      </c>
      <c r="M41" s="569" t="str">
        <f>L41/L29</f>
        <v>#DIV/0!</v>
      </c>
      <c r="N41" s="570">
        <f>N39+N40</f>
        <v>7255324.174</v>
      </c>
      <c r="O41" s="571" t="str">
        <f t="shared" si="38"/>
        <v>#DIV/0!</v>
      </c>
      <c r="P41" s="475">
        <f>P39+P40</f>
        <v>0</v>
      </c>
      <c r="Q41" s="572" t="str">
        <f>P41/P29</f>
        <v>#DIV/0!</v>
      </c>
      <c r="R41" s="570">
        <f>R39+R40</f>
        <v>0</v>
      </c>
      <c r="S41" s="569" t="str">
        <f>R41/R29</f>
        <v>#DIV/0!</v>
      </c>
      <c r="T41" s="570">
        <f>T39+T40</f>
        <v>0</v>
      </c>
      <c r="U41" s="571" t="str">
        <f t="shared" si="42"/>
        <v>#DIV/0!</v>
      </c>
    </row>
    <row r="42" ht="15.75" customHeight="1">
      <c r="A42" s="425"/>
      <c r="B42" s="474"/>
      <c r="C42" s="474" t="s">
        <v>32</v>
      </c>
      <c r="D42" s="444">
        <f>D29-D41</f>
        <v>13415616.49</v>
      </c>
      <c r="E42" s="529">
        <f>D42/D29</f>
        <v>0.653568673</v>
      </c>
      <c r="F42" s="530">
        <f>F29-F41</f>
        <v>0</v>
      </c>
      <c r="G42" s="529" t="str">
        <f>F42/F29</f>
        <v>#DIV/0!</v>
      </c>
      <c r="H42" s="530">
        <f>H29-H41</f>
        <v>13415616.49</v>
      </c>
      <c r="I42" s="531"/>
      <c r="J42" s="475">
        <f>J29-J41</f>
        <v>13152255.83</v>
      </c>
      <c r="K42" s="532">
        <f>J42/J29</f>
        <v>0.6444789547</v>
      </c>
      <c r="L42" s="530">
        <f>L29-L41</f>
        <v>0</v>
      </c>
      <c r="M42" s="529" t="str">
        <f>L42/L29</f>
        <v>#DIV/0!</v>
      </c>
      <c r="N42" s="530">
        <f>N29-N41</f>
        <v>13152255.83</v>
      </c>
      <c r="O42" s="531"/>
      <c r="P42" s="475">
        <f>P29-P41</f>
        <v>0</v>
      </c>
      <c r="Q42" s="532" t="str">
        <f>P42/P29</f>
        <v>#DIV/0!</v>
      </c>
      <c r="R42" s="530">
        <f>R29-R41</f>
        <v>0</v>
      </c>
      <c r="S42" s="529" t="str">
        <f>R42/R29</f>
        <v>#DIV/0!</v>
      </c>
      <c r="T42" s="530">
        <f>T29-T41</f>
        <v>0</v>
      </c>
      <c r="U42" s="531"/>
    </row>
    <row r="43" ht="15.75" customHeight="1">
      <c r="A43" s="425"/>
      <c r="B43" s="450"/>
      <c r="C43" s="450"/>
      <c r="D43" s="452"/>
      <c r="E43" s="538"/>
      <c r="F43" s="501"/>
      <c r="G43" s="538"/>
      <c r="H43" s="501"/>
      <c r="I43" s="542"/>
      <c r="J43" s="448"/>
      <c r="K43" s="538"/>
      <c r="L43" s="501"/>
      <c r="M43" s="538"/>
      <c r="N43" s="501"/>
      <c r="O43" s="542"/>
      <c r="P43" s="482"/>
      <c r="Q43" s="541"/>
      <c r="R43" s="501"/>
      <c r="S43" s="538"/>
      <c r="T43" s="501"/>
      <c r="U43" s="542"/>
    </row>
    <row r="44" ht="15.75" customHeight="1">
      <c r="A44" s="425"/>
      <c r="B44" s="450"/>
      <c r="C44" s="573" t="s">
        <v>194</v>
      </c>
      <c r="D44" s="452"/>
      <c r="E44" s="521"/>
      <c r="F44" s="501"/>
      <c r="G44" s="521"/>
      <c r="H44" s="501"/>
      <c r="I44" s="464"/>
      <c r="J44" s="470"/>
      <c r="K44" s="521"/>
      <c r="L44" s="501"/>
      <c r="M44" s="521"/>
      <c r="N44" s="501"/>
      <c r="O44" s="464"/>
      <c r="P44" s="472"/>
      <c r="Q44" s="552"/>
      <c r="R44" s="501"/>
      <c r="S44" s="521"/>
      <c r="T44" s="501"/>
      <c r="U44" s="464"/>
    </row>
    <row r="45" ht="15.75" customHeight="1">
      <c r="A45" s="425"/>
      <c r="B45" s="450"/>
      <c r="C45" s="450" t="s">
        <v>195</v>
      </c>
      <c r="D45" s="452">
        <v>70347.38</v>
      </c>
      <c r="E45" s="538">
        <f t="shared" ref="E45:E50" si="43">D45/D$29</f>
        <v>0.003427113754</v>
      </c>
      <c r="F45" s="501"/>
      <c r="G45" s="559" t="str">
        <f t="shared" ref="G45:G50" si="44">F45/$F$29</f>
        <v>#DIV/0!</v>
      </c>
      <c r="H45" s="501"/>
      <c r="I45" s="539" t="str">
        <f t="shared" ref="I45:I50" si="45">H45/F45</f>
        <v>#DIV/0!</v>
      </c>
      <c r="J45" s="540">
        <v>88270.94</v>
      </c>
      <c r="K45" s="541">
        <f t="shared" ref="K45:K50" si="46">J45/J$29</f>
        <v>0.00432539968</v>
      </c>
      <c r="L45" s="501"/>
      <c r="M45" s="559" t="str">
        <f t="shared" ref="M45:M50" si="47">L45/$F$29</f>
        <v>#DIV/0!</v>
      </c>
      <c r="N45" s="501"/>
      <c r="O45" s="542" t="str">
        <f t="shared" ref="O45:O50" si="48">N45/L45</f>
        <v>#DIV/0!</v>
      </c>
      <c r="P45" s="543"/>
      <c r="Q45" s="541" t="str">
        <f t="shared" ref="Q45:Q50" si="49">P45/P$29</f>
        <v>#DIV/0!</v>
      </c>
      <c r="R45" s="501"/>
      <c r="S45" s="559" t="str">
        <f t="shared" ref="S45:S50" si="50">R45/$F$29</f>
        <v>#DIV/0!</v>
      </c>
      <c r="T45" s="501"/>
      <c r="U45" s="542" t="str">
        <f t="shared" ref="U45:U50" si="51">T45/R45</f>
        <v>#DIV/0!</v>
      </c>
    </row>
    <row r="46" ht="15.75" customHeight="1">
      <c r="A46" s="425"/>
      <c r="B46" s="450"/>
      <c r="C46" s="450" t="s">
        <v>196</v>
      </c>
      <c r="D46" s="452">
        <v>152439.45</v>
      </c>
      <c r="E46" s="538">
        <f t="shared" si="43"/>
        <v>0.007426393644</v>
      </c>
      <c r="F46" s="501"/>
      <c r="G46" s="559" t="str">
        <f t="shared" si="44"/>
        <v>#DIV/0!</v>
      </c>
      <c r="H46" s="501"/>
      <c r="I46" s="542" t="str">
        <f t="shared" si="45"/>
        <v>#DIV/0!</v>
      </c>
      <c r="J46" s="448">
        <v>180825.0</v>
      </c>
      <c r="K46" s="538">
        <f t="shared" si="46"/>
        <v>0.008860678238</v>
      </c>
      <c r="L46" s="501"/>
      <c r="M46" s="559" t="str">
        <f t="shared" si="47"/>
        <v>#DIV/0!</v>
      </c>
      <c r="N46" s="501"/>
      <c r="O46" s="542" t="str">
        <f t="shared" si="48"/>
        <v>#DIV/0!</v>
      </c>
      <c r="P46" s="482"/>
      <c r="Q46" s="541" t="str">
        <f t="shared" si="49"/>
        <v>#DIV/0!</v>
      </c>
      <c r="R46" s="501"/>
      <c r="S46" s="559" t="str">
        <f t="shared" si="50"/>
        <v>#DIV/0!</v>
      </c>
      <c r="T46" s="501"/>
      <c r="U46" s="542" t="str">
        <f t="shared" si="51"/>
        <v>#DIV/0!</v>
      </c>
    </row>
    <row r="47" ht="15.75" customHeight="1">
      <c r="A47" s="425"/>
      <c r="B47" s="450"/>
      <c r="C47" s="450" t="s">
        <v>266</v>
      </c>
      <c r="D47" s="452">
        <v>0.0</v>
      </c>
      <c r="E47" s="538">
        <f t="shared" si="43"/>
        <v>0</v>
      </c>
      <c r="F47" s="501"/>
      <c r="G47" s="559" t="str">
        <f t="shared" si="44"/>
        <v>#DIV/0!</v>
      </c>
      <c r="H47" s="501"/>
      <c r="I47" s="542" t="str">
        <f t="shared" si="45"/>
        <v>#DIV/0!</v>
      </c>
      <c r="J47" s="452">
        <v>0.0</v>
      </c>
      <c r="K47" s="538">
        <f t="shared" si="46"/>
        <v>0</v>
      </c>
      <c r="L47" s="501"/>
      <c r="M47" s="559" t="str">
        <f t="shared" si="47"/>
        <v>#DIV/0!</v>
      </c>
      <c r="N47" s="501"/>
      <c r="O47" s="542" t="str">
        <f t="shared" si="48"/>
        <v>#DIV/0!</v>
      </c>
      <c r="P47" s="459"/>
      <c r="Q47" s="541" t="str">
        <f t="shared" si="49"/>
        <v>#DIV/0!</v>
      </c>
      <c r="R47" s="501"/>
      <c r="S47" s="559" t="str">
        <f t="shared" si="50"/>
        <v>#DIV/0!</v>
      </c>
      <c r="T47" s="501"/>
      <c r="U47" s="542" t="str">
        <f t="shared" si="51"/>
        <v>#DIV/0!</v>
      </c>
    </row>
    <row r="48" ht="15.75" customHeight="1">
      <c r="A48" s="425"/>
      <c r="B48" s="450"/>
      <c r="C48" s="450" t="s">
        <v>267</v>
      </c>
      <c r="D48" s="452">
        <v>92239.96</v>
      </c>
      <c r="E48" s="538">
        <f t="shared" si="43"/>
        <v>0.004493654712</v>
      </c>
      <c r="F48" s="501"/>
      <c r="G48" s="559" t="str">
        <f t="shared" si="44"/>
        <v>#DIV/0!</v>
      </c>
      <c r="H48" s="501"/>
      <c r="I48" s="542" t="str">
        <f t="shared" si="45"/>
        <v>#DIV/0!</v>
      </c>
      <c r="J48" s="452">
        <v>105159.0</v>
      </c>
      <c r="K48" s="538">
        <f t="shared" si="46"/>
        <v>0.005152938271</v>
      </c>
      <c r="L48" s="501"/>
      <c r="M48" s="559" t="str">
        <f t="shared" si="47"/>
        <v>#DIV/0!</v>
      </c>
      <c r="N48" s="501"/>
      <c r="O48" s="542" t="str">
        <f t="shared" si="48"/>
        <v>#DIV/0!</v>
      </c>
      <c r="P48" s="459"/>
      <c r="Q48" s="541" t="str">
        <f t="shared" si="49"/>
        <v>#DIV/0!</v>
      </c>
      <c r="R48" s="501"/>
      <c r="S48" s="559" t="str">
        <f t="shared" si="50"/>
        <v>#DIV/0!</v>
      </c>
      <c r="T48" s="501"/>
      <c r="U48" s="542" t="str">
        <f t="shared" si="51"/>
        <v>#DIV/0!</v>
      </c>
    </row>
    <row r="49" ht="15.75" customHeight="1">
      <c r="A49" s="425"/>
      <c r="B49" s="450"/>
      <c r="C49" s="450" t="s">
        <v>198</v>
      </c>
      <c r="D49" s="452">
        <v>209615.5</v>
      </c>
      <c r="E49" s="538">
        <f t="shared" si="43"/>
        <v>0.01021183963</v>
      </c>
      <c r="F49" s="501"/>
      <c r="G49" s="559" t="str">
        <f t="shared" si="44"/>
        <v>#DIV/0!</v>
      </c>
      <c r="H49" s="501"/>
      <c r="I49" s="542" t="str">
        <f t="shared" si="45"/>
        <v>#DIV/0!</v>
      </c>
      <c r="J49" s="452">
        <v>46519.0</v>
      </c>
      <c r="K49" s="538">
        <f t="shared" si="46"/>
        <v>0.002279496148</v>
      </c>
      <c r="L49" s="501"/>
      <c r="M49" s="559" t="str">
        <f t="shared" si="47"/>
        <v>#DIV/0!</v>
      </c>
      <c r="N49" s="501"/>
      <c r="O49" s="542" t="str">
        <f t="shared" si="48"/>
        <v>#DIV/0!</v>
      </c>
      <c r="P49" s="459"/>
      <c r="Q49" s="541" t="str">
        <f t="shared" si="49"/>
        <v>#DIV/0!</v>
      </c>
      <c r="R49" s="501"/>
      <c r="S49" s="559" t="str">
        <f t="shared" si="50"/>
        <v>#DIV/0!</v>
      </c>
      <c r="T49" s="501"/>
      <c r="U49" s="542" t="str">
        <f t="shared" si="51"/>
        <v>#DIV/0!</v>
      </c>
    </row>
    <row r="50" ht="15.75" customHeight="1">
      <c r="A50" s="425"/>
      <c r="B50" s="468"/>
      <c r="C50" s="468" t="s">
        <v>199</v>
      </c>
      <c r="D50" s="470">
        <v>3553.3333333333335</v>
      </c>
      <c r="E50" s="545">
        <f t="shared" si="43"/>
        <v>0.0001731077624</v>
      </c>
      <c r="F50" s="527"/>
      <c r="G50" s="559" t="str">
        <f t="shared" si="44"/>
        <v>#DIV/0!</v>
      </c>
      <c r="H50" s="527"/>
      <c r="I50" s="546" t="str">
        <f t="shared" si="45"/>
        <v>#DIV/0!</v>
      </c>
      <c r="J50" s="470">
        <v>611.0</v>
      </c>
      <c r="K50" s="545">
        <f t="shared" si="46"/>
        <v>0.00002993985568</v>
      </c>
      <c r="L50" s="527"/>
      <c r="M50" s="559" t="str">
        <f t="shared" si="47"/>
        <v>#DIV/0!</v>
      </c>
      <c r="N50" s="527"/>
      <c r="O50" s="546" t="str">
        <f t="shared" si="48"/>
        <v>#DIV/0!</v>
      </c>
      <c r="P50" s="472"/>
      <c r="Q50" s="554" t="str">
        <f t="shared" si="49"/>
        <v>#DIV/0!</v>
      </c>
      <c r="R50" s="527"/>
      <c r="S50" s="559" t="str">
        <f t="shared" si="50"/>
        <v>#DIV/0!</v>
      </c>
      <c r="T50" s="527"/>
      <c r="U50" s="546" t="str">
        <f t="shared" si="51"/>
        <v>#DIV/0!</v>
      </c>
    </row>
    <row r="51" ht="15.75" customHeight="1">
      <c r="A51" s="425"/>
      <c r="B51" s="474"/>
      <c r="C51" s="474" t="s">
        <v>200</v>
      </c>
      <c r="D51" s="444">
        <f>SUM(D45:D50)</f>
        <v>528195.6233</v>
      </c>
      <c r="E51" s="529">
        <f>D51/D29</f>
        <v>0.0257321095</v>
      </c>
      <c r="F51" s="530">
        <f>SUM(F45:F50)</f>
        <v>0</v>
      </c>
      <c r="G51" s="529" t="str">
        <f>F51/F29</f>
        <v>#DIV/0!</v>
      </c>
      <c r="H51" s="530">
        <f>SUM(H45:H50)</f>
        <v>0</v>
      </c>
      <c r="I51" s="531">
        <f>H51/H29</f>
        <v>0</v>
      </c>
      <c r="J51" s="444">
        <f>SUM(J45:J50)</f>
        <v>421384.94</v>
      </c>
      <c r="K51" s="529">
        <f>J51/J29</f>
        <v>0.02064845219</v>
      </c>
      <c r="L51" s="530">
        <f>SUM(L45:L50)</f>
        <v>0</v>
      </c>
      <c r="M51" s="529" t="str">
        <f>L51/L29</f>
        <v>#DIV/0!</v>
      </c>
      <c r="N51" s="530">
        <f>SUM(N45:N50)</f>
        <v>0</v>
      </c>
      <c r="O51" s="531">
        <f>N51/N29</f>
        <v>0</v>
      </c>
      <c r="P51" s="475">
        <f>SUM(P45:P50)</f>
        <v>0</v>
      </c>
      <c r="Q51" s="532" t="str">
        <f>P51/P29</f>
        <v>#DIV/0!</v>
      </c>
      <c r="R51" s="530">
        <f>SUM(R45:R50)</f>
        <v>0</v>
      </c>
      <c r="S51" s="529" t="str">
        <f>R51/R29</f>
        <v>#DIV/0!</v>
      </c>
      <c r="T51" s="530">
        <f>SUM(T45:T50)</f>
        <v>0</v>
      </c>
      <c r="U51" s="531" t="str">
        <f>T51/T29</f>
        <v>#DIV/0!</v>
      </c>
    </row>
    <row r="52" ht="15.75" hidden="1" customHeight="1">
      <c r="A52" s="425"/>
      <c r="B52" s="481"/>
      <c r="C52" s="481"/>
      <c r="D52" s="448"/>
      <c r="E52" s="522"/>
      <c r="F52" s="523"/>
      <c r="G52" s="522"/>
      <c r="H52" s="523"/>
      <c r="I52" s="524"/>
      <c r="J52" s="448"/>
      <c r="K52" s="522"/>
      <c r="L52" s="523"/>
      <c r="M52" s="522"/>
      <c r="N52" s="523"/>
      <c r="O52" s="524"/>
      <c r="P52" s="482"/>
      <c r="Q52" s="574"/>
      <c r="R52" s="523"/>
      <c r="S52" s="522"/>
      <c r="T52" s="523"/>
      <c r="U52" s="524"/>
    </row>
    <row r="53" ht="15.75" hidden="1" customHeight="1">
      <c r="A53" s="425"/>
      <c r="B53" s="450"/>
      <c r="C53" s="450"/>
      <c r="D53" s="452"/>
      <c r="E53" s="538"/>
      <c r="F53" s="501"/>
      <c r="G53" s="521"/>
      <c r="H53" s="501"/>
      <c r="I53" s="464"/>
      <c r="J53" s="452"/>
      <c r="K53" s="538"/>
      <c r="L53" s="501"/>
      <c r="M53" s="521"/>
      <c r="N53" s="501"/>
      <c r="O53" s="464"/>
      <c r="P53" s="459"/>
      <c r="Q53" s="541"/>
      <c r="R53" s="501"/>
      <c r="S53" s="521"/>
      <c r="T53" s="501"/>
      <c r="U53" s="464"/>
    </row>
    <row r="54" ht="15.75" hidden="1" customHeight="1">
      <c r="A54" s="425"/>
      <c r="B54" s="450"/>
      <c r="C54" s="450"/>
      <c r="D54" s="452"/>
      <c r="E54" s="538"/>
      <c r="F54" s="501"/>
      <c r="G54" s="521"/>
      <c r="H54" s="501"/>
      <c r="I54" s="464"/>
      <c r="J54" s="452"/>
      <c r="K54" s="538"/>
      <c r="L54" s="501"/>
      <c r="M54" s="521"/>
      <c r="N54" s="501"/>
      <c r="O54" s="464"/>
      <c r="P54" s="459"/>
      <c r="Q54" s="541"/>
      <c r="R54" s="501"/>
      <c r="S54" s="521"/>
      <c r="T54" s="501"/>
      <c r="U54" s="464"/>
    </row>
    <row r="55" ht="15.75" hidden="1" customHeight="1">
      <c r="A55" s="425"/>
      <c r="B55" s="450"/>
      <c r="C55" s="450"/>
      <c r="D55" s="452"/>
      <c r="E55" s="521"/>
      <c r="F55" s="501"/>
      <c r="G55" s="521"/>
      <c r="H55" s="501"/>
      <c r="I55" s="464"/>
      <c r="J55" s="452"/>
      <c r="K55" s="521"/>
      <c r="L55" s="501"/>
      <c r="M55" s="521"/>
      <c r="N55" s="501"/>
      <c r="O55" s="464"/>
      <c r="P55" s="459"/>
      <c r="Q55" s="552"/>
      <c r="R55" s="501"/>
      <c r="S55" s="521"/>
      <c r="T55" s="501"/>
      <c r="U55" s="464"/>
    </row>
    <row r="56" ht="15.75" hidden="1" customHeight="1">
      <c r="A56" s="425"/>
      <c r="B56" s="450"/>
      <c r="C56" s="450"/>
      <c r="D56" s="452"/>
      <c r="E56" s="521"/>
      <c r="F56" s="501"/>
      <c r="G56" s="521"/>
      <c r="H56" s="501"/>
      <c r="I56" s="464"/>
      <c r="J56" s="452"/>
      <c r="K56" s="521"/>
      <c r="L56" s="501"/>
      <c r="M56" s="521"/>
      <c r="N56" s="501"/>
      <c r="O56" s="464"/>
      <c r="P56" s="459"/>
      <c r="Q56" s="552"/>
      <c r="R56" s="501"/>
      <c r="S56" s="521"/>
      <c r="T56" s="501"/>
      <c r="U56" s="464"/>
    </row>
    <row r="57" ht="15.75" hidden="1" customHeight="1">
      <c r="A57" s="425"/>
      <c r="B57" s="450"/>
      <c r="C57" s="450"/>
      <c r="D57" s="452"/>
      <c r="E57" s="521"/>
      <c r="F57" s="501"/>
      <c r="G57" s="521"/>
      <c r="H57" s="501"/>
      <c r="I57" s="464"/>
      <c r="J57" s="452"/>
      <c r="K57" s="521"/>
      <c r="L57" s="501"/>
      <c r="M57" s="521"/>
      <c r="N57" s="501"/>
      <c r="O57" s="464"/>
      <c r="P57" s="459"/>
      <c r="Q57" s="552"/>
      <c r="R57" s="501"/>
      <c r="S57" s="521"/>
      <c r="T57" s="501"/>
      <c r="U57" s="464"/>
    </row>
    <row r="58" ht="15.75" hidden="1" customHeight="1">
      <c r="A58" s="425"/>
      <c r="B58" s="450"/>
      <c r="C58" s="450"/>
      <c r="D58" s="452"/>
      <c r="E58" s="521"/>
      <c r="F58" s="501"/>
      <c r="G58" s="521"/>
      <c r="H58" s="501"/>
      <c r="I58" s="464"/>
      <c r="J58" s="452"/>
      <c r="K58" s="521"/>
      <c r="L58" s="501"/>
      <c r="M58" s="521"/>
      <c r="N58" s="501"/>
      <c r="O58" s="464"/>
      <c r="P58" s="459"/>
      <c r="Q58" s="552"/>
      <c r="R58" s="501"/>
      <c r="S58" s="521"/>
      <c r="T58" s="501"/>
      <c r="U58" s="464"/>
    </row>
    <row r="59" ht="15.75" customHeight="1">
      <c r="A59" s="425"/>
      <c r="B59" s="575" t="s">
        <v>204</v>
      </c>
      <c r="C59" s="576"/>
      <c r="D59" s="470"/>
      <c r="E59" s="526"/>
      <c r="F59" s="527"/>
      <c r="G59" s="526"/>
      <c r="H59" s="527"/>
      <c r="I59" s="528"/>
      <c r="J59" s="470"/>
      <c r="K59" s="526"/>
      <c r="L59" s="527"/>
      <c r="M59" s="526"/>
      <c r="N59" s="527"/>
      <c r="O59" s="528"/>
      <c r="P59" s="472"/>
      <c r="Q59" s="577"/>
      <c r="R59" s="527"/>
      <c r="S59" s="526"/>
      <c r="T59" s="527"/>
      <c r="U59" s="528"/>
    </row>
    <row r="60" ht="15.75" customHeight="1">
      <c r="A60" s="425"/>
      <c r="B60" s="474"/>
      <c r="C60" s="492" t="s">
        <v>205</v>
      </c>
      <c r="D60" s="444">
        <f>SUM(D61:D67)</f>
        <v>72049</v>
      </c>
      <c r="E60" s="529">
        <f t="shared" ref="E60:E67" si="52">D60/D$29</f>
        <v>0.003510011586</v>
      </c>
      <c r="F60" s="530">
        <f>SUM(F61:F67)</f>
        <v>0</v>
      </c>
      <c r="G60" s="529" t="str">
        <f t="shared" ref="G60:G67" si="53">F60/F$29</f>
        <v>#DIV/0!</v>
      </c>
      <c r="H60" s="530">
        <f>SUM(H61:H67)</f>
        <v>72049</v>
      </c>
      <c r="I60" s="531">
        <f>H60/H$29</f>
        <v>0.003510011586</v>
      </c>
      <c r="J60" s="444">
        <f>SUM(J61:J67)</f>
        <v>0</v>
      </c>
      <c r="K60" s="529">
        <f t="shared" ref="K60:K67" si="54">J60/J$29</f>
        <v>0</v>
      </c>
      <c r="L60" s="530">
        <f>SUM(L61:L67)</f>
        <v>0</v>
      </c>
      <c r="M60" s="529" t="str">
        <f t="shared" ref="M60:M67" si="55">L60/L$29</f>
        <v>#DIV/0!</v>
      </c>
      <c r="N60" s="530">
        <f>SUM(N61:N67)</f>
        <v>0</v>
      </c>
      <c r="O60" s="531">
        <f>N60/N$29</f>
        <v>0</v>
      </c>
      <c r="P60" s="475">
        <f>SUM(P61:P67)</f>
        <v>0</v>
      </c>
      <c r="Q60" s="532" t="str">
        <f t="shared" ref="Q60:Q67" si="56">P60/P$29</f>
        <v>#DIV/0!</v>
      </c>
      <c r="R60" s="530">
        <f>SUM(R61:R67)</f>
        <v>0</v>
      </c>
      <c r="S60" s="529" t="str">
        <f t="shared" ref="S60:S67" si="57">R60/R$29</f>
        <v>#DIV/0!</v>
      </c>
      <c r="T60" s="530">
        <f>SUM(T61:T67)</f>
        <v>0</v>
      </c>
      <c r="U60" s="531" t="str">
        <f>T60/T$29</f>
        <v>#DIV/0!</v>
      </c>
    </row>
    <row r="61" ht="15.75" customHeight="1">
      <c r="A61" s="425"/>
      <c r="B61" s="481"/>
      <c r="C61" s="481" t="s">
        <v>268</v>
      </c>
      <c r="D61" s="448">
        <v>72049.0</v>
      </c>
      <c r="E61" s="533">
        <f t="shared" si="52"/>
        <v>0.003510011586</v>
      </c>
      <c r="F61" s="523"/>
      <c r="G61" s="533" t="str">
        <f t="shared" si="53"/>
        <v>#DIV/0!</v>
      </c>
      <c r="H61" s="523">
        <f t="shared" ref="H61:H63" si="58">D61-F61</f>
        <v>72049</v>
      </c>
      <c r="I61" s="542" t="str">
        <f t="shared" ref="I61:I67" si="59">H61/F61</f>
        <v>#DIV/0!</v>
      </c>
      <c r="J61" s="448"/>
      <c r="K61" s="533">
        <f t="shared" si="54"/>
        <v>0</v>
      </c>
      <c r="L61" s="523"/>
      <c r="M61" s="533" t="str">
        <f t="shared" si="55"/>
        <v>#DIV/0!</v>
      </c>
      <c r="N61" s="523">
        <f t="shared" ref="N61:N63" si="60">J61-L61</f>
        <v>0</v>
      </c>
      <c r="O61" s="542" t="str">
        <f t="shared" ref="O61:O67" si="61">N61/L61</f>
        <v>#DIV/0!</v>
      </c>
      <c r="P61" s="482"/>
      <c r="Q61" s="535" t="str">
        <f t="shared" si="56"/>
        <v>#DIV/0!</v>
      </c>
      <c r="R61" s="523"/>
      <c r="S61" s="533" t="str">
        <f t="shared" si="57"/>
        <v>#DIV/0!</v>
      </c>
      <c r="T61" s="523">
        <f t="shared" ref="T61:T63" si="62">P61-R61</f>
        <v>0</v>
      </c>
      <c r="U61" s="542" t="str">
        <f t="shared" ref="U61:U67" si="63">T61/R61</f>
        <v>#DIV/0!</v>
      </c>
    </row>
    <row r="62" ht="15.75" customHeight="1">
      <c r="A62" s="425"/>
      <c r="B62" s="450"/>
      <c r="C62" s="450" t="s">
        <v>269</v>
      </c>
      <c r="D62" s="452"/>
      <c r="E62" s="538">
        <f t="shared" si="52"/>
        <v>0</v>
      </c>
      <c r="F62" s="501"/>
      <c r="G62" s="538" t="str">
        <f t="shared" si="53"/>
        <v>#DIV/0!</v>
      </c>
      <c r="H62" s="501">
        <f t="shared" si="58"/>
        <v>0</v>
      </c>
      <c r="I62" s="542" t="str">
        <f t="shared" si="59"/>
        <v>#DIV/0!</v>
      </c>
      <c r="J62" s="452"/>
      <c r="K62" s="538">
        <f t="shared" si="54"/>
        <v>0</v>
      </c>
      <c r="L62" s="501"/>
      <c r="M62" s="538" t="str">
        <f t="shared" si="55"/>
        <v>#DIV/0!</v>
      </c>
      <c r="N62" s="501">
        <f t="shared" si="60"/>
        <v>0</v>
      </c>
      <c r="O62" s="542" t="str">
        <f t="shared" si="61"/>
        <v>#DIV/0!</v>
      </c>
      <c r="P62" s="459"/>
      <c r="Q62" s="541" t="str">
        <f t="shared" si="56"/>
        <v>#DIV/0!</v>
      </c>
      <c r="R62" s="501"/>
      <c r="S62" s="538" t="str">
        <f t="shared" si="57"/>
        <v>#DIV/0!</v>
      </c>
      <c r="T62" s="501">
        <f t="shared" si="62"/>
        <v>0</v>
      </c>
      <c r="U62" s="542" t="str">
        <f t="shared" si="63"/>
        <v>#DIV/0!</v>
      </c>
    </row>
    <row r="63" ht="15.75" customHeight="1">
      <c r="A63" s="425"/>
      <c r="B63" s="450"/>
      <c r="C63" s="450" t="s">
        <v>213</v>
      </c>
      <c r="D63" s="452"/>
      <c r="E63" s="538">
        <f t="shared" si="52"/>
        <v>0</v>
      </c>
      <c r="F63" s="501"/>
      <c r="G63" s="538" t="str">
        <f t="shared" si="53"/>
        <v>#DIV/0!</v>
      </c>
      <c r="H63" s="501">
        <f t="shared" si="58"/>
        <v>0</v>
      </c>
      <c r="I63" s="542" t="str">
        <f t="shared" si="59"/>
        <v>#DIV/0!</v>
      </c>
      <c r="J63" s="452"/>
      <c r="K63" s="538">
        <f t="shared" si="54"/>
        <v>0</v>
      </c>
      <c r="L63" s="501"/>
      <c r="M63" s="538" t="str">
        <f t="shared" si="55"/>
        <v>#DIV/0!</v>
      </c>
      <c r="N63" s="501">
        <f t="shared" si="60"/>
        <v>0</v>
      </c>
      <c r="O63" s="542" t="str">
        <f t="shared" si="61"/>
        <v>#DIV/0!</v>
      </c>
      <c r="P63" s="459"/>
      <c r="Q63" s="541" t="str">
        <f t="shared" si="56"/>
        <v>#DIV/0!</v>
      </c>
      <c r="R63" s="501"/>
      <c r="S63" s="538" t="str">
        <f t="shared" si="57"/>
        <v>#DIV/0!</v>
      </c>
      <c r="T63" s="501">
        <f t="shared" si="62"/>
        <v>0</v>
      </c>
      <c r="U63" s="542" t="str">
        <f t="shared" si="63"/>
        <v>#DIV/0!</v>
      </c>
    </row>
    <row r="64" ht="15.75" customHeight="1">
      <c r="A64" s="425"/>
      <c r="B64" s="450"/>
      <c r="C64" s="450" t="s">
        <v>212</v>
      </c>
      <c r="D64" s="452"/>
      <c r="E64" s="538">
        <f t="shared" si="52"/>
        <v>0</v>
      </c>
      <c r="F64" s="501"/>
      <c r="G64" s="538" t="str">
        <f t="shared" si="53"/>
        <v>#DIV/0!</v>
      </c>
      <c r="H64" s="501"/>
      <c r="I64" s="542" t="str">
        <f t="shared" si="59"/>
        <v>#DIV/0!</v>
      </c>
      <c r="J64" s="452"/>
      <c r="K64" s="538">
        <f t="shared" si="54"/>
        <v>0</v>
      </c>
      <c r="L64" s="501"/>
      <c r="M64" s="538" t="str">
        <f t="shared" si="55"/>
        <v>#DIV/0!</v>
      </c>
      <c r="N64" s="501"/>
      <c r="O64" s="542" t="str">
        <f t="shared" si="61"/>
        <v>#DIV/0!</v>
      </c>
      <c r="P64" s="459"/>
      <c r="Q64" s="541" t="str">
        <f t="shared" si="56"/>
        <v>#DIV/0!</v>
      </c>
      <c r="R64" s="501"/>
      <c r="S64" s="538" t="str">
        <f t="shared" si="57"/>
        <v>#DIV/0!</v>
      </c>
      <c r="T64" s="501"/>
      <c r="U64" s="542" t="str">
        <f t="shared" si="63"/>
        <v>#DIV/0!</v>
      </c>
    </row>
    <row r="65" ht="15.75" customHeight="1">
      <c r="A65" s="425"/>
      <c r="B65" s="450"/>
      <c r="C65" s="450" t="s">
        <v>207</v>
      </c>
      <c r="D65" s="452"/>
      <c r="E65" s="538">
        <f t="shared" si="52"/>
        <v>0</v>
      </c>
      <c r="F65" s="501"/>
      <c r="G65" s="538" t="str">
        <f t="shared" si="53"/>
        <v>#DIV/0!</v>
      </c>
      <c r="H65" s="501">
        <f t="shared" ref="H65:H67" si="64">D65-F65</f>
        <v>0</v>
      </c>
      <c r="I65" s="542" t="str">
        <f t="shared" si="59"/>
        <v>#DIV/0!</v>
      </c>
      <c r="J65" s="452"/>
      <c r="K65" s="538">
        <f t="shared" si="54"/>
        <v>0</v>
      </c>
      <c r="L65" s="501"/>
      <c r="M65" s="538" t="str">
        <f t="shared" si="55"/>
        <v>#DIV/0!</v>
      </c>
      <c r="N65" s="501">
        <f t="shared" ref="N65:N67" si="65">J65-L65</f>
        <v>0</v>
      </c>
      <c r="O65" s="542" t="str">
        <f t="shared" si="61"/>
        <v>#DIV/0!</v>
      </c>
      <c r="P65" s="459"/>
      <c r="Q65" s="541" t="str">
        <f t="shared" si="56"/>
        <v>#DIV/0!</v>
      </c>
      <c r="R65" s="501"/>
      <c r="S65" s="538" t="str">
        <f t="shared" si="57"/>
        <v>#DIV/0!</v>
      </c>
      <c r="T65" s="501">
        <f t="shared" ref="T65:T67" si="66">P65-R65</f>
        <v>0</v>
      </c>
      <c r="U65" s="542" t="str">
        <f t="shared" si="63"/>
        <v>#DIV/0!</v>
      </c>
    </row>
    <row r="66" ht="15.75" customHeight="1">
      <c r="A66" s="425"/>
      <c r="B66" s="450"/>
      <c r="C66" s="450" t="s">
        <v>270</v>
      </c>
      <c r="D66" s="452"/>
      <c r="E66" s="538">
        <f t="shared" si="52"/>
        <v>0</v>
      </c>
      <c r="F66" s="501"/>
      <c r="G66" s="538" t="str">
        <f t="shared" si="53"/>
        <v>#DIV/0!</v>
      </c>
      <c r="H66" s="501">
        <f t="shared" si="64"/>
        <v>0</v>
      </c>
      <c r="I66" s="542" t="str">
        <f t="shared" si="59"/>
        <v>#DIV/0!</v>
      </c>
      <c r="J66" s="452"/>
      <c r="K66" s="538">
        <f t="shared" si="54"/>
        <v>0</v>
      </c>
      <c r="L66" s="501"/>
      <c r="M66" s="538" t="str">
        <f t="shared" si="55"/>
        <v>#DIV/0!</v>
      </c>
      <c r="N66" s="501">
        <f t="shared" si="65"/>
        <v>0</v>
      </c>
      <c r="O66" s="542" t="str">
        <f t="shared" si="61"/>
        <v>#DIV/0!</v>
      </c>
      <c r="P66" s="459"/>
      <c r="Q66" s="541" t="str">
        <f t="shared" si="56"/>
        <v>#DIV/0!</v>
      </c>
      <c r="R66" s="501"/>
      <c r="S66" s="538" t="str">
        <f t="shared" si="57"/>
        <v>#DIV/0!</v>
      </c>
      <c r="T66" s="501">
        <f t="shared" si="66"/>
        <v>0</v>
      </c>
      <c r="U66" s="542" t="str">
        <f t="shared" si="63"/>
        <v>#DIV/0!</v>
      </c>
    </row>
    <row r="67" ht="15.75" customHeight="1">
      <c r="A67" s="425"/>
      <c r="B67" s="450"/>
      <c r="C67" s="450" t="s">
        <v>271</v>
      </c>
      <c r="D67" s="452"/>
      <c r="E67" s="538">
        <f t="shared" si="52"/>
        <v>0</v>
      </c>
      <c r="F67" s="501"/>
      <c r="G67" s="538" t="str">
        <f t="shared" si="53"/>
        <v>#DIV/0!</v>
      </c>
      <c r="H67" s="501">
        <f t="shared" si="64"/>
        <v>0</v>
      </c>
      <c r="I67" s="542" t="str">
        <f t="shared" si="59"/>
        <v>#DIV/0!</v>
      </c>
      <c r="J67" s="452"/>
      <c r="K67" s="538">
        <f t="shared" si="54"/>
        <v>0</v>
      </c>
      <c r="L67" s="501"/>
      <c r="M67" s="538" t="str">
        <f t="shared" si="55"/>
        <v>#DIV/0!</v>
      </c>
      <c r="N67" s="501">
        <f t="shared" si="65"/>
        <v>0</v>
      </c>
      <c r="O67" s="542" t="str">
        <f t="shared" si="61"/>
        <v>#DIV/0!</v>
      </c>
      <c r="P67" s="459"/>
      <c r="Q67" s="541" t="str">
        <f t="shared" si="56"/>
        <v>#DIV/0!</v>
      </c>
      <c r="R67" s="501"/>
      <c r="S67" s="538" t="str">
        <f t="shared" si="57"/>
        <v>#DIV/0!</v>
      </c>
      <c r="T67" s="501">
        <f t="shared" si="66"/>
        <v>0</v>
      </c>
      <c r="U67" s="542" t="str">
        <f t="shared" si="63"/>
        <v>#DIV/0!</v>
      </c>
    </row>
    <row r="68" ht="15.75" customHeight="1">
      <c r="A68" s="425"/>
      <c r="B68" s="468"/>
      <c r="C68" s="578"/>
      <c r="D68" s="470"/>
      <c r="E68" s="526"/>
      <c r="F68" s="527"/>
      <c r="G68" s="526"/>
      <c r="H68" s="527"/>
      <c r="I68" s="528"/>
      <c r="J68" s="470"/>
      <c r="K68" s="526"/>
      <c r="L68" s="527"/>
      <c r="M68" s="526"/>
      <c r="N68" s="527"/>
      <c r="O68" s="528"/>
      <c r="P68" s="472"/>
      <c r="Q68" s="577"/>
      <c r="R68" s="527"/>
      <c r="S68" s="526"/>
      <c r="T68" s="527"/>
      <c r="U68" s="528"/>
    </row>
    <row r="69" ht="15.75" customHeight="1">
      <c r="A69" s="425"/>
      <c r="B69" s="474"/>
      <c r="C69" s="492" t="s">
        <v>35</v>
      </c>
      <c r="D69" s="444">
        <f>SUM(D70:D73)</f>
        <v>89699.51</v>
      </c>
      <c r="E69" s="529">
        <f>D69/D29</f>
        <v>0.004369891593</v>
      </c>
      <c r="F69" s="530">
        <f>SUM(F70:F73)</f>
        <v>0</v>
      </c>
      <c r="G69" s="529" t="str">
        <f>F69/F29</f>
        <v>#DIV/0!</v>
      </c>
      <c r="H69" s="530">
        <f>SUM(H70:H73)</f>
        <v>89699.51</v>
      </c>
      <c r="I69" s="531">
        <f>H69/H29</f>
        <v>0.004369891593</v>
      </c>
      <c r="J69" s="444">
        <f>SUM(J70:J73)</f>
        <v>83781</v>
      </c>
      <c r="K69" s="529">
        <f>J69/J29</f>
        <v>0.004105386332</v>
      </c>
      <c r="L69" s="530">
        <f>SUM(L70:L73)</f>
        <v>0</v>
      </c>
      <c r="M69" s="529" t="str">
        <f>L69/L29</f>
        <v>#DIV/0!</v>
      </c>
      <c r="N69" s="530">
        <f>SUM(N70:N73)</f>
        <v>83781</v>
      </c>
      <c r="O69" s="531">
        <f>N69/N29</f>
        <v>0.004105386332</v>
      </c>
      <c r="P69" s="475">
        <f>SUM(P70:P73)</f>
        <v>0</v>
      </c>
      <c r="Q69" s="532" t="str">
        <f>P69/P29</f>
        <v>#DIV/0!</v>
      </c>
      <c r="R69" s="530">
        <f>SUM(R70:R73)</f>
        <v>0</v>
      </c>
      <c r="S69" s="529" t="str">
        <f>R69/R29</f>
        <v>#DIV/0!</v>
      </c>
      <c r="T69" s="530">
        <f>SUM(T70:T73)</f>
        <v>0</v>
      </c>
      <c r="U69" s="531" t="str">
        <f>T69/T29</f>
        <v>#DIV/0!</v>
      </c>
    </row>
    <row r="70" ht="15.75" customHeight="1">
      <c r="A70" s="425"/>
      <c r="B70" s="481"/>
      <c r="C70" s="579" t="s">
        <v>215</v>
      </c>
      <c r="D70" s="448"/>
      <c r="E70" s="533">
        <f t="shared" ref="E70:E71" si="67">D70/D$29</f>
        <v>0</v>
      </c>
      <c r="F70" s="523"/>
      <c r="G70" s="538" t="str">
        <f t="shared" ref="G70:G73" si="68">F70/F$29</f>
        <v>#DIV/0!</v>
      </c>
      <c r="H70" s="523">
        <f t="shared" ref="H70:H73" si="69">D70-F70</f>
        <v>0</v>
      </c>
      <c r="I70" s="536" t="str">
        <f t="shared" ref="I70:I73" si="70">IFERROR((H70/F70),"")</f>
        <v/>
      </c>
      <c r="J70" s="448"/>
      <c r="K70" s="533">
        <f t="shared" ref="K70:K71" si="71">J70/J$29</f>
        <v>0</v>
      </c>
      <c r="L70" s="523"/>
      <c r="M70" s="538" t="str">
        <f t="shared" ref="M70:M73" si="72">L70/L$29</f>
        <v>#DIV/0!</v>
      </c>
      <c r="N70" s="523">
        <f t="shared" ref="N70:N73" si="73">J70-L70</f>
        <v>0</v>
      </c>
      <c r="O70" s="536" t="str">
        <f t="shared" ref="O70:O73" si="74">IFERROR((N70/L70),"")</f>
        <v/>
      </c>
      <c r="P70" s="482"/>
      <c r="Q70" s="535" t="str">
        <f t="shared" ref="Q70:Q71" si="75">P70/P$29</f>
        <v>#DIV/0!</v>
      </c>
      <c r="R70" s="523"/>
      <c r="S70" s="538" t="str">
        <f t="shared" ref="S70:S73" si="76">R70/R$29</f>
        <v>#DIV/0!</v>
      </c>
      <c r="T70" s="523">
        <f t="shared" ref="T70:T73" si="77">P70-R70</f>
        <v>0</v>
      </c>
      <c r="U70" s="536" t="str">
        <f t="shared" ref="U70:U73" si="78">IFERROR((T70/R70),"")</f>
        <v/>
      </c>
    </row>
    <row r="71" ht="15.75" customHeight="1">
      <c r="A71" s="425"/>
      <c r="B71" s="450"/>
      <c r="C71" s="450" t="s">
        <v>216</v>
      </c>
      <c r="D71" s="452"/>
      <c r="E71" s="538">
        <f t="shared" si="67"/>
        <v>0</v>
      </c>
      <c r="F71" s="501"/>
      <c r="G71" s="538" t="str">
        <f t="shared" si="68"/>
        <v>#DIV/0!</v>
      </c>
      <c r="H71" s="501">
        <f t="shared" si="69"/>
        <v>0</v>
      </c>
      <c r="I71" s="542" t="str">
        <f t="shared" si="70"/>
        <v/>
      </c>
      <c r="J71" s="452"/>
      <c r="K71" s="538">
        <f t="shared" si="71"/>
        <v>0</v>
      </c>
      <c r="L71" s="501"/>
      <c r="M71" s="538" t="str">
        <f t="shared" si="72"/>
        <v>#DIV/0!</v>
      </c>
      <c r="N71" s="501">
        <f t="shared" si="73"/>
        <v>0</v>
      </c>
      <c r="O71" s="542" t="str">
        <f t="shared" si="74"/>
        <v/>
      </c>
      <c r="P71" s="459"/>
      <c r="Q71" s="541" t="str">
        <f t="shared" si="75"/>
        <v>#DIV/0!</v>
      </c>
      <c r="R71" s="501"/>
      <c r="S71" s="538" t="str">
        <f t="shared" si="76"/>
        <v>#DIV/0!</v>
      </c>
      <c r="T71" s="501">
        <f t="shared" si="77"/>
        <v>0</v>
      </c>
      <c r="U71" s="542" t="str">
        <f t="shared" si="78"/>
        <v/>
      </c>
    </row>
    <row r="72" ht="15.75" customHeight="1">
      <c r="A72" s="425"/>
      <c r="B72" s="450"/>
      <c r="C72" s="450" t="s">
        <v>272</v>
      </c>
      <c r="D72" s="452">
        <v>18875.01</v>
      </c>
      <c r="E72" s="538">
        <f>D72/D17</f>
        <v>0.02643595849</v>
      </c>
      <c r="F72" s="501"/>
      <c r="G72" s="538" t="str">
        <f t="shared" si="68"/>
        <v>#DIV/0!</v>
      </c>
      <c r="H72" s="501">
        <f t="shared" si="69"/>
        <v>18875.01</v>
      </c>
      <c r="I72" s="542" t="str">
        <f t="shared" si="70"/>
        <v/>
      </c>
      <c r="J72" s="452">
        <v>19960.0</v>
      </c>
      <c r="K72" s="538">
        <f>J72/J17</f>
        <v>0.02773836441</v>
      </c>
      <c r="L72" s="501"/>
      <c r="M72" s="538" t="str">
        <f t="shared" si="72"/>
        <v>#DIV/0!</v>
      </c>
      <c r="N72" s="501">
        <f t="shared" si="73"/>
        <v>19960</v>
      </c>
      <c r="O72" s="542" t="str">
        <f t="shared" si="74"/>
        <v/>
      </c>
      <c r="P72" s="459"/>
      <c r="Q72" s="541" t="str">
        <f>P72/P17</f>
        <v>#DIV/0!</v>
      </c>
      <c r="R72" s="501"/>
      <c r="S72" s="538" t="str">
        <f t="shared" si="76"/>
        <v>#DIV/0!</v>
      </c>
      <c r="T72" s="501">
        <f t="shared" si="77"/>
        <v>0</v>
      </c>
      <c r="U72" s="542" t="str">
        <f t="shared" si="78"/>
        <v/>
      </c>
    </row>
    <row r="73" ht="15.75" customHeight="1">
      <c r="A73" s="425"/>
      <c r="B73" s="450"/>
      <c r="C73" s="450" t="s">
        <v>273</v>
      </c>
      <c r="D73" s="452">
        <v>70824.5</v>
      </c>
      <c r="E73" s="538">
        <f>D73/D$29</f>
        <v>0.003450357612</v>
      </c>
      <c r="F73" s="501"/>
      <c r="G73" s="538" t="str">
        <f t="shared" si="68"/>
        <v>#DIV/0!</v>
      </c>
      <c r="H73" s="501">
        <f t="shared" si="69"/>
        <v>70824.5</v>
      </c>
      <c r="I73" s="542" t="str">
        <f t="shared" si="70"/>
        <v/>
      </c>
      <c r="J73" s="452">
        <v>63821.0</v>
      </c>
      <c r="K73" s="538">
        <f>J73/J$29</f>
        <v>0.003127318379</v>
      </c>
      <c r="L73" s="501"/>
      <c r="M73" s="538" t="str">
        <f t="shared" si="72"/>
        <v>#DIV/0!</v>
      </c>
      <c r="N73" s="501">
        <f t="shared" si="73"/>
        <v>63821</v>
      </c>
      <c r="O73" s="542" t="str">
        <f t="shared" si="74"/>
        <v/>
      </c>
      <c r="P73" s="459"/>
      <c r="Q73" s="541" t="str">
        <f>P73/P$29</f>
        <v>#DIV/0!</v>
      </c>
      <c r="R73" s="501"/>
      <c r="S73" s="538" t="str">
        <f t="shared" si="76"/>
        <v>#DIV/0!</v>
      </c>
      <c r="T73" s="501">
        <f t="shared" si="77"/>
        <v>0</v>
      </c>
      <c r="U73" s="542" t="str">
        <f t="shared" si="78"/>
        <v/>
      </c>
    </row>
    <row r="74" ht="15.75" customHeight="1">
      <c r="A74" s="425"/>
      <c r="B74" s="468"/>
      <c r="C74" s="468"/>
      <c r="D74" s="470"/>
      <c r="E74" s="526"/>
      <c r="F74" s="527"/>
      <c r="G74" s="526"/>
      <c r="H74" s="527"/>
      <c r="I74" s="528"/>
      <c r="J74" s="470"/>
      <c r="K74" s="526"/>
      <c r="L74" s="527"/>
      <c r="M74" s="526"/>
      <c r="N74" s="527"/>
      <c r="O74" s="528"/>
      <c r="P74" s="472"/>
      <c r="Q74" s="577"/>
      <c r="R74" s="527"/>
      <c r="S74" s="526"/>
      <c r="T74" s="527"/>
      <c r="U74" s="528"/>
    </row>
    <row r="75" ht="15.75" customHeight="1">
      <c r="A75" s="425"/>
      <c r="B75" s="474"/>
      <c r="C75" s="492" t="s">
        <v>36</v>
      </c>
      <c r="D75" s="444">
        <f>SUM(D76:D79)</f>
        <v>1817305.833</v>
      </c>
      <c r="E75" s="529">
        <f>D75/D$29</f>
        <v>0.08853369971</v>
      </c>
      <c r="F75" s="530">
        <f>SUM(F76:F79)</f>
        <v>1419717</v>
      </c>
      <c r="G75" s="529" t="str">
        <f>F75/F$29</f>
        <v>#DIV/0!</v>
      </c>
      <c r="H75" s="530">
        <f>SUM(H76:H79)</f>
        <v>1817305.833</v>
      </c>
      <c r="I75" s="531">
        <f>H75/H$29</f>
        <v>0.08853369971</v>
      </c>
      <c r="J75" s="444">
        <f>SUM(J76:J79)</f>
        <v>1848628</v>
      </c>
      <c r="K75" s="529">
        <f t="shared" ref="K75:K79" si="79">J75/J$29</f>
        <v>0.09058536093</v>
      </c>
      <c r="L75" s="530">
        <f>SUM(L76:L79)</f>
        <v>0</v>
      </c>
      <c r="M75" s="529" t="str">
        <f t="shared" ref="M75:M79" si="80">L75/L$29</f>
        <v>#DIV/0!</v>
      </c>
      <c r="N75" s="530">
        <f>SUM(N76:N79)</f>
        <v>1848628</v>
      </c>
      <c r="O75" s="531">
        <f>N75/N$29</f>
        <v>0.09058536093</v>
      </c>
      <c r="P75" s="475">
        <f>SUM(P76:P79)</f>
        <v>0</v>
      </c>
      <c r="Q75" s="532" t="str">
        <f t="shared" ref="Q75:Q79" si="81">P75/P$29</f>
        <v>#DIV/0!</v>
      </c>
      <c r="R75" s="530">
        <f>SUM(R76:R79)</f>
        <v>0</v>
      </c>
      <c r="S75" s="529" t="str">
        <f t="shared" ref="S75:S79" si="82">R75/R$29</f>
        <v>#DIV/0!</v>
      </c>
      <c r="T75" s="530">
        <f>SUM(T76:T79)</f>
        <v>0</v>
      </c>
      <c r="U75" s="531" t="str">
        <f>T75/T$29</f>
        <v>#DIV/0!</v>
      </c>
    </row>
    <row r="76" ht="15.75" customHeight="1">
      <c r="A76" s="425"/>
      <c r="B76" s="481"/>
      <c r="C76" s="481" t="s">
        <v>220</v>
      </c>
      <c r="D76" s="448">
        <v>1419717.0</v>
      </c>
      <c r="E76" s="448">
        <v>1419717.0</v>
      </c>
      <c r="F76" s="448">
        <v>1419717.0</v>
      </c>
      <c r="G76" s="448">
        <v>1419717.0</v>
      </c>
      <c r="H76" s="448">
        <v>1419717.0</v>
      </c>
      <c r="I76" s="580">
        <v>1419717.0</v>
      </c>
      <c r="J76" s="448">
        <v>1468467.0</v>
      </c>
      <c r="K76" s="533">
        <f t="shared" si="79"/>
        <v>0.07195693953</v>
      </c>
      <c r="L76" s="523"/>
      <c r="M76" s="533" t="str">
        <f t="shared" si="80"/>
        <v>#DIV/0!</v>
      </c>
      <c r="N76" s="523">
        <f t="shared" ref="N76:N79" si="83">J76-L76</f>
        <v>1468467</v>
      </c>
      <c r="O76" s="536" t="str">
        <f t="shared" ref="O76:O79" si="84">IFERROR((N76/L76),"")</f>
        <v/>
      </c>
      <c r="P76" s="482"/>
      <c r="Q76" s="535" t="str">
        <f t="shared" si="81"/>
        <v>#DIV/0!</v>
      </c>
      <c r="R76" s="523"/>
      <c r="S76" s="533" t="str">
        <f t="shared" si="82"/>
        <v>#DIV/0!</v>
      </c>
      <c r="T76" s="523">
        <f t="shared" ref="T76:T79" si="85">P76-R76</f>
        <v>0</v>
      </c>
      <c r="U76" s="536" t="str">
        <f t="shared" ref="U76:U79" si="86">IFERROR((T76/R76),"")</f>
        <v/>
      </c>
    </row>
    <row r="77" ht="15.75" customHeight="1">
      <c r="A77" s="425"/>
      <c r="B77" s="450"/>
      <c r="C77" s="450" t="s">
        <v>221</v>
      </c>
      <c r="D77" s="452">
        <v>344541.5</v>
      </c>
      <c r="E77" s="538">
        <f t="shared" ref="E77:E79" si="87">D77/D$29</f>
        <v>0.01678503042</v>
      </c>
      <c r="F77" s="501"/>
      <c r="G77" s="538" t="str">
        <f t="shared" ref="G77:G79" si="88">F77/F$29</f>
        <v>#DIV/0!</v>
      </c>
      <c r="H77" s="501">
        <f t="shared" ref="H77:H79" si="89">D77-F77</f>
        <v>344541.5</v>
      </c>
      <c r="I77" s="542" t="str">
        <f t="shared" ref="I77:I79" si="90">IFERROR((H77/F77),"")</f>
        <v/>
      </c>
      <c r="J77" s="452">
        <v>340560.0</v>
      </c>
      <c r="K77" s="538">
        <f t="shared" si="79"/>
        <v>0.01668791694</v>
      </c>
      <c r="L77" s="501"/>
      <c r="M77" s="538" t="str">
        <f t="shared" si="80"/>
        <v>#DIV/0!</v>
      </c>
      <c r="N77" s="501">
        <f t="shared" si="83"/>
        <v>340560</v>
      </c>
      <c r="O77" s="542" t="str">
        <f t="shared" si="84"/>
        <v/>
      </c>
      <c r="P77" s="459"/>
      <c r="Q77" s="541" t="str">
        <f t="shared" si="81"/>
        <v>#DIV/0!</v>
      </c>
      <c r="R77" s="501"/>
      <c r="S77" s="538" t="str">
        <f t="shared" si="82"/>
        <v>#DIV/0!</v>
      </c>
      <c r="T77" s="501">
        <f t="shared" si="85"/>
        <v>0</v>
      </c>
      <c r="U77" s="542" t="str">
        <f t="shared" si="86"/>
        <v/>
      </c>
    </row>
    <row r="78" ht="15.75" customHeight="1">
      <c r="A78" s="425"/>
      <c r="B78" s="450"/>
      <c r="C78" s="450" t="s">
        <v>222</v>
      </c>
      <c r="D78" s="452">
        <v>50096.0</v>
      </c>
      <c r="E78" s="538">
        <f t="shared" si="87"/>
        <v>0.002440527147</v>
      </c>
      <c r="F78" s="501"/>
      <c r="G78" s="538" t="str">
        <f t="shared" si="88"/>
        <v>#DIV/0!</v>
      </c>
      <c r="H78" s="501">
        <f t="shared" si="89"/>
        <v>50096</v>
      </c>
      <c r="I78" s="542" t="str">
        <f t="shared" si="90"/>
        <v/>
      </c>
      <c r="J78" s="452">
        <v>36100.0</v>
      </c>
      <c r="K78" s="538">
        <f t="shared" si="79"/>
        <v>0.001768950557</v>
      </c>
      <c r="L78" s="501"/>
      <c r="M78" s="538" t="str">
        <f t="shared" si="80"/>
        <v>#DIV/0!</v>
      </c>
      <c r="N78" s="501">
        <f t="shared" si="83"/>
        <v>36100</v>
      </c>
      <c r="O78" s="542" t="str">
        <f t="shared" si="84"/>
        <v/>
      </c>
      <c r="P78" s="459"/>
      <c r="Q78" s="541" t="str">
        <f t="shared" si="81"/>
        <v>#DIV/0!</v>
      </c>
      <c r="R78" s="501"/>
      <c r="S78" s="538" t="str">
        <f t="shared" si="82"/>
        <v>#DIV/0!</v>
      </c>
      <c r="T78" s="501">
        <f t="shared" si="85"/>
        <v>0</v>
      </c>
      <c r="U78" s="542" t="str">
        <f t="shared" si="86"/>
        <v/>
      </c>
    </row>
    <row r="79" ht="15.75" customHeight="1">
      <c r="A79" s="425"/>
      <c r="B79" s="450"/>
      <c r="C79" s="450" t="s">
        <v>223</v>
      </c>
      <c r="D79" s="452">
        <v>2951.333333333333</v>
      </c>
      <c r="E79" s="538">
        <f t="shared" si="87"/>
        <v>0.0001437801246</v>
      </c>
      <c r="F79" s="501"/>
      <c r="G79" s="538" t="str">
        <f t="shared" si="88"/>
        <v>#DIV/0!</v>
      </c>
      <c r="H79" s="501">
        <f t="shared" si="89"/>
        <v>2951.333333</v>
      </c>
      <c r="I79" s="542" t="str">
        <f t="shared" si="90"/>
        <v/>
      </c>
      <c r="J79" s="452">
        <v>3501.0</v>
      </c>
      <c r="K79" s="538">
        <f t="shared" si="79"/>
        <v>0.000171553903</v>
      </c>
      <c r="L79" s="501"/>
      <c r="M79" s="538" t="str">
        <f t="shared" si="80"/>
        <v>#DIV/0!</v>
      </c>
      <c r="N79" s="501">
        <f t="shared" si="83"/>
        <v>3501</v>
      </c>
      <c r="O79" s="542" t="str">
        <f t="shared" si="84"/>
        <v/>
      </c>
      <c r="P79" s="459"/>
      <c r="Q79" s="541" t="str">
        <f t="shared" si="81"/>
        <v>#DIV/0!</v>
      </c>
      <c r="R79" s="501"/>
      <c r="S79" s="538" t="str">
        <f t="shared" si="82"/>
        <v>#DIV/0!</v>
      </c>
      <c r="T79" s="501">
        <f t="shared" si="85"/>
        <v>0</v>
      </c>
      <c r="U79" s="542" t="str">
        <f t="shared" si="86"/>
        <v/>
      </c>
    </row>
    <row r="80" ht="15.75" customHeight="1">
      <c r="A80" s="425"/>
      <c r="B80" s="468"/>
      <c r="C80" s="578"/>
      <c r="D80" s="470"/>
      <c r="E80" s="526"/>
      <c r="F80" s="527"/>
      <c r="G80" s="526"/>
      <c r="H80" s="527"/>
      <c r="I80" s="528"/>
      <c r="J80" s="470"/>
      <c r="K80" s="526"/>
      <c r="L80" s="527"/>
      <c r="M80" s="526"/>
      <c r="N80" s="527"/>
      <c r="O80" s="528"/>
      <c r="P80" s="472"/>
      <c r="Q80" s="577"/>
      <c r="R80" s="527"/>
      <c r="S80" s="526"/>
      <c r="T80" s="527"/>
      <c r="U80" s="528"/>
    </row>
    <row r="81" ht="15.75" customHeight="1">
      <c r="A81" s="425"/>
      <c r="B81" s="474"/>
      <c r="C81" s="492" t="s">
        <v>37</v>
      </c>
      <c r="D81" s="444">
        <f>SUM(D82:D90)</f>
        <v>5546943.66</v>
      </c>
      <c r="E81" s="529">
        <f>D81/D$29</f>
        <v>0.2702304892</v>
      </c>
      <c r="F81" s="530">
        <f>SUM(F82:F90)</f>
        <v>663750</v>
      </c>
      <c r="G81" s="529" t="str">
        <f>F81/F$29</f>
        <v>#DIV/0!</v>
      </c>
      <c r="H81" s="530">
        <f>SUM(H82:H90)</f>
        <v>5546943.66</v>
      </c>
      <c r="I81" s="531">
        <f>H81/H$29</f>
        <v>0.2702304892</v>
      </c>
      <c r="J81" s="475">
        <f>SUM(J82:J90)</f>
        <v>5055129.75</v>
      </c>
      <c r="K81" s="581">
        <f>J81/J$29</f>
        <v>0.2477084373</v>
      </c>
      <c r="L81" s="475">
        <f>SUM(L82:L90)</f>
        <v>0</v>
      </c>
      <c r="M81" s="581" t="str">
        <f>L81/L$29</f>
        <v>#DIV/0!</v>
      </c>
      <c r="N81" s="475">
        <f>SUM(N82:N90)</f>
        <v>4391271.75</v>
      </c>
      <c r="O81" s="581">
        <f>N81/N$29</f>
        <v>0.2151784656</v>
      </c>
      <c r="P81" s="475">
        <f>SUM(P82:P90)</f>
        <v>0</v>
      </c>
      <c r="Q81" s="532" t="str">
        <f>P81/P$29</f>
        <v>#DIV/0!</v>
      </c>
      <c r="R81" s="530">
        <f>SUM(R82:R90)</f>
        <v>0</v>
      </c>
      <c r="S81" s="529" t="str">
        <f>R81/R$29</f>
        <v>#DIV/0!</v>
      </c>
      <c r="T81" s="530">
        <f>SUM(T82:T90)</f>
        <v>0</v>
      </c>
      <c r="U81" s="531" t="str">
        <f>T81/T$29</f>
        <v>#DIV/0!</v>
      </c>
    </row>
    <row r="82" ht="15.75" customHeight="1">
      <c r="A82" s="425"/>
      <c r="B82" s="481"/>
      <c r="C82" s="481" t="s">
        <v>225</v>
      </c>
      <c r="D82" s="448">
        <f>4341104.5</f>
        <v>4341104.5</v>
      </c>
      <c r="E82" s="533" t="str">
        <f>D82/$F$29</f>
        <v>#DIV/0!</v>
      </c>
      <c r="F82" s="523"/>
      <c r="G82" s="533" t="str">
        <f>F82/$F$29</f>
        <v>#DIV/0!</v>
      </c>
      <c r="H82" s="523">
        <f>D82-F82</f>
        <v>4341104.5</v>
      </c>
      <c r="I82" s="534" t="str">
        <f>IFERROR((H82/F82),"")</f>
        <v/>
      </c>
      <c r="J82" s="582">
        <v>4007465.75</v>
      </c>
      <c r="K82" s="535" t="str">
        <f t="shared" ref="K82:K89" si="91">J82/$F$29</f>
        <v>#DIV/0!</v>
      </c>
      <c r="L82" s="523"/>
      <c r="M82" s="533" t="str">
        <f>L82/$F$29</f>
        <v>#DIV/0!</v>
      </c>
      <c r="N82" s="523">
        <f>J82-L82</f>
        <v>4007465.75</v>
      </c>
      <c r="O82" s="536" t="str">
        <f>IFERROR((N82/L82),"")</f>
        <v/>
      </c>
      <c r="P82" s="583"/>
      <c r="Q82" s="535" t="str">
        <f t="shared" ref="Q82:Q89" si="92">P82/$F$29</f>
        <v>#DIV/0!</v>
      </c>
      <c r="R82" s="523"/>
      <c r="S82" s="533" t="str">
        <f>R82/$F$29</f>
        <v>#DIV/0!</v>
      </c>
      <c r="T82" s="523">
        <f>P82-R82</f>
        <v>0</v>
      </c>
      <c r="U82" s="536" t="str">
        <f>IFERROR((T82/R82),"")</f>
        <v/>
      </c>
    </row>
    <row r="83" ht="15.75" customHeight="1">
      <c r="A83" s="425"/>
      <c r="B83" s="481"/>
      <c r="C83" s="481" t="s">
        <v>274</v>
      </c>
      <c r="D83" s="448">
        <v>663750.0</v>
      </c>
      <c r="E83" s="448">
        <v>663750.0</v>
      </c>
      <c r="F83" s="448">
        <v>663750.0</v>
      </c>
      <c r="G83" s="448">
        <v>663750.0</v>
      </c>
      <c r="H83" s="448">
        <v>663750.0</v>
      </c>
      <c r="I83" s="580">
        <v>663750.0</v>
      </c>
      <c r="J83" s="448">
        <v>663750.0</v>
      </c>
      <c r="K83" s="533" t="str">
        <f t="shared" si="91"/>
        <v>#DIV/0!</v>
      </c>
      <c r="L83" s="523"/>
      <c r="M83" s="533"/>
      <c r="N83" s="523"/>
      <c r="O83" s="536"/>
      <c r="P83" s="482"/>
      <c r="Q83" s="535" t="str">
        <f t="shared" si="92"/>
        <v>#DIV/0!</v>
      </c>
      <c r="R83" s="523"/>
      <c r="S83" s="533"/>
      <c r="T83" s="523"/>
      <c r="U83" s="536"/>
    </row>
    <row r="84" ht="15.75" customHeight="1">
      <c r="A84" s="425"/>
      <c r="B84" s="450"/>
      <c r="C84" s="450" t="s">
        <v>226</v>
      </c>
      <c r="D84" s="452">
        <v>5000.0</v>
      </c>
      <c r="E84" s="538" t="str">
        <f t="shared" ref="E84:E85" si="93">D84/$F$29</f>
        <v>#DIV/0!</v>
      </c>
      <c r="F84" s="501"/>
      <c r="G84" s="538" t="str">
        <f t="shared" ref="G84:G85" si="94">F84/$F$29</f>
        <v>#DIV/0!</v>
      </c>
      <c r="H84" s="501">
        <f t="shared" ref="H84:H85" si="95">D84-F84</f>
        <v>5000</v>
      </c>
      <c r="I84" s="542" t="str">
        <f t="shared" ref="I84:I85" si="96">IFERROR((H84/F84),"")</f>
        <v/>
      </c>
      <c r="J84" s="452">
        <v>5935.0</v>
      </c>
      <c r="K84" s="538" t="str">
        <f t="shared" si="91"/>
        <v>#DIV/0!</v>
      </c>
      <c r="L84" s="501"/>
      <c r="M84" s="538" t="str">
        <f t="shared" ref="M84:M85" si="97">L84/$F$29</f>
        <v>#DIV/0!</v>
      </c>
      <c r="N84" s="501">
        <f t="shared" ref="N84:N85" si="98">J84-L84</f>
        <v>5935</v>
      </c>
      <c r="O84" s="542" t="str">
        <f t="shared" ref="O84:O85" si="99">IFERROR((N84/L84),"")</f>
        <v/>
      </c>
      <c r="P84" s="459"/>
      <c r="Q84" s="541" t="str">
        <f t="shared" si="92"/>
        <v>#DIV/0!</v>
      </c>
      <c r="R84" s="501"/>
      <c r="S84" s="538" t="str">
        <f t="shared" ref="S84:S85" si="100">R84/$F$29</f>
        <v>#DIV/0!</v>
      </c>
      <c r="T84" s="501">
        <f t="shared" ref="T84:T85" si="101">P84-R84</f>
        <v>0</v>
      </c>
      <c r="U84" s="542" t="str">
        <f t="shared" ref="U84:U85" si="102">IFERROR((T84/R84),"")</f>
        <v/>
      </c>
    </row>
    <row r="85" ht="15.75" customHeight="1">
      <c r="A85" s="425"/>
      <c r="B85" s="450"/>
      <c r="C85" s="450" t="s">
        <v>228</v>
      </c>
      <c r="D85" s="452">
        <v>91235.15999999999</v>
      </c>
      <c r="E85" s="538" t="str">
        <f t="shared" si="93"/>
        <v>#DIV/0!</v>
      </c>
      <c r="F85" s="501"/>
      <c r="G85" s="538" t="str">
        <f t="shared" si="94"/>
        <v>#DIV/0!</v>
      </c>
      <c r="H85" s="501">
        <f t="shared" si="95"/>
        <v>91235.16</v>
      </c>
      <c r="I85" s="542" t="str">
        <f t="shared" si="96"/>
        <v/>
      </c>
      <c r="J85" s="452">
        <v>91933.0</v>
      </c>
      <c r="K85" s="538" t="str">
        <f t="shared" si="91"/>
        <v>#DIV/0!</v>
      </c>
      <c r="L85" s="501"/>
      <c r="M85" s="538" t="str">
        <f t="shared" si="97"/>
        <v>#DIV/0!</v>
      </c>
      <c r="N85" s="501">
        <f t="shared" si="98"/>
        <v>91933</v>
      </c>
      <c r="O85" s="542" t="str">
        <f t="shared" si="99"/>
        <v/>
      </c>
      <c r="P85" s="459"/>
      <c r="Q85" s="541" t="str">
        <f t="shared" si="92"/>
        <v>#DIV/0!</v>
      </c>
      <c r="R85" s="501"/>
      <c r="S85" s="538" t="str">
        <f t="shared" si="100"/>
        <v>#DIV/0!</v>
      </c>
      <c r="T85" s="501">
        <f t="shared" si="101"/>
        <v>0</v>
      </c>
      <c r="U85" s="542" t="str">
        <f t="shared" si="102"/>
        <v/>
      </c>
    </row>
    <row r="86" ht="15.75" customHeight="1">
      <c r="A86" s="425"/>
      <c r="B86" s="450"/>
      <c r="C86" s="450" t="s">
        <v>275</v>
      </c>
      <c r="D86" s="452">
        <v>0.0</v>
      </c>
      <c r="E86" s="538"/>
      <c r="F86" s="501"/>
      <c r="G86" s="538"/>
      <c r="H86" s="501"/>
      <c r="I86" s="542"/>
      <c r="J86" s="452">
        <v>108.0</v>
      </c>
      <c r="K86" s="538" t="str">
        <f t="shared" si="91"/>
        <v>#DIV/0!</v>
      </c>
      <c r="L86" s="501"/>
      <c r="M86" s="538"/>
      <c r="N86" s="501"/>
      <c r="O86" s="542"/>
      <c r="P86" s="459"/>
      <c r="Q86" s="541" t="str">
        <f t="shared" si="92"/>
        <v>#DIV/0!</v>
      </c>
      <c r="R86" s="501"/>
      <c r="S86" s="538"/>
      <c r="T86" s="501"/>
      <c r="U86" s="542"/>
    </row>
    <row r="87" ht="15.75" customHeight="1">
      <c r="A87" s="425"/>
      <c r="B87" s="450"/>
      <c r="C87" s="450" t="s">
        <v>229</v>
      </c>
      <c r="D87" s="452">
        <v>40000.0</v>
      </c>
      <c r="E87" s="538" t="str">
        <f t="shared" ref="E87:E89" si="103">D87/$F$29</f>
        <v>#DIV/0!</v>
      </c>
      <c r="F87" s="501"/>
      <c r="G87" s="538" t="str">
        <f t="shared" ref="G87:G89" si="104">F87/$F$29</f>
        <v>#DIV/0!</v>
      </c>
      <c r="H87" s="501">
        <f t="shared" ref="H87:H89" si="105">D87-F87</f>
        <v>40000</v>
      </c>
      <c r="I87" s="542" t="str">
        <f t="shared" ref="I87:I90" si="106">IFERROR((H87/F87),"")</f>
        <v/>
      </c>
      <c r="J87" s="452">
        <v>40000.0</v>
      </c>
      <c r="K87" s="538" t="str">
        <f t="shared" si="91"/>
        <v>#DIV/0!</v>
      </c>
      <c r="L87" s="501"/>
      <c r="M87" s="538" t="str">
        <f t="shared" ref="M87:M89" si="107">L87/$F$29</f>
        <v>#DIV/0!</v>
      </c>
      <c r="N87" s="501">
        <f t="shared" ref="N87:N89" si="108">J87-L87</f>
        <v>40000</v>
      </c>
      <c r="O87" s="542" t="str">
        <f t="shared" ref="O87:O90" si="109">IFERROR((N87/L87),"")</f>
        <v/>
      </c>
      <c r="P87" s="459"/>
      <c r="Q87" s="541" t="str">
        <f t="shared" si="92"/>
        <v>#DIV/0!</v>
      </c>
      <c r="R87" s="501"/>
      <c r="S87" s="538" t="str">
        <f t="shared" ref="S87:S89" si="110">R87/$F$29</f>
        <v>#DIV/0!</v>
      </c>
      <c r="T87" s="501">
        <f t="shared" ref="T87:T89" si="111">P87-R87</f>
        <v>0</v>
      </c>
      <c r="U87" s="542" t="str">
        <f t="shared" ref="U87:U90" si="112">IFERROR((T87/R87),"")</f>
        <v/>
      </c>
    </row>
    <row r="88" ht="15.75" customHeight="1">
      <c r="A88" s="425"/>
      <c r="B88" s="450"/>
      <c r="C88" s="450" t="s">
        <v>230</v>
      </c>
      <c r="D88" s="452">
        <v>398570.0</v>
      </c>
      <c r="E88" s="538" t="str">
        <f t="shared" si="103"/>
        <v>#DIV/0!</v>
      </c>
      <c r="F88" s="501"/>
      <c r="G88" s="538" t="str">
        <f t="shared" si="104"/>
        <v>#DIV/0!</v>
      </c>
      <c r="H88" s="501">
        <f t="shared" si="105"/>
        <v>398570</v>
      </c>
      <c r="I88" s="542" t="str">
        <f t="shared" si="106"/>
        <v/>
      </c>
      <c r="J88" s="452">
        <f>211513+34425</f>
        <v>245938</v>
      </c>
      <c r="K88" s="538" t="str">
        <f t="shared" si="91"/>
        <v>#DIV/0!</v>
      </c>
      <c r="L88" s="501"/>
      <c r="M88" s="538" t="str">
        <f t="shared" si="107"/>
        <v>#DIV/0!</v>
      </c>
      <c r="N88" s="501">
        <f t="shared" si="108"/>
        <v>245938</v>
      </c>
      <c r="O88" s="542" t="str">
        <f t="shared" si="109"/>
        <v/>
      </c>
      <c r="P88" s="459"/>
      <c r="Q88" s="541" t="str">
        <f t="shared" si="92"/>
        <v>#DIV/0!</v>
      </c>
      <c r="R88" s="501"/>
      <c r="S88" s="538" t="str">
        <f t="shared" si="110"/>
        <v>#DIV/0!</v>
      </c>
      <c r="T88" s="501">
        <f t="shared" si="111"/>
        <v>0</v>
      </c>
      <c r="U88" s="542" t="str">
        <f t="shared" si="112"/>
        <v/>
      </c>
    </row>
    <row r="89" ht="15.75" customHeight="1">
      <c r="A89" s="425"/>
      <c r="B89" s="450"/>
      <c r="C89" s="450" t="s">
        <v>231</v>
      </c>
      <c r="D89" s="452">
        <v>7284.0</v>
      </c>
      <c r="E89" s="538" t="str">
        <f t="shared" si="103"/>
        <v>#DIV/0!</v>
      </c>
      <c r="F89" s="501"/>
      <c r="G89" s="538" t="str">
        <f t="shared" si="104"/>
        <v>#DIV/0!</v>
      </c>
      <c r="H89" s="501">
        <f t="shared" si="105"/>
        <v>7284</v>
      </c>
      <c r="I89" s="542" t="str">
        <f t="shared" si="106"/>
        <v/>
      </c>
      <c r="J89" s="452">
        <v>0.0</v>
      </c>
      <c r="K89" s="538" t="str">
        <f t="shared" si="91"/>
        <v>#DIV/0!</v>
      </c>
      <c r="L89" s="501"/>
      <c r="M89" s="538" t="str">
        <f t="shared" si="107"/>
        <v>#DIV/0!</v>
      </c>
      <c r="N89" s="501">
        <f t="shared" si="108"/>
        <v>0</v>
      </c>
      <c r="O89" s="542" t="str">
        <f t="shared" si="109"/>
        <v/>
      </c>
      <c r="P89" s="459"/>
      <c r="Q89" s="541" t="str">
        <f t="shared" si="92"/>
        <v>#DIV/0!</v>
      </c>
      <c r="R89" s="501"/>
      <c r="S89" s="538" t="str">
        <f t="shared" si="110"/>
        <v>#DIV/0!</v>
      </c>
      <c r="T89" s="501">
        <f t="shared" si="111"/>
        <v>0</v>
      </c>
      <c r="U89" s="542" t="str">
        <f t="shared" si="112"/>
        <v/>
      </c>
    </row>
    <row r="90" ht="15.75" customHeight="1">
      <c r="A90" s="425"/>
      <c r="B90" s="450"/>
      <c r="C90" s="450" t="s">
        <v>232</v>
      </c>
      <c r="D90" s="452"/>
      <c r="E90" s="521"/>
      <c r="F90" s="501"/>
      <c r="G90" s="521"/>
      <c r="H90" s="501"/>
      <c r="I90" s="542" t="str">
        <f t="shared" si="106"/>
        <v/>
      </c>
      <c r="J90" s="452"/>
      <c r="K90" s="521"/>
      <c r="L90" s="501"/>
      <c r="M90" s="521"/>
      <c r="N90" s="501"/>
      <c r="O90" s="542" t="str">
        <f t="shared" si="109"/>
        <v/>
      </c>
      <c r="P90" s="459"/>
      <c r="Q90" s="552"/>
      <c r="R90" s="501"/>
      <c r="S90" s="521"/>
      <c r="T90" s="501"/>
      <c r="U90" s="542" t="str">
        <f t="shared" si="112"/>
        <v/>
      </c>
    </row>
    <row r="91" ht="15.75" customHeight="1">
      <c r="A91" s="425"/>
      <c r="B91" s="468"/>
      <c r="C91" s="578"/>
      <c r="D91" s="470"/>
      <c r="E91" s="526"/>
      <c r="F91" s="527"/>
      <c r="G91" s="526"/>
      <c r="H91" s="527"/>
      <c r="I91" s="528"/>
      <c r="J91" s="470"/>
      <c r="K91" s="526"/>
      <c r="L91" s="527"/>
      <c r="M91" s="526"/>
      <c r="N91" s="527"/>
      <c r="O91" s="528"/>
      <c r="P91" s="472"/>
      <c r="Q91" s="577"/>
      <c r="R91" s="527"/>
      <c r="S91" s="526"/>
      <c r="T91" s="527"/>
      <c r="U91" s="528"/>
    </row>
    <row r="92" ht="15.75" customHeight="1">
      <c r="A92" s="425"/>
      <c r="B92" s="474"/>
      <c r="C92" s="492" t="s">
        <v>38</v>
      </c>
      <c r="D92" s="444">
        <f>SUM(D93)</f>
        <v>425771.88</v>
      </c>
      <c r="E92" s="529">
        <f t="shared" ref="E92:E93" si="113">D92/D$29</f>
        <v>0.02074233136</v>
      </c>
      <c r="F92" s="530">
        <f>SUM(F93)</f>
        <v>0</v>
      </c>
      <c r="G92" s="529" t="str">
        <f>F92/F$29</f>
        <v>#DIV/0!</v>
      </c>
      <c r="H92" s="530">
        <f>SUM(H93)</f>
        <v>425771.88</v>
      </c>
      <c r="I92" s="531">
        <f>H92/H$29</f>
        <v>0.02074233136</v>
      </c>
      <c r="J92" s="444">
        <f>SUM(J93)</f>
        <v>521738</v>
      </c>
      <c r="K92" s="529">
        <f t="shared" ref="K92:K93" si="114">J92/J$29</f>
        <v>0.02556589267</v>
      </c>
      <c r="L92" s="530">
        <f>SUM(L93)</f>
        <v>0</v>
      </c>
      <c r="M92" s="529" t="str">
        <f>L92/L$29</f>
        <v>#DIV/0!</v>
      </c>
      <c r="N92" s="530">
        <f>SUM(N93)</f>
        <v>521738</v>
      </c>
      <c r="O92" s="531">
        <f>N92/N$29</f>
        <v>0.02556589267</v>
      </c>
      <c r="P92" s="475">
        <f>SUM(P93)</f>
        <v>0</v>
      </c>
      <c r="Q92" s="532" t="str">
        <f t="shared" ref="Q92:Q93" si="115">P92/P$29</f>
        <v>#DIV/0!</v>
      </c>
      <c r="R92" s="530">
        <f>SUM(R93)</f>
        <v>0</v>
      </c>
      <c r="S92" s="529" t="str">
        <f>R92/R$29</f>
        <v>#DIV/0!</v>
      </c>
      <c r="T92" s="530">
        <f>SUM(T93)</f>
        <v>0</v>
      </c>
      <c r="U92" s="531" t="str">
        <f>T92/T$29</f>
        <v>#DIV/0!</v>
      </c>
    </row>
    <row r="93" ht="15.75" customHeight="1">
      <c r="A93" s="425"/>
      <c r="B93" s="481"/>
      <c r="C93" s="481" t="s">
        <v>276</v>
      </c>
      <c r="D93" s="448">
        <v>425771.88</v>
      </c>
      <c r="E93" s="533">
        <f t="shared" si="113"/>
        <v>0.02074233136</v>
      </c>
      <c r="F93" s="523">
        <f>G93*(F$16+F$24+F$25)</f>
        <v>0</v>
      </c>
      <c r="G93" s="533"/>
      <c r="H93" s="523">
        <f>D93-F93</f>
        <v>425771.88</v>
      </c>
      <c r="I93" s="536" t="str">
        <f>IFERROR((H93/F93),"")</f>
        <v/>
      </c>
      <c r="J93" s="448">
        <v>521738.0</v>
      </c>
      <c r="K93" s="533">
        <f t="shared" si="114"/>
        <v>0.02556589267</v>
      </c>
      <c r="L93" s="523">
        <f>M93*(L$16+L$24+L$25)</f>
        <v>0</v>
      </c>
      <c r="M93" s="533"/>
      <c r="N93" s="523">
        <f>J93-L93</f>
        <v>521738</v>
      </c>
      <c r="O93" s="536" t="str">
        <f>IFERROR((N93/L93),"")</f>
        <v/>
      </c>
      <c r="P93" s="482"/>
      <c r="Q93" s="535" t="str">
        <f t="shared" si="115"/>
        <v>#DIV/0!</v>
      </c>
      <c r="R93" s="523">
        <f>S93*(R$16+R$24+R$25)</f>
        <v>0</v>
      </c>
      <c r="S93" s="533"/>
      <c r="T93" s="523">
        <f>P93-R93</f>
        <v>0</v>
      </c>
      <c r="U93" s="536" t="str">
        <f>IFERROR((T93/R93),"")</f>
        <v/>
      </c>
    </row>
    <row r="94" ht="15.75" customHeight="1">
      <c r="A94" s="425"/>
      <c r="B94" s="468"/>
      <c r="C94" s="468"/>
      <c r="D94" s="470"/>
      <c r="E94" s="526"/>
      <c r="F94" s="527"/>
      <c r="G94" s="526"/>
      <c r="H94" s="527"/>
      <c r="I94" s="528"/>
      <c r="J94" s="470"/>
      <c r="K94" s="526"/>
      <c r="L94" s="527"/>
      <c r="M94" s="526"/>
      <c r="N94" s="527"/>
      <c r="O94" s="528"/>
      <c r="P94" s="472"/>
      <c r="Q94" s="577"/>
      <c r="R94" s="527"/>
      <c r="S94" s="526"/>
      <c r="T94" s="527"/>
      <c r="U94" s="528"/>
    </row>
    <row r="95" ht="15.75" customHeight="1">
      <c r="A95" s="425"/>
      <c r="B95" s="474"/>
      <c r="C95" s="492" t="s">
        <v>238</v>
      </c>
      <c r="D95" s="444">
        <f>SUM(D96:D97)</f>
        <v>23403.33333</v>
      </c>
      <c r="E95" s="529">
        <f>D95/D$29</f>
        <v>0.001140140337</v>
      </c>
      <c r="F95" s="530">
        <f>SUM(F96:F97)</f>
        <v>0</v>
      </c>
      <c r="G95" s="529" t="str">
        <f>F95/F$29</f>
        <v>#DIV/0!</v>
      </c>
      <c r="H95" s="530">
        <f>SUM(H96:H97)</f>
        <v>0</v>
      </c>
      <c r="I95" s="531">
        <f>H95/H$29</f>
        <v>0</v>
      </c>
      <c r="J95" s="444">
        <f>SUM(J96:J97)</f>
        <v>25091</v>
      </c>
      <c r="K95" s="529">
        <f>J95/J$29</f>
        <v>0.001229494139</v>
      </c>
      <c r="L95" s="530">
        <f>SUM(L96:L97)</f>
        <v>0</v>
      </c>
      <c r="M95" s="529" t="str">
        <f>L95/L$29</f>
        <v>#DIV/0!</v>
      </c>
      <c r="N95" s="530">
        <f>SUM(N96:N97)</f>
        <v>0</v>
      </c>
      <c r="O95" s="531">
        <f>N95/N$29</f>
        <v>0</v>
      </c>
      <c r="P95" s="475">
        <f>SUM(P96:P97)</f>
        <v>0</v>
      </c>
      <c r="Q95" s="532" t="str">
        <f>P95/P$29</f>
        <v>#DIV/0!</v>
      </c>
      <c r="R95" s="530">
        <f>SUM(R96:R97)</f>
        <v>0</v>
      </c>
      <c r="S95" s="529" t="str">
        <f>R95/R$29</f>
        <v>#DIV/0!</v>
      </c>
      <c r="T95" s="530">
        <f>SUM(T96:T97)</f>
        <v>0</v>
      </c>
      <c r="U95" s="531" t="str">
        <f>T95/T$29</f>
        <v>#DIV/0!</v>
      </c>
    </row>
    <row r="96" ht="15.75" customHeight="1">
      <c r="A96" s="425"/>
      <c r="B96" s="481"/>
      <c r="C96" s="481" t="s">
        <v>239</v>
      </c>
      <c r="D96" s="448">
        <v>0.0</v>
      </c>
      <c r="E96" s="533" t="str">
        <f t="shared" ref="E96:E97" si="116">D96/$F$29</f>
        <v>#DIV/0!</v>
      </c>
      <c r="F96" s="523"/>
      <c r="G96" s="533" t="str">
        <f>F96/$F$29</f>
        <v>#DIV/0!</v>
      </c>
      <c r="H96" s="523">
        <f>D96-F96</f>
        <v>0</v>
      </c>
      <c r="I96" s="536" t="str">
        <f>IFERROR((H96/F96),"")</f>
        <v/>
      </c>
      <c r="J96" s="448">
        <v>0.0</v>
      </c>
      <c r="K96" s="533" t="str">
        <f t="shared" ref="K96:K97" si="117">J96/$F$29</f>
        <v>#DIV/0!</v>
      </c>
      <c r="L96" s="523"/>
      <c r="M96" s="533" t="str">
        <f>L96/$F$29</f>
        <v>#DIV/0!</v>
      </c>
      <c r="N96" s="523">
        <f>J96-L96</f>
        <v>0</v>
      </c>
      <c r="O96" s="536" t="str">
        <f>IFERROR((N96/L96),"")</f>
        <v/>
      </c>
      <c r="P96" s="482"/>
      <c r="Q96" s="535" t="str">
        <f t="shared" ref="Q96:Q97" si="118">P96/$F$29</f>
        <v>#DIV/0!</v>
      </c>
      <c r="R96" s="523"/>
      <c r="S96" s="533" t="str">
        <f>R96/$F$29</f>
        <v>#DIV/0!</v>
      </c>
      <c r="T96" s="523">
        <f>P96-R96</f>
        <v>0</v>
      </c>
      <c r="U96" s="536" t="str">
        <f>IFERROR((T96/R96),"")</f>
        <v/>
      </c>
    </row>
    <row r="97" ht="15.75" customHeight="1">
      <c r="A97" s="425"/>
      <c r="B97" s="450"/>
      <c r="C97" s="450" t="s">
        <v>277</v>
      </c>
      <c r="D97" s="452">
        <v>23403.333333333332</v>
      </c>
      <c r="E97" s="533" t="str">
        <f t="shared" si="116"/>
        <v>#DIV/0!</v>
      </c>
      <c r="F97" s="501"/>
      <c r="G97" s="538"/>
      <c r="H97" s="501"/>
      <c r="I97" s="542"/>
      <c r="J97" s="452">
        <v>25091.0</v>
      </c>
      <c r="K97" s="533" t="str">
        <f t="shared" si="117"/>
        <v>#DIV/0!</v>
      </c>
      <c r="L97" s="501"/>
      <c r="M97" s="538"/>
      <c r="N97" s="501"/>
      <c r="O97" s="542"/>
      <c r="P97" s="459"/>
      <c r="Q97" s="535" t="str">
        <f t="shared" si="118"/>
        <v>#DIV/0!</v>
      </c>
      <c r="R97" s="501"/>
      <c r="S97" s="538"/>
      <c r="T97" s="501"/>
      <c r="U97" s="542"/>
    </row>
    <row r="98" ht="15.75" customHeight="1">
      <c r="A98" s="425"/>
      <c r="B98" s="468"/>
      <c r="C98" s="468"/>
      <c r="D98" s="470"/>
      <c r="E98" s="526"/>
      <c r="F98" s="527"/>
      <c r="G98" s="526"/>
      <c r="H98" s="527"/>
      <c r="I98" s="528"/>
      <c r="J98" s="470"/>
      <c r="K98" s="526"/>
      <c r="L98" s="527"/>
      <c r="M98" s="526"/>
      <c r="N98" s="527"/>
      <c r="O98" s="528"/>
      <c r="P98" s="472"/>
      <c r="Q98" s="577"/>
      <c r="R98" s="527"/>
      <c r="S98" s="526"/>
      <c r="T98" s="527"/>
      <c r="U98" s="528"/>
    </row>
    <row r="99" ht="15.75" customHeight="1">
      <c r="A99" s="425"/>
      <c r="B99" s="474"/>
      <c r="C99" s="492" t="s">
        <v>40</v>
      </c>
      <c r="D99" s="444">
        <f>SUM(D100:D105)</f>
        <v>205479.55</v>
      </c>
      <c r="E99" s="529">
        <f t="shared" ref="E99:E102" si="119">D99/D$29</f>
        <v>0.01001034853</v>
      </c>
      <c r="F99" s="530">
        <f>SUM(F100:F118)</f>
        <v>184154.5833</v>
      </c>
      <c r="G99" s="529" t="str">
        <f t="shared" ref="G99:G101" si="120">F99/F$29</f>
        <v>#DIV/0!</v>
      </c>
      <c r="H99" s="444">
        <f>SUM(H100:H105)</f>
        <v>124371.75</v>
      </c>
      <c r="I99" s="531">
        <f>H99/H$29</f>
        <v>0.006059019327</v>
      </c>
      <c r="J99" s="444">
        <f>SUM(J100:J105)</f>
        <v>296400.75</v>
      </c>
      <c r="K99" s="529">
        <f t="shared" ref="K99:K104" si="121">J99/J$29</f>
        <v>0.01452405185</v>
      </c>
      <c r="L99" s="530">
        <f>SUM(L100:L118)</f>
        <v>0</v>
      </c>
      <c r="M99" s="529" t="str">
        <f t="shared" ref="M99:M101" si="122">L99/L$29</f>
        <v>#DIV/0!</v>
      </c>
      <c r="N99" s="444">
        <f>SUM(N100:N105)</f>
        <v>126549.75</v>
      </c>
      <c r="O99" s="531">
        <f>N99/N$29</f>
        <v>0.006201114978</v>
      </c>
      <c r="P99" s="475">
        <f>SUM(P100:P105)</f>
        <v>0</v>
      </c>
      <c r="Q99" s="532" t="str">
        <f t="shared" ref="Q99:Q104" si="123">P99/P$29</f>
        <v>#DIV/0!</v>
      </c>
      <c r="R99" s="530">
        <f>SUM(R100:R118)</f>
        <v>0</v>
      </c>
      <c r="S99" s="529" t="str">
        <f t="shared" ref="S99:S101" si="124">R99/R$29</f>
        <v>#DIV/0!</v>
      </c>
      <c r="T99" s="444">
        <f>SUM(T100:T105)</f>
        <v>0</v>
      </c>
      <c r="U99" s="531" t="str">
        <f>T99/T$29</f>
        <v>#DIV/0!</v>
      </c>
    </row>
    <row r="100" ht="15.75" customHeight="1">
      <c r="A100" s="425"/>
      <c r="B100" s="481"/>
      <c r="C100" s="481" t="s">
        <v>241</v>
      </c>
      <c r="D100" s="448">
        <v>0.0</v>
      </c>
      <c r="E100" s="533">
        <f t="shared" si="119"/>
        <v>0</v>
      </c>
      <c r="F100" s="523"/>
      <c r="G100" s="533" t="str">
        <f t="shared" si="120"/>
        <v>#DIV/0!</v>
      </c>
      <c r="H100" s="523">
        <f t="shared" ref="H100:H101" si="125">D100-F100</f>
        <v>0</v>
      </c>
      <c r="I100" s="536" t="str">
        <f t="shared" ref="I100:I101" si="126">IFERROR((H100/F100),"")</f>
        <v/>
      </c>
      <c r="J100" s="448">
        <v>0.0</v>
      </c>
      <c r="K100" s="533">
        <f t="shared" si="121"/>
        <v>0</v>
      </c>
      <c r="L100" s="523"/>
      <c r="M100" s="533" t="str">
        <f t="shared" si="122"/>
        <v>#DIV/0!</v>
      </c>
      <c r="N100" s="523">
        <f t="shared" ref="N100:N101" si="127">J100-L100</f>
        <v>0</v>
      </c>
      <c r="O100" s="536" t="str">
        <f t="shared" ref="O100:O101" si="128">IFERROR((N100/L100),"")</f>
        <v/>
      </c>
      <c r="P100" s="482"/>
      <c r="Q100" s="535" t="str">
        <f t="shared" si="123"/>
        <v>#DIV/0!</v>
      </c>
      <c r="R100" s="523"/>
      <c r="S100" s="533" t="str">
        <f t="shared" si="124"/>
        <v>#DIV/0!</v>
      </c>
      <c r="T100" s="523">
        <f t="shared" ref="T100:T101" si="129">P100-R100</f>
        <v>0</v>
      </c>
      <c r="U100" s="536" t="str">
        <f t="shared" ref="U100:U101" si="130">IFERROR((T100/R100),"")</f>
        <v/>
      </c>
    </row>
    <row r="101" ht="15.75" customHeight="1">
      <c r="A101" s="425"/>
      <c r="B101" s="450"/>
      <c r="C101" s="450" t="s">
        <v>242</v>
      </c>
      <c r="D101" s="452">
        <v>1995.0</v>
      </c>
      <c r="E101" s="538">
        <f t="shared" si="119"/>
        <v>0.00009719042755</v>
      </c>
      <c r="F101" s="501"/>
      <c r="G101" s="538" t="str">
        <f t="shared" si="120"/>
        <v>#DIV/0!</v>
      </c>
      <c r="H101" s="501">
        <f t="shared" si="125"/>
        <v>1995</v>
      </c>
      <c r="I101" s="542" t="str">
        <f t="shared" si="126"/>
        <v/>
      </c>
      <c r="J101" s="452">
        <v>4173.0</v>
      </c>
      <c r="K101" s="538">
        <f t="shared" si="121"/>
        <v>0.0002044828441</v>
      </c>
      <c r="L101" s="501"/>
      <c r="M101" s="538" t="str">
        <f t="shared" si="122"/>
        <v>#DIV/0!</v>
      </c>
      <c r="N101" s="501">
        <f t="shared" si="127"/>
        <v>4173</v>
      </c>
      <c r="O101" s="542" t="str">
        <f t="shared" si="128"/>
        <v/>
      </c>
      <c r="P101" s="459"/>
      <c r="Q101" s="541" t="str">
        <f t="shared" si="123"/>
        <v>#DIV/0!</v>
      </c>
      <c r="R101" s="501"/>
      <c r="S101" s="538" t="str">
        <f t="shared" si="124"/>
        <v>#DIV/0!</v>
      </c>
      <c r="T101" s="501">
        <f t="shared" si="129"/>
        <v>0</v>
      </c>
      <c r="U101" s="542" t="str">
        <f t="shared" si="130"/>
        <v/>
      </c>
    </row>
    <row r="102" ht="15.75" customHeight="1">
      <c r="A102" s="425"/>
      <c r="B102" s="450"/>
      <c r="C102" s="450" t="s">
        <v>251</v>
      </c>
      <c r="D102" s="452">
        <v>81107.8</v>
      </c>
      <c r="E102" s="538">
        <f t="shared" si="119"/>
        <v>0.003951329203</v>
      </c>
      <c r="F102" s="501"/>
      <c r="G102" s="538"/>
      <c r="H102" s="501"/>
      <c r="I102" s="542"/>
      <c r="J102" s="452">
        <v>169851.0</v>
      </c>
      <c r="K102" s="538">
        <f t="shared" si="121"/>
        <v>0.00832293687</v>
      </c>
      <c r="L102" s="501"/>
      <c r="M102" s="538"/>
      <c r="N102" s="501"/>
      <c r="O102" s="542"/>
      <c r="P102" s="459"/>
      <c r="Q102" s="541" t="str">
        <f t="shared" si="123"/>
        <v>#DIV/0!</v>
      </c>
      <c r="R102" s="501"/>
      <c r="S102" s="538"/>
      <c r="T102" s="501"/>
      <c r="U102" s="542"/>
    </row>
    <row r="103" ht="15.75" customHeight="1">
      <c r="A103" s="425"/>
      <c r="B103" s="450"/>
      <c r="C103" s="450" t="s">
        <v>243</v>
      </c>
      <c r="D103" s="452">
        <v>95043.75</v>
      </c>
      <c r="E103" s="452">
        <v>95043.75</v>
      </c>
      <c r="F103" s="452">
        <v>95043.75</v>
      </c>
      <c r="G103" s="452">
        <v>95043.75</v>
      </c>
      <c r="H103" s="452">
        <v>95043.75</v>
      </c>
      <c r="I103" s="584">
        <v>95043.75</v>
      </c>
      <c r="J103" s="452">
        <v>95043.75</v>
      </c>
      <c r="K103" s="538">
        <f t="shared" si="121"/>
        <v>0.004657276855</v>
      </c>
      <c r="L103" s="501"/>
      <c r="M103" s="538" t="str">
        <f t="shared" ref="M103:M104" si="131">L103/L$29</f>
        <v>#DIV/0!</v>
      </c>
      <c r="N103" s="501">
        <f t="shared" ref="N103:N104" si="132">J103-L103</f>
        <v>95043.75</v>
      </c>
      <c r="O103" s="542" t="str">
        <f t="shared" ref="O103:O104" si="133">IFERROR((N103/L103),"")</f>
        <v/>
      </c>
      <c r="P103" s="459"/>
      <c r="Q103" s="541" t="str">
        <f t="shared" si="123"/>
        <v>#DIV/0!</v>
      </c>
      <c r="R103" s="501"/>
      <c r="S103" s="538" t="str">
        <f t="shared" ref="S103:S104" si="134">R103/R$29</f>
        <v>#DIV/0!</v>
      </c>
      <c r="T103" s="501">
        <f t="shared" ref="T103:T104" si="135">P103-R103</f>
        <v>0</v>
      </c>
      <c r="U103" s="542" t="str">
        <f t="shared" ref="U103:U104" si="136">IFERROR((T103/R103),"")</f>
        <v/>
      </c>
    </row>
    <row r="104" ht="15.75" customHeight="1">
      <c r="A104" s="425"/>
      <c r="B104" s="450"/>
      <c r="C104" s="450" t="s">
        <v>278</v>
      </c>
      <c r="D104" s="452">
        <v>27333.0</v>
      </c>
      <c r="E104" s="452">
        <v>27333.0</v>
      </c>
      <c r="F104" s="452">
        <v>27333.0</v>
      </c>
      <c r="G104" s="452">
        <v>27333.0</v>
      </c>
      <c r="H104" s="452">
        <v>27333.0</v>
      </c>
      <c r="I104" s="584">
        <v>27333.0</v>
      </c>
      <c r="J104" s="452">
        <v>27333.0</v>
      </c>
      <c r="K104" s="538">
        <f t="shared" si="121"/>
        <v>0.001339355279</v>
      </c>
      <c r="L104" s="501"/>
      <c r="M104" s="538" t="str">
        <f t="shared" si="131"/>
        <v>#DIV/0!</v>
      </c>
      <c r="N104" s="501">
        <f t="shared" si="132"/>
        <v>27333</v>
      </c>
      <c r="O104" s="542" t="str">
        <f t="shared" si="133"/>
        <v/>
      </c>
      <c r="P104" s="459"/>
      <c r="Q104" s="541" t="str">
        <f t="shared" si="123"/>
        <v>#DIV/0!</v>
      </c>
      <c r="R104" s="501"/>
      <c r="S104" s="538" t="str">
        <f t="shared" si="134"/>
        <v>#DIV/0!</v>
      </c>
      <c r="T104" s="501">
        <f t="shared" si="135"/>
        <v>0</v>
      </c>
      <c r="U104" s="542" t="str">
        <f t="shared" si="136"/>
        <v/>
      </c>
    </row>
    <row r="105" ht="15.75" customHeight="1">
      <c r="A105" s="425"/>
      <c r="B105" s="468"/>
      <c r="C105" s="468"/>
      <c r="D105" s="470"/>
      <c r="E105" s="545"/>
      <c r="F105" s="527"/>
      <c r="G105" s="545"/>
      <c r="H105" s="527"/>
      <c r="I105" s="546"/>
      <c r="J105" s="470"/>
      <c r="K105" s="545"/>
      <c r="L105" s="527"/>
      <c r="M105" s="545"/>
      <c r="N105" s="527"/>
      <c r="O105" s="546"/>
      <c r="P105" s="472"/>
      <c r="Q105" s="554"/>
      <c r="R105" s="527"/>
      <c r="S105" s="545"/>
      <c r="T105" s="527"/>
      <c r="U105" s="546"/>
    </row>
    <row r="106" ht="15.75" customHeight="1">
      <c r="A106" s="425"/>
      <c r="B106" s="474"/>
      <c r="C106" s="492" t="s">
        <v>247</v>
      </c>
      <c r="D106" s="444">
        <f>SUM(D107:D120)</f>
        <v>624683.0467</v>
      </c>
      <c r="E106" s="529">
        <f>D106/D$29</f>
        <v>0.03043268791</v>
      </c>
      <c r="F106" s="444">
        <f>SUM(F107)</f>
        <v>30888.91667</v>
      </c>
      <c r="G106" s="529" t="str">
        <f>F106/F$29</f>
        <v>#DIV/0!</v>
      </c>
      <c r="H106" s="530">
        <f>D106-F106</f>
        <v>593794.13</v>
      </c>
      <c r="I106" s="531">
        <f>IFERROR((H106/F106),"")</f>
        <v>19.22353368</v>
      </c>
      <c r="J106" s="444">
        <f>SUM(J107:J120)</f>
        <v>590695.9167</v>
      </c>
      <c r="K106" s="529">
        <f t="shared" ref="K106:K108" si="137">J106/J$29</f>
        <v>0.02894492716</v>
      </c>
      <c r="L106" s="444">
        <f>SUM(L107)</f>
        <v>0</v>
      </c>
      <c r="M106" s="529" t="str">
        <f>L106/L$29</f>
        <v>#DIV/0!</v>
      </c>
      <c r="N106" s="530">
        <f>J106-L106</f>
        <v>590695.9167</v>
      </c>
      <c r="O106" s="531" t="str">
        <f>IFERROR((N106/L106),"")</f>
        <v/>
      </c>
      <c r="P106" s="475">
        <f>SUM(P107:P120)</f>
        <v>0</v>
      </c>
      <c r="Q106" s="532" t="str">
        <f t="shared" ref="Q106:Q108" si="138">P106/P$29</f>
        <v>#DIV/0!</v>
      </c>
      <c r="R106" s="444">
        <f>SUM(R107)</f>
        <v>0</v>
      </c>
      <c r="S106" s="529" t="str">
        <f>R106/R$29</f>
        <v>#DIV/0!</v>
      </c>
      <c r="T106" s="530">
        <f>P106-R106</f>
        <v>0</v>
      </c>
      <c r="U106" s="531" t="str">
        <f>IFERROR((T106/R106),"")</f>
        <v/>
      </c>
    </row>
    <row r="107" ht="15.75" customHeight="1">
      <c r="A107" s="425"/>
      <c r="B107" s="481"/>
      <c r="C107" s="481" t="s">
        <v>246</v>
      </c>
      <c r="D107" s="448">
        <v>30888.916666666664</v>
      </c>
      <c r="E107" s="448">
        <v>30888.916666666664</v>
      </c>
      <c r="F107" s="448">
        <v>30888.916666666664</v>
      </c>
      <c r="G107" s="448">
        <v>30888.916666666664</v>
      </c>
      <c r="H107" s="448">
        <v>30888.916666666664</v>
      </c>
      <c r="I107" s="580">
        <v>30888.916666666664</v>
      </c>
      <c r="J107" s="448">
        <v>30888.916666666664</v>
      </c>
      <c r="K107" s="533">
        <f t="shared" si="137"/>
        <v>0.001513600175</v>
      </c>
      <c r="L107" s="523"/>
      <c r="M107" s="533"/>
      <c r="N107" s="523"/>
      <c r="O107" s="536"/>
      <c r="P107" s="482"/>
      <c r="Q107" s="535" t="str">
        <f t="shared" si="138"/>
        <v>#DIV/0!</v>
      </c>
      <c r="R107" s="523"/>
      <c r="S107" s="533"/>
      <c r="T107" s="523"/>
      <c r="U107" s="536"/>
    </row>
    <row r="108" ht="15.75" customHeight="1">
      <c r="A108" s="425"/>
      <c r="B108" s="481"/>
      <c r="C108" s="481" t="s">
        <v>279</v>
      </c>
      <c r="D108" s="448">
        <v>260391.13</v>
      </c>
      <c r="E108" s="533"/>
      <c r="F108" s="523"/>
      <c r="G108" s="533"/>
      <c r="H108" s="523"/>
      <c r="I108" s="536"/>
      <c r="J108" s="448">
        <v>236128.0</v>
      </c>
      <c r="K108" s="533">
        <f t="shared" si="137"/>
        <v>0.01157060269</v>
      </c>
      <c r="L108" s="523"/>
      <c r="M108" s="533"/>
      <c r="N108" s="523"/>
      <c r="O108" s="536"/>
      <c r="P108" s="482"/>
      <c r="Q108" s="535" t="str">
        <f t="shared" si="138"/>
        <v>#DIV/0!</v>
      </c>
      <c r="R108" s="523"/>
      <c r="S108" s="533"/>
      <c r="T108" s="523"/>
      <c r="U108" s="536"/>
    </row>
    <row r="109" ht="15.75" customHeight="1">
      <c r="A109" s="425"/>
      <c r="B109" s="481"/>
      <c r="C109" s="481"/>
      <c r="D109" s="448"/>
      <c r="E109" s="533"/>
      <c r="F109" s="523"/>
      <c r="G109" s="533"/>
      <c r="H109" s="523"/>
      <c r="I109" s="536"/>
      <c r="J109" s="448"/>
      <c r="K109" s="533"/>
      <c r="L109" s="523"/>
      <c r="M109" s="533"/>
      <c r="N109" s="523"/>
      <c r="O109" s="536"/>
      <c r="P109" s="482"/>
      <c r="Q109" s="535"/>
      <c r="R109" s="523"/>
      <c r="S109" s="533"/>
      <c r="T109" s="523"/>
      <c r="U109" s="536"/>
    </row>
    <row r="110" ht="15.75" customHeight="1">
      <c r="A110" s="425"/>
      <c r="B110" s="481"/>
      <c r="C110" s="481"/>
      <c r="D110" s="448"/>
      <c r="E110" s="533"/>
      <c r="F110" s="523"/>
      <c r="G110" s="533"/>
      <c r="H110" s="523"/>
      <c r="I110" s="536"/>
      <c r="J110" s="448"/>
      <c r="K110" s="533"/>
      <c r="L110" s="523"/>
      <c r="M110" s="533"/>
      <c r="N110" s="523"/>
      <c r="O110" s="536"/>
      <c r="P110" s="482"/>
      <c r="Q110" s="535"/>
      <c r="R110" s="523"/>
      <c r="S110" s="533"/>
      <c r="T110" s="523"/>
      <c r="U110" s="536"/>
    </row>
    <row r="111" ht="15.75" customHeight="1">
      <c r="A111" s="425"/>
      <c r="B111" s="481"/>
      <c r="C111" s="481"/>
      <c r="D111" s="448"/>
      <c r="E111" s="533"/>
      <c r="F111" s="523"/>
      <c r="G111" s="533"/>
      <c r="H111" s="523"/>
      <c r="I111" s="536"/>
      <c r="J111" s="448"/>
      <c r="K111" s="533"/>
      <c r="L111" s="523"/>
      <c r="M111" s="533"/>
      <c r="N111" s="523"/>
      <c r="O111" s="536"/>
      <c r="P111" s="482"/>
      <c r="Q111" s="535"/>
      <c r="R111" s="523"/>
      <c r="S111" s="533"/>
      <c r="T111" s="523"/>
      <c r="U111" s="536"/>
    </row>
    <row r="112" ht="15.75" customHeight="1">
      <c r="A112" s="425"/>
      <c r="B112" s="450"/>
      <c r="C112" s="450" t="s">
        <v>249</v>
      </c>
      <c r="D112" s="452">
        <v>4213.0</v>
      </c>
      <c r="E112" s="538">
        <f>D112/D$29</f>
        <v>0.0002052447475</v>
      </c>
      <c r="F112" s="501"/>
      <c r="G112" s="538" t="str">
        <f>F112/F$29</f>
        <v>#DIV/0!</v>
      </c>
      <c r="H112" s="501">
        <f>D112-F112</f>
        <v>4213</v>
      </c>
      <c r="I112" s="542" t="str">
        <f>IFERROR((H112/F112),"")</f>
        <v/>
      </c>
      <c r="J112" s="452">
        <v>0.0</v>
      </c>
      <c r="K112" s="538">
        <f>J112/J$29</f>
        <v>0</v>
      </c>
      <c r="L112" s="501"/>
      <c r="M112" s="538" t="str">
        <f>L112/L$29</f>
        <v>#DIV/0!</v>
      </c>
      <c r="N112" s="501">
        <f>J112-L112</f>
        <v>0</v>
      </c>
      <c r="O112" s="542" t="str">
        <f>IFERROR((N112/L112),"")</f>
        <v/>
      </c>
      <c r="P112" s="459"/>
      <c r="Q112" s="541" t="str">
        <f>P112/P$29</f>
        <v>#DIV/0!</v>
      </c>
      <c r="R112" s="501"/>
      <c r="S112" s="538" t="str">
        <f>R112/R$29</f>
        <v>#DIV/0!</v>
      </c>
      <c r="T112" s="501">
        <f>P112-R112</f>
        <v>0</v>
      </c>
      <c r="U112" s="542" t="str">
        <f>IFERROR((T112/R112),"")</f>
        <v/>
      </c>
    </row>
    <row r="113" ht="15.75" customHeight="1">
      <c r="A113" s="425"/>
      <c r="B113" s="450"/>
      <c r="C113" s="450"/>
      <c r="D113" s="452"/>
      <c r="E113" s="538"/>
      <c r="F113" s="501"/>
      <c r="G113" s="538"/>
      <c r="H113" s="501"/>
      <c r="I113" s="542"/>
      <c r="J113" s="452"/>
      <c r="K113" s="538"/>
      <c r="L113" s="501"/>
      <c r="M113" s="538"/>
      <c r="N113" s="501"/>
      <c r="O113" s="542"/>
      <c r="P113" s="459"/>
      <c r="Q113" s="541"/>
      <c r="R113" s="501"/>
      <c r="S113" s="538"/>
      <c r="T113" s="501"/>
      <c r="U113" s="542"/>
    </row>
    <row r="114" ht="15.75" customHeight="1">
      <c r="A114" s="425"/>
      <c r="B114" s="450"/>
      <c r="C114" s="450" t="s">
        <v>250</v>
      </c>
      <c r="D114" s="452">
        <v>45828.0</v>
      </c>
      <c r="E114" s="538">
        <f>D114/D$29</f>
        <v>0.002232602964</v>
      </c>
      <c r="F114" s="501"/>
      <c r="G114" s="538" t="str">
        <f>F114/F$29</f>
        <v>#DIV/0!</v>
      </c>
      <c r="H114" s="501">
        <f>D114-F114</f>
        <v>45828</v>
      </c>
      <c r="I114" s="542" t="str">
        <f>IFERROR((H114/F114),"")</f>
        <v/>
      </c>
      <c r="J114" s="452">
        <v>63876.0</v>
      </c>
      <c r="K114" s="538">
        <f>J114/J$29</f>
        <v>0.003130013456</v>
      </c>
      <c r="L114" s="501"/>
      <c r="M114" s="538" t="str">
        <f>L114/L$29</f>
        <v>#DIV/0!</v>
      </c>
      <c r="N114" s="501">
        <f>J114-L114</f>
        <v>63876</v>
      </c>
      <c r="O114" s="542" t="str">
        <f>IFERROR((N114/L114),"")</f>
        <v/>
      </c>
      <c r="P114" s="459"/>
      <c r="Q114" s="541" t="str">
        <f>P114/P$29</f>
        <v>#DIV/0!</v>
      </c>
      <c r="R114" s="501"/>
      <c r="S114" s="538" t="str">
        <f>R114/R$29</f>
        <v>#DIV/0!</v>
      </c>
      <c r="T114" s="501">
        <f>P114-R114</f>
        <v>0</v>
      </c>
      <c r="U114" s="542" t="str">
        <f>IFERROR((T114/R114),"")</f>
        <v/>
      </c>
    </row>
    <row r="115" ht="15.75" customHeight="1">
      <c r="A115" s="425"/>
      <c r="B115" s="450"/>
      <c r="C115" s="450"/>
      <c r="D115" s="452"/>
      <c r="E115" s="538"/>
      <c r="F115" s="501"/>
      <c r="G115" s="538"/>
      <c r="H115" s="501"/>
      <c r="I115" s="542"/>
      <c r="J115" s="452"/>
      <c r="K115" s="538"/>
      <c r="L115" s="501"/>
      <c r="M115" s="538"/>
      <c r="N115" s="501"/>
      <c r="O115" s="542"/>
      <c r="P115" s="459"/>
      <c r="Q115" s="541"/>
      <c r="R115" s="501"/>
      <c r="S115" s="538"/>
      <c r="T115" s="501"/>
      <c r="U115" s="542"/>
    </row>
    <row r="116" ht="15.75" customHeight="1">
      <c r="A116" s="425"/>
      <c r="B116" s="450"/>
      <c r="C116" s="450" t="s">
        <v>252</v>
      </c>
      <c r="D116" s="452">
        <v>15700.0</v>
      </c>
      <c r="E116" s="538">
        <f>D116/D$29</f>
        <v>0.0007648569988</v>
      </c>
      <c r="F116" s="501"/>
      <c r="G116" s="538" t="str">
        <f>F116/F$29</f>
        <v>#DIV/0!</v>
      </c>
      <c r="H116" s="501">
        <f>D116-F116</f>
        <v>15700</v>
      </c>
      <c r="I116" s="542" t="str">
        <f>IFERROR((H116/F116),"")</f>
        <v/>
      </c>
      <c r="J116" s="452">
        <v>22700.0</v>
      </c>
      <c r="K116" s="538">
        <f>J116/J$29</f>
        <v>0.00111233179</v>
      </c>
      <c r="L116" s="501"/>
      <c r="M116" s="538" t="str">
        <f>L116/L$29</f>
        <v>#DIV/0!</v>
      </c>
      <c r="N116" s="501">
        <f>J116-L116</f>
        <v>22700</v>
      </c>
      <c r="O116" s="542" t="str">
        <f>IFERROR((N116/L116),"")</f>
        <v/>
      </c>
      <c r="P116" s="459"/>
      <c r="Q116" s="541" t="str">
        <f>P116/P$29</f>
        <v>#DIV/0!</v>
      </c>
      <c r="R116" s="501"/>
      <c r="S116" s="538" t="str">
        <f>R116/R$29</f>
        <v>#DIV/0!</v>
      </c>
      <c r="T116" s="501">
        <f>P116-R116</f>
        <v>0</v>
      </c>
      <c r="U116" s="542" t="str">
        <f>IFERROR((T116/R116),"")</f>
        <v/>
      </c>
    </row>
    <row r="117" ht="15.75" customHeight="1">
      <c r="A117" s="425"/>
      <c r="B117" s="450"/>
      <c r="C117" s="450"/>
      <c r="D117" s="452"/>
      <c r="E117" s="538"/>
      <c r="F117" s="501"/>
      <c r="G117" s="538"/>
      <c r="H117" s="501"/>
      <c r="I117" s="542"/>
      <c r="J117" s="452"/>
      <c r="K117" s="538"/>
      <c r="L117" s="501"/>
      <c r="M117" s="538"/>
      <c r="N117" s="501"/>
      <c r="O117" s="542"/>
      <c r="P117" s="459"/>
      <c r="Q117" s="541"/>
      <c r="R117" s="501"/>
      <c r="S117" s="538"/>
      <c r="T117" s="501"/>
      <c r="U117" s="542"/>
    </row>
    <row r="118" ht="15.75" customHeight="1">
      <c r="A118" s="425"/>
      <c r="B118" s="450"/>
      <c r="C118" s="450" t="s">
        <v>280</v>
      </c>
      <c r="D118" s="452">
        <v>43464.0</v>
      </c>
      <c r="E118" s="538">
        <f>D118/D$29</f>
        <v>0.002117435961</v>
      </c>
      <c r="F118" s="501"/>
      <c r="G118" s="538" t="str">
        <f>F118/F$29</f>
        <v>#DIV/0!</v>
      </c>
      <c r="H118" s="501">
        <f>D118-F118</f>
        <v>43464</v>
      </c>
      <c r="I118" s="542" t="str">
        <f>IFERROR((H118/F118),"")</f>
        <v/>
      </c>
      <c r="J118" s="452">
        <v>45692.0</v>
      </c>
      <c r="K118" s="538">
        <f>J118/J$29</f>
        <v>0.00223897199</v>
      </c>
      <c r="L118" s="501"/>
      <c r="M118" s="538" t="str">
        <f>L118/L$29</f>
        <v>#DIV/0!</v>
      </c>
      <c r="N118" s="501">
        <f>J118-L118</f>
        <v>45692</v>
      </c>
      <c r="O118" s="542" t="str">
        <f>IFERROR((N118/L118),"")</f>
        <v/>
      </c>
      <c r="P118" s="459"/>
      <c r="Q118" s="541" t="str">
        <f>P118/P$29</f>
        <v>#DIV/0!</v>
      </c>
      <c r="R118" s="501"/>
      <c r="S118" s="538" t="str">
        <f>R118/R$29</f>
        <v>#DIV/0!</v>
      </c>
      <c r="T118" s="501">
        <f>P118-R118</f>
        <v>0</v>
      </c>
      <c r="U118" s="542" t="str">
        <f>IFERROR((T118/R118),"")</f>
        <v/>
      </c>
    </row>
    <row r="119" ht="15.75" customHeight="1">
      <c r="A119" s="425"/>
      <c r="B119" s="450"/>
      <c r="C119" s="450"/>
      <c r="D119" s="452"/>
      <c r="E119" s="538"/>
      <c r="F119" s="501"/>
      <c r="G119" s="538"/>
      <c r="H119" s="501"/>
      <c r="I119" s="542"/>
      <c r="J119" s="452"/>
      <c r="K119" s="538"/>
      <c r="L119" s="501"/>
      <c r="M119" s="538"/>
      <c r="N119" s="501"/>
      <c r="O119" s="542"/>
      <c r="P119" s="459"/>
      <c r="Q119" s="541"/>
      <c r="R119" s="501"/>
      <c r="S119" s="538"/>
      <c r="T119" s="501"/>
      <c r="U119" s="542"/>
    </row>
    <row r="120" ht="15.75" customHeight="1">
      <c r="A120" s="425"/>
      <c r="B120" s="450"/>
      <c r="C120" s="450" t="s">
        <v>281</v>
      </c>
      <c r="D120" s="452">
        <v>224198.0</v>
      </c>
      <c r="E120" s="538">
        <f>D120/D$29</f>
        <v>0.01092225538</v>
      </c>
      <c r="F120" s="501"/>
      <c r="G120" s="521"/>
      <c r="H120" s="501"/>
      <c r="I120" s="464"/>
      <c r="J120" s="452">
        <v>191411.0</v>
      </c>
      <c r="K120" s="538">
        <f>J120/J$29</f>
        <v>0.009379407063</v>
      </c>
      <c r="L120" s="501"/>
      <c r="M120" s="521"/>
      <c r="N120" s="501"/>
      <c r="O120" s="464"/>
      <c r="P120" s="459"/>
      <c r="Q120" s="541" t="str">
        <f>P120/P$29</f>
        <v>#DIV/0!</v>
      </c>
      <c r="R120" s="501"/>
      <c r="S120" s="521"/>
      <c r="T120" s="501"/>
      <c r="U120" s="464"/>
    </row>
    <row r="121" ht="15.75" customHeight="1">
      <c r="A121" s="425"/>
      <c r="B121" s="468"/>
      <c r="C121" s="585"/>
      <c r="D121" s="470"/>
      <c r="E121" s="526"/>
      <c r="F121" s="527"/>
      <c r="G121" s="526"/>
      <c r="H121" s="527"/>
      <c r="I121" s="528"/>
      <c r="J121" s="470"/>
      <c r="K121" s="526"/>
      <c r="L121" s="527"/>
      <c r="M121" s="526"/>
      <c r="N121" s="527"/>
      <c r="O121" s="528"/>
      <c r="P121" s="472"/>
      <c r="Q121" s="577"/>
      <c r="R121" s="527"/>
      <c r="S121" s="526"/>
      <c r="T121" s="527"/>
      <c r="U121" s="528"/>
    </row>
    <row r="122" ht="15.75" customHeight="1">
      <c r="A122" s="425"/>
      <c r="B122" s="474"/>
      <c r="C122" s="492" t="s">
        <v>41</v>
      </c>
      <c r="D122" s="444">
        <f>SUM(D123:D125)</f>
        <v>8260</v>
      </c>
      <c r="E122" s="529">
        <f t="shared" ref="E122:E124" si="139">D122/D$29</f>
        <v>0.000402402472</v>
      </c>
      <c r="F122" s="444">
        <f>SUM(F123:F125)</f>
        <v>0</v>
      </c>
      <c r="G122" s="529" t="str">
        <f t="shared" ref="G122:G123" si="140">F122/F$29</f>
        <v>#DIV/0!</v>
      </c>
      <c r="H122" s="444">
        <f>SUM(H123:H125)</f>
        <v>0</v>
      </c>
      <c r="I122" s="531">
        <f>H122/H$29</f>
        <v>0</v>
      </c>
      <c r="J122" s="444">
        <f>SUM(J123:J125)</f>
        <v>32384</v>
      </c>
      <c r="K122" s="529">
        <f t="shared" ref="K122:K124" si="141">J122/J$29</f>
        <v>0.001586861352</v>
      </c>
      <c r="L122" s="444">
        <f>SUM(L123:L125)</f>
        <v>0</v>
      </c>
      <c r="M122" s="529" t="str">
        <f t="shared" ref="M122:M123" si="142">L122/L$29</f>
        <v>#DIV/0!</v>
      </c>
      <c r="N122" s="444">
        <f>SUM(N123:N125)</f>
        <v>0</v>
      </c>
      <c r="O122" s="531">
        <f>N122/N$29</f>
        <v>0</v>
      </c>
      <c r="P122" s="475">
        <f>SUM(P123:P125)</f>
        <v>0</v>
      </c>
      <c r="Q122" s="532" t="str">
        <f t="shared" ref="Q122:Q124" si="143">P122/P$29</f>
        <v>#DIV/0!</v>
      </c>
      <c r="R122" s="444">
        <f>SUM(R123:R125)</f>
        <v>0</v>
      </c>
      <c r="S122" s="529" t="str">
        <f t="shared" ref="S122:S123" si="144">R122/R$29</f>
        <v>#DIV/0!</v>
      </c>
      <c r="T122" s="444">
        <f>SUM(T123:T125)</f>
        <v>0</v>
      </c>
      <c r="U122" s="531" t="str">
        <f>T122/T$29</f>
        <v>#DIV/0!</v>
      </c>
    </row>
    <row r="123" ht="15.75" customHeight="1">
      <c r="A123" s="425"/>
      <c r="B123" s="481"/>
      <c r="C123" s="481" t="s">
        <v>282</v>
      </c>
      <c r="D123" s="448"/>
      <c r="E123" s="533">
        <f t="shared" si="139"/>
        <v>0</v>
      </c>
      <c r="F123" s="523"/>
      <c r="G123" s="533" t="str">
        <f t="shared" si="140"/>
        <v>#DIV/0!</v>
      </c>
      <c r="H123" s="523"/>
      <c r="I123" s="536" t="str">
        <f>IFERROR((H123/F123),"")</f>
        <v/>
      </c>
      <c r="J123" s="448"/>
      <c r="K123" s="533">
        <f t="shared" si="141"/>
        <v>0</v>
      </c>
      <c r="L123" s="523"/>
      <c r="M123" s="533" t="str">
        <f t="shared" si="142"/>
        <v>#DIV/0!</v>
      </c>
      <c r="N123" s="523"/>
      <c r="O123" s="536" t="str">
        <f>IFERROR((N123/L123),"")</f>
        <v/>
      </c>
      <c r="P123" s="482"/>
      <c r="Q123" s="535" t="str">
        <f t="shared" si="143"/>
        <v>#DIV/0!</v>
      </c>
      <c r="R123" s="523"/>
      <c r="S123" s="533" t="str">
        <f t="shared" si="144"/>
        <v>#DIV/0!</v>
      </c>
      <c r="T123" s="523"/>
      <c r="U123" s="536" t="str">
        <f>IFERROR((T123/R123),"")</f>
        <v/>
      </c>
    </row>
    <row r="124" ht="15.75" customHeight="1">
      <c r="A124" s="425"/>
      <c r="B124" s="468"/>
      <c r="C124" s="468" t="s">
        <v>41</v>
      </c>
      <c r="D124" s="470">
        <v>8260.0</v>
      </c>
      <c r="E124" s="533">
        <f t="shared" si="139"/>
        <v>0.000402402472</v>
      </c>
      <c r="F124" s="527"/>
      <c r="G124" s="545"/>
      <c r="H124" s="527"/>
      <c r="I124" s="546"/>
      <c r="J124" s="470">
        <v>32384.0</v>
      </c>
      <c r="K124" s="533">
        <f t="shared" si="141"/>
        <v>0.001586861352</v>
      </c>
      <c r="L124" s="527"/>
      <c r="M124" s="545"/>
      <c r="N124" s="527"/>
      <c r="O124" s="546"/>
      <c r="P124" s="472"/>
      <c r="Q124" s="535" t="str">
        <f t="shared" si="143"/>
        <v>#DIV/0!</v>
      </c>
      <c r="R124" s="527"/>
      <c r="S124" s="545"/>
      <c r="T124" s="527"/>
      <c r="U124" s="546"/>
    </row>
    <row r="125" ht="15.75" customHeight="1">
      <c r="A125" s="425"/>
      <c r="B125" s="468"/>
      <c r="C125" s="468"/>
      <c r="D125" s="470"/>
      <c r="E125" s="526"/>
      <c r="F125" s="527"/>
      <c r="G125" s="526"/>
      <c r="H125" s="527"/>
      <c r="I125" s="546" t="str">
        <f>IFERROR((H125/F125),"")</f>
        <v/>
      </c>
      <c r="J125" s="470"/>
      <c r="K125" s="526"/>
      <c r="L125" s="527"/>
      <c r="M125" s="526"/>
      <c r="N125" s="527"/>
      <c r="O125" s="546" t="str">
        <f>IFERROR((N125/L125),"")</f>
        <v/>
      </c>
      <c r="P125" s="472"/>
      <c r="Q125" s="577"/>
      <c r="R125" s="527"/>
      <c r="S125" s="526"/>
      <c r="T125" s="527"/>
      <c r="U125" s="546" t="str">
        <f>IFERROR((T125/R125),"")</f>
        <v/>
      </c>
    </row>
    <row r="126" ht="15.75" customHeight="1">
      <c r="A126" s="425"/>
      <c r="B126" s="474"/>
      <c r="C126" s="492" t="s">
        <v>42</v>
      </c>
      <c r="D126" s="444">
        <f>SUM(D127)</f>
        <v>0</v>
      </c>
      <c r="E126" s="529">
        <f t="shared" ref="E126:E127" si="145">D126/D$29</f>
        <v>0</v>
      </c>
      <c r="F126" s="530">
        <f>SUM(F127)</f>
        <v>0</v>
      </c>
      <c r="G126" s="529" t="str">
        <f>F126/F$29</f>
        <v>#DIV/0!</v>
      </c>
      <c r="H126" s="530">
        <f>SUM(H127)</f>
        <v>0</v>
      </c>
      <c r="I126" s="531">
        <f>H126/H$29</f>
        <v>0</v>
      </c>
      <c r="J126" s="444">
        <f>SUM(J127)</f>
        <v>0</v>
      </c>
      <c r="K126" s="529">
        <f t="shared" ref="K126:K127" si="146">J126/J$29</f>
        <v>0</v>
      </c>
      <c r="L126" s="530">
        <f>SUM(L127)</f>
        <v>0</v>
      </c>
      <c r="M126" s="529" t="str">
        <f>L126/L$29</f>
        <v>#DIV/0!</v>
      </c>
      <c r="N126" s="530">
        <f>SUM(N127)</f>
        <v>0</v>
      </c>
      <c r="O126" s="531">
        <f>N126/N$29</f>
        <v>0</v>
      </c>
      <c r="P126" s="475">
        <f>SUM(P127)</f>
        <v>0</v>
      </c>
      <c r="Q126" s="532" t="str">
        <f t="shared" ref="Q126:Q127" si="147">P126/P$29</f>
        <v>#DIV/0!</v>
      </c>
      <c r="R126" s="530">
        <f>SUM(R127)</f>
        <v>0</v>
      </c>
      <c r="S126" s="529" t="str">
        <f>R126/R$29</f>
        <v>#DIV/0!</v>
      </c>
      <c r="T126" s="530">
        <f>SUM(T127)</f>
        <v>0</v>
      </c>
      <c r="U126" s="531" t="str">
        <f>T126/T$29</f>
        <v>#DIV/0!</v>
      </c>
    </row>
    <row r="127" ht="15.75" customHeight="1">
      <c r="A127" s="425"/>
      <c r="B127" s="481"/>
      <c r="C127" s="481" t="s">
        <v>283</v>
      </c>
      <c r="D127" s="448">
        <v>0.0</v>
      </c>
      <c r="E127" s="533">
        <f t="shared" si="145"/>
        <v>0</v>
      </c>
      <c r="F127" s="523"/>
      <c r="G127" s="522"/>
      <c r="H127" s="523"/>
      <c r="I127" s="536" t="str">
        <f>IFERROR((H127/F127),"")</f>
        <v/>
      </c>
      <c r="J127" s="448">
        <v>0.0</v>
      </c>
      <c r="K127" s="533">
        <f t="shared" si="146"/>
        <v>0</v>
      </c>
      <c r="L127" s="523"/>
      <c r="M127" s="522"/>
      <c r="N127" s="523"/>
      <c r="O127" s="536" t="str">
        <f>IFERROR((N127/L127),"")</f>
        <v/>
      </c>
      <c r="P127" s="482">
        <v>0.0</v>
      </c>
      <c r="Q127" s="535" t="str">
        <f t="shared" si="147"/>
        <v>#DIV/0!</v>
      </c>
      <c r="R127" s="523"/>
      <c r="S127" s="522"/>
      <c r="T127" s="523"/>
      <c r="U127" s="536" t="str">
        <f>IFERROR((T127/R127),"")</f>
        <v/>
      </c>
    </row>
    <row r="128" ht="15.75" customHeight="1">
      <c r="A128" s="425"/>
      <c r="B128" s="450"/>
      <c r="C128" s="450"/>
      <c r="D128" s="452"/>
      <c r="E128" s="521"/>
      <c r="F128" s="501"/>
      <c r="G128" s="521"/>
      <c r="H128" s="501"/>
      <c r="I128" s="464"/>
      <c r="J128" s="452"/>
      <c r="K128" s="521"/>
      <c r="L128" s="501"/>
      <c r="M128" s="521"/>
      <c r="N128" s="501"/>
      <c r="O128" s="464"/>
      <c r="P128" s="459"/>
      <c r="Q128" s="552"/>
      <c r="R128" s="501"/>
      <c r="S128" s="521"/>
      <c r="T128" s="501"/>
      <c r="U128" s="464"/>
    </row>
    <row r="129" ht="15.75" customHeight="1">
      <c r="A129" s="425"/>
      <c r="B129" s="468"/>
      <c r="C129" s="468"/>
      <c r="D129" s="470"/>
      <c r="E129" s="526"/>
      <c r="F129" s="527"/>
      <c r="G129" s="526"/>
      <c r="H129" s="527"/>
      <c r="I129" s="528"/>
      <c r="J129" s="470"/>
      <c r="K129" s="526"/>
      <c r="L129" s="527"/>
      <c r="M129" s="526"/>
      <c r="N129" s="527"/>
      <c r="O129" s="528"/>
      <c r="P129" s="472"/>
      <c r="Q129" s="577"/>
      <c r="R129" s="527"/>
      <c r="S129" s="526"/>
      <c r="T129" s="527"/>
      <c r="U129" s="528"/>
    </row>
    <row r="130" ht="15.75" customHeight="1">
      <c r="A130" s="425"/>
      <c r="B130" s="474"/>
      <c r="C130" s="474" t="s">
        <v>257</v>
      </c>
      <c r="D130" s="444">
        <f>D51+D60+D69+D75+D81+D92+D95+D99+D122+D126+D106+D112+D114+D116+D118+D120</f>
        <v>9675194.437</v>
      </c>
      <c r="E130" s="529">
        <f>D130/D$29</f>
        <v>0.4713465082</v>
      </c>
      <c r="F130" s="444">
        <f>F51+F60+F69+F75+F81+F92+F95+F99+F122+F126+F106+F112+F114+F116+F118+F120</f>
        <v>2298510.5</v>
      </c>
      <c r="G130" s="529" t="str">
        <f>F130/F$29</f>
        <v>#DIV/0!</v>
      </c>
      <c r="H130" s="444">
        <f>H51+H60+H69+H75+H81+H92+H95+H99+H122+H126+H106</f>
        <v>8669935.763</v>
      </c>
      <c r="I130" s="531">
        <f>IFERROR((H130/F130),"")</f>
        <v>3.771980055</v>
      </c>
      <c r="J130" s="444">
        <f>J51+J60+J69+J75+J81+J92+J95+J99+J122+J126+J106+J112+J114+J116+J118+J120</f>
        <v>9198912.357</v>
      </c>
      <c r="K130" s="529">
        <f>J130/J$29</f>
        <v>0.4507595882</v>
      </c>
      <c r="L130" s="444">
        <f>L51+L60+L69+L75+L81+L92+L95+L99+L122+L126+L106+L112+L114+L116+L118+L120</f>
        <v>0</v>
      </c>
      <c r="M130" s="529" t="str">
        <f>L130/L$29</f>
        <v>#DIV/0!</v>
      </c>
      <c r="N130" s="444">
        <f>N51+N60+N69+N75+N81+N92+N95+N99+N122+N126+N106</f>
        <v>7562664.417</v>
      </c>
      <c r="O130" s="531" t="str">
        <f>IFERROR((N130/L130),"")</f>
        <v/>
      </c>
      <c r="P130" s="475">
        <f>P51+P60+P69+P75+P81+P92+P95+P99+P122+P126+P106+P112+P114+P116+P118+P120</f>
        <v>0</v>
      </c>
      <c r="Q130" s="532" t="str">
        <f>P130/P$29</f>
        <v>#DIV/0!</v>
      </c>
      <c r="R130" s="444">
        <f>R51+R60+R69+R75+R81+R92+R95+R99+R122+R126+R106+R112+R114+R116+R118+R120</f>
        <v>0</v>
      </c>
      <c r="S130" s="529" t="str">
        <f>R130/R$29</f>
        <v>#DIV/0!</v>
      </c>
      <c r="T130" s="444">
        <f>T51+T60+T69+T75+T81+T92+T95+T99+T122+T126+T106</f>
        <v>0</v>
      </c>
      <c r="U130" s="531" t="str">
        <f>IFERROR((T130/R130),"")</f>
        <v/>
      </c>
    </row>
    <row r="131" ht="15.75" customHeight="1">
      <c r="A131" s="425"/>
      <c r="B131" s="508"/>
      <c r="C131" s="508"/>
      <c r="D131" s="494"/>
      <c r="E131" s="586"/>
      <c r="F131" s="563"/>
      <c r="G131" s="586"/>
      <c r="H131" s="563"/>
      <c r="I131" s="440"/>
      <c r="J131" s="494"/>
      <c r="K131" s="586"/>
      <c r="L131" s="563"/>
      <c r="M131" s="586"/>
      <c r="N131" s="563"/>
      <c r="O131" s="440"/>
      <c r="P131" s="495"/>
      <c r="Q131" s="587"/>
      <c r="R131" s="563"/>
      <c r="S131" s="586"/>
      <c r="T131" s="563"/>
      <c r="U131" s="440"/>
    </row>
    <row r="132" ht="15.75" customHeight="1">
      <c r="A132" s="425"/>
      <c r="B132" s="474"/>
      <c r="C132" s="474" t="s">
        <v>258</v>
      </c>
      <c r="D132" s="444">
        <f>D42-D130</f>
        <v>3740422.056</v>
      </c>
      <c r="E132" s="529">
        <f>D132/D$29</f>
        <v>0.1822221648</v>
      </c>
      <c r="F132" s="444">
        <f>F42-F130</f>
        <v>-2298510.5</v>
      </c>
      <c r="G132" s="529" t="str">
        <f>F132/F$29</f>
        <v>#DIV/0!</v>
      </c>
      <c r="H132" s="444">
        <f>H42-H130</f>
        <v>4745680.729</v>
      </c>
      <c r="I132" s="531">
        <f>IFERROR((H132/F132),"")</f>
        <v>-2.06467655</v>
      </c>
      <c r="J132" s="444">
        <f>J42-J130</f>
        <v>3953343.47</v>
      </c>
      <c r="K132" s="529">
        <f>J132/J$29</f>
        <v>0.1937193665</v>
      </c>
      <c r="L132" s="444">
        <f>L42-L130</f>
        <v>0</v>
      </c>
      <c r="M132" s="529" t="str">
        <f>L132/L$29</f>
        <v>#DIV/0!</v>
      </c>
      <c r="N132" s="444">
        <f>N42-N130</f>
        <v>5589591.41</v>
      </c>
      <c r="O132" s="531" t="str">
        <f>IFERROR((N132/L132),"")</f>
        <v/>
      </c>
      <c r="P132" s="475">
        <f>P42-P130</f>
        <v>0</v>
      </c>
      <c r="Q132" s="532" t="str">
        <f>P132/P$29</f>
        <v>#DIV/0!</v>
      </c>
      <c r="R132" s="444">
        <f>R42-R130</f>
        <v>0</v>
      </c>
      <c r="S132" s="529" t="str">
        <f>R132/R$29</f>
        <v>#DIV/0!</v>
      </c>
      <c r="T132" s="444">
        <f>T42-T130</f>
        <v>0</v>
      </c>
      <c r="U132" s="531" t="str">
        <f>IFERROR((T132/R132),"")</f>
        <v/>
      </c>
    </row>
    <row r="133" ht="15.75" customHeight="1">
      <c r="A133" s="425"/>
      <c r="B133" s="425"/>
      <c r="C133" s="425"/>
      <c r="D133" s="511"/>
      <c r="E133" s="425"/>
      <c r="F133" s="511"/>
      <c r="G133" s="425"/>
      <c r="H133" s="511"/>
      <c r="I133" s="425"/>
      <c r="J133" s="511"/>
      <c r="K133" s="425"/>
      <c r="L133" s="511"/>
      <c r="M133" s="425"/>
      <c r="N133" s="511"/>
      <c r="O133" s="425"/>
      <c r="P133" s="511"/>
      <c r="Q133" s="425"/>
      <c r="R133" s="511"/>
      <c r="S133" s="425"/>
      <c r="T133" s="511"/>
      <c r="U133" s="425"/>
    </row>
    <row r="134" ht="15.75" customHeight="1">
      <c r="A134" s="425"/>
      <c r="B134" s="425"/>
      <c r="C134" s="425"/>
      <c r="D134" s="588"/>
      <c r="E134" s="425"/>
      <c r="F134" s="511"/>
      <c r="G134" s="425"/>
      <c r="H134" s="511"/>
      <c r="I134" s="425"/>
      <c r="J134" s="588"/>
      <c r="K134" s="425"/>
      <c r="L134" s="511"/>
      <c r="M134" s="425"/>
      <c r="N134" s="511"/>
      <c r="O134" s="425"/>
      <c r="P134" s="588"/>
      <c r="Q134" s="425"/>
      <c r="R134" s="511"/>
      <c r="S134" s="425"/>
      <c r="T134" s="511"/>
      <c r="U134" s="425"/>
    </row>
    <row r="135" ht="15.75" customHeight="1">
      <c r="A135" s="425"/>
      <c r="B135" s="425"/>
      <c r="C135" s="425"/>
      <c r="D135" s="511"/>
      <c r="E135" s="425"/>
      <c r="F135" s="511"/>
      <c r="G135" s="425"/>
      <c r="H135" s="511"/>
      <c r="I135" s="425"/>
      <c r="J135" s="511"/>
      <c r="K135" s="425"/>
      <c r="L135" s="511"/>
      <c r="M135" s="425"/>
      <c r="N135" s="511"/>
      <c r="O135" s="425"/>
      <c r="P135" s="511"/>
      <c r="Q135" s="425"/>
      <c r="R135" s="511"/>
      <c r="S135" s="425"/>
      <c r="T135" s="511"/>
      <c r="U135" s="425"/>
    </row>
    <row r="136" ht="15.75" customHeight="1">
      <c r="A136" s="425"/>
      <c r="B136" s="425"/>
      <c r="C136" s="425"/>
      <c r="D136" s="511"/>
      <c r="E136" s="425"/>
      <c r="F136" s="511"/>
      <c r="G136" s="425"/>
      <c r="H136" s="511"/>
      <c r="I136" s="425"/>
      <c r="J136" s="511"/>
      <c r="K136" s="425"/>
      <c r="L136" s="511"/>
      <c r="M136" s="425"/>
      <c r="N136" s="511"/>
      <c r="O136" s="425"/>
      <c r="P136" s="511"/>
      <c r="Q136" s="425"/>
      <c r="R136" s="511"/>
      <c r="S136" s="425"/>
      <c r="T136" s="511"/>
      <c r="U136" s="425"/>
    </row>
    <row r="137" ht="15.75" customHeight="1">
      <c r="A137" s="425"/>
      <c r="B137" s="425"/>
      <c r="C137" s="425"/>
      <c r="D137" s="511"/>
      <c r="E137" s="425"/>
      <c r="F137" s="511"/>
      <c r="G137" s="425"/>
      <c r="H137" s="511"/>
      <c r="I137" s="425"/>
      <c r="J137" s="511"/>
      <c r="K137" s="425"/>
      <c r="L137" s="511"/>
      <c r="M137" s="425"/>
      <c r="N137" s="511"/>
      <c r="O137" s="425"/>
      <c r="P137" s="511"/>
      <c r="Q137" s="425"/>
      <c r="R137" s="511"/>
      <c r="S137" s="425"/>
      <c r="T137" s="511"/>
      <c r="U137" s="425"/>
    </row>
    <row r="138" ht="15.75" customHeight="1">
      <c r="A138" s="425"/>
      <c r="B138" s="425"/>
      <c r="C138" s="425"/>
      <c r="D138" s="511"/>
      <c r="E138" s="425"/>
      <c r="F138" s="511"/>
      <c r="G138" s="425"/>
      <c r="H138" s="511"/>
      <c r="I138" s="425"/>
      <c r="J138" s="511"/>
      <c r="K138" s="425"/>
      <c r="L138" s="511"/>
      <c r="M138" s="425"/>
      <c r="N138" s="511"/>
      <c r="O138" s="425"/>
      <c r="P138" s="511"/>
      <c r="Q138" s="425"/>
      <c r="R138" s="511"/>
      <c r="S138" s="425"/>
      <c r="T138" s="511"/>
      <c r="U138" s="425"/>
    </row>
    <row r="139" ht="15.75" customHeight="1">
      <c r="A139" s="425"/>
      <c r="B139" s="425"/>
      <c r="C139" s="425"/>
      <c r="D139" s="511"/>
      <c r="E139" s="425"/>
      <c r="F139" s="511"/>
      <c r="G139" s="425"/>
      <c r="H139" s="511"/>
      <c r="I139" s="425"/>
      <c r="J139" s="511"/>
      <c r="K139" s="425"/>
      <c r="L139" s="511"/>
      <c r="M139" s="425"/>
      <c r="N139" s="511"/>
      <c r="O139" s="425"/>
      <c r="P139" s="511"/>
      <c r="Q139" s="425"/>
      <c r="R139" s="511"/>
      <c r="S139" s="425"/>
      <c r="T139" s="511"/>
      <c r="U139" s="425"/>
    </row>
    <row r="140" ht="15.75" customHeight="1">
      <c r="A140" s="425"/>
      <c r="B140" s="425"/>
      <c r="C140" s="425"/>
      <c r="D140" s="511"/>
      <c r="E140" s="425"/>
      <c r="F140" s="511"/>
      <c r="G140" s="425"/>
      <c r="H140" s="511"/>
      <c r="I140" s="425"/>
      <c r="J140" s="511"/>
      <c r="K140" s="425"/>
      <c r="L140" s="511"/>
      <c r="M140" s="425"/>
      <c r="N140" s="511"/>
      <c r="O140" s="425"/>
      <c r="P140" s="511"/>
      <c r="Q140" s="425"/>
      <c r="R140" s="511"/>
      <c r="S140" s="425"/>
      <c r="T140" s="511"/>
      <c r="U140" s="425"/>
    </row>
    <row r="141" ht="15.75" customHeight="1">
      <c r="A141" s="425"/>
      <c r="B141" s="425"/>
      <c r="C141" s="425"/>
      <c r="D141" s="511"/>
      <c r="E141" s="425"/>
      <c r="F141" s="511"/>
      <c r="G141" s="425"/>
      <c r="H141" s="511"/>
      <c r="I141" s="425"/>
      <c r="J141" s="511"/>
      <c r="K141" s="425"/>
      <c r="L141" s="511"/>
      <c r="M141" s="425"/>
      <c r="N141" s="511"/>
      <c r="O141" s="425"/>
      <c r="P141" s="511"/>
      <c r="Q141" s="425"/>
      <c r="R141" s="511"/>
      <c r="S141" s="425"/>
      <c r="T141" s="511"/>
      <c r="U141" s="425"/>
    </row>
    <row r="142" ht="15.75" customHeight="1">
      <c r="A142" s="425"/>
      <c r="B142" s="425"/>
      <c r="C142" s="425"/>
      <c r="D142" s="511"/>
      <c r="E142" s="425"/>
      <c r="F142" s="511"/>
      <c r="G142" s="425"/>
      <c r="H142" s="511"/>
      <c r="I142" s="425"/>
      <c r="J142" s="511"/>
      <c r="K142" s="425"/>
      <c r="L142" s="511"/>
      <c r="M142" s="425"/>
      <c r="N142" s="511"/>
      <c r="O142" s="425"/>
      <c r="P142" s="511"/>
      <c r="Q142" s="425"/>
      <c r="R142" s="511"/>
      <c r="S142" s="425"/>
      <c r="T142" s="511"/>
      <c r="U142" s="425"/>
    </row>
    <row r="143" ht="15.75" customHeight="1">
      <c r="A143" s="425"/>
      <c r="B143" s="425"/>
      <c r="C143" s="425"/>
      <c r="D143" s="511"/>
      <c r="E143" s="425"/>
      <c r="F143" s="511"/>
      <c r="G143" s="425"/>
      <c r="H143" s="511"/>
      <c r="I143" s="425"/>
      <c r="J143" s="511"/>
      <c r="K143" s="425"/>
      <c r="L143" s="511"/>
      <c r="M143" s="425"/>
      <c r="N143" s="511"/>
      <c r="O143" s="425"/>
      <c r="P143" s="511"/>
      <c r="Q143" s="425"/>
      <c r="R143" s="511"/>
      <c r="S143" s="425"/>
      <c r="T143" s="511"/>
      <c r="U143" s="425"/>
    </row>
    <row r="144" ht="15.75" customHeight="1">
      <c r="A144" s="425"/>
      <c r="B144" s="425"/>
      <c r="C144" s="425"/>
      <c r="D144" s="511"/>
      <c r="E144" s="425"/>
      <c r="F144" s="511"/>
      <c r="G144" s="425"/>
      <c r="H144" s="511"/>
      <c r="I144" s="425"/>
      <c r="J144" s="511"/>
      <c r="K144" s="425"/>
      <c r="L144" s="511"/>
      <c r="M144" s="425"/>
      <c r="N144" s="511"/>
      <c r="O144" s="425"/>
      <c r="P144" s="511"/>
      <c r="Q144" s="425"/>
      <c r="R144" s="511"/>
      <c r="S144" s="425"/>
      <c r="T144" s="511"/>
      <c r="U144" s="425"/>
    </row>
    <row r="145" ht="15.75" customHeight="1">
      <c r="A145" s="425"/>
      <c r="B145" s="425"/>
      <c r="C145" s="425"/>
      <c r="D145" s="511"/>
      <c r="E145" s="425"/>
      <c r="F145" s="511"/>
      <c r="G145" s="425"/>
      <c r="H145" s="511"/>
      <c r="I145" s="425"/>
      <c r="J145" s="511"/>
      <c r="K145" s="425"/>
      <c r="L145" s="511"/>
      <c r="M145" s="425"/>
      <c r="N145" s="511"/>
      <c r="O145" s="425"/>
      <c r="P145" s="511"/>
      <c r="Q145" s="425"/>
      <c r="R145" s="511"/>
      <c r="S145" s="425"/>
      <c r="T145" s="511"/>
      <c r="U145" s="425"/>
    </row>
    <row r="146" ht="15.75" customHeight="1">
      <c r="A146" s="425"/>
      <c r="B146" s="425"/>
      <c r="C146" s="425"/>
      <c r="D146" s="511"/>
      <c r="E146" s="425"/>
      <c r="F146" s="511"/>
      <c r="G146" s="425"/>
      <c r="H146" s="511"/>
      <c r="I146" s="425"/>
      <c r="J146" s="511"/>
      <c r="K146" s="425"/>
      <c r="L146" s="511"/>
      <c r="M146" s="425"/>
      <c r="N146" s="511"/>
      <c r="O146" s="425"/>
      <c r="P146" s="511"/>
      <c r="Q146" s="425"/>
      <c r="R146" s="511"/>
      <c r="S146" s="425"/>
      <c r="T146" s="511"/>
      <c r="U146" s="425"/>
    </row>
    <row r="147" ht="15.75" customHeight="1">
      <c r="A147" s="425"/>
      <c r="B147" s="425"/>
      <c r="C147" s="425"/>
      <c r="D147" s="511"/>
      <c r="E147" s="425"/>
      <c r="F147" s="511"/>
      <c r="G147" s="425"/>
      <c r="H147" s="511"/>
      <c r="I147" s="425"/>
      <c r="J147" s="511"/>
      <c r="K147" s="425"/>
      <c r="L147" s="511"/>
      <c r="M147" s="425"/>
      <c r="N147" s="511"/>
      <c r="O147" s="425"/>
      <c r="P147" s="511"/>
      <c r="Q147" s="425"/>
      <c r="R147" s="511"/>
      <c r="S147" s="425"/>
      <c r="T147" s="511"/>
      <c r="U147" s="425"/>
    </row>
    <row r="148" ht="15.75" customHeight="1">
      <c r="A148" s="425"/>
      <c r="B148" s="425"/>
      <c r="C148" s="425"/>
      <c r="D148" s="511"/>
      <c r="E148" s="425"/>
      <c r="F148" s="511"/>
      <c r="G148" s="425"/>
      <c r="H148" s="511"/>
      <c r="I148" s="425"/>
      <c r="J148" s="511"/>
      <c r="K148" s="425"/>
      <c r="L148" s="511"/>
      <c r="M148" s="425"/>
      <c r="N148" s="511"/>
      <c r="O148" s="425"/>
      <c r="P148" s="511"/>
      <c r="Q148" s="425"/>
      <c r="R148" s="511"/>
      <c r="S148" s="425"/>
      <c r="T148" s="511"/>
      <c r="U148" s="425"/>
    </row>
    <row r="149" ht="15.75" customHeight="1">
      <c r="A149" s="425"/>
      <c r="B149" s="425"/>
      <c r="C149" s="425"/>
      <c r="D149" s="511"/>
      <c r="E149" s="425"/>
      <c r="F149" s="511"/>
      <c r="G149" s="425"/>
      <c r="H149" s="511"/>
      <c r="I149" s="425"/>
      <c r="J149" s="511"/>
      <c r="K149" s="425"/>
      <c r="L149" s="511"/>
      <c r="M149" s="425"/>
      <c r="N149" s="511"/>
      <c r="O149" s="425"/>
      <c r="P149" s="511"/>
      <c r="Q149" s="425"/>
      <c r="R149" s="511"/>
      <c r="S149" s="425"/>
      <c r="T149" s="511"/>
      <c r="U149" s="425"/>
    </row>
    <row r="150" ht="15.75" customHeight="1">
      <c r="A150" s="425"/>
      <c r="B150" s="425"/>
      <c r="C150" s="425"/>
      <c r="D150" s="511"/>
      <c r="E150" s="425"/>
      <c r="F150" s="511"/>
      <c r="G150" s="425"/>
      <c r="H150" s="511"/>
      <c r="I150" s="425"/>
      <c r="J150" s="511"/>
      <c r="K150" s="425"/>
      <c r="L150" s="511"/>
      <c r="M150" s="425"/>
      <c r="N150" s="511"/>
      <c r="O150" s="425"/>
      <c r="P150" s="511"/>
      <c r="Q150" s="425"/>
      <c r="R150" s="511"/>
      <c r="S150" s="425"/>
      <c r="T150" s="511"/>
      <c r="U150" s="425"/>
    </row>
    <row r="151" ht="15.75" customHeight="1">
      <c r="A151" s="425"/>
      <c r="B151" s="425"/>
      <c r="C151" s="425"/>
      <c r="D151" s="511"/>
      <c r="E151" s="425"/>
      <c r="F151" s="511"/>
      <c r="G151" s="425"/>
      <c r="H151" s="511"/>
      <c r="I151" s="425"/>
      <c r="J151" s="511"/>
      <c r="K151" s="425"/>
      <c r="L151" s="511"/>
      <c r="M151" s="425"/>
      <c r="N151" s="511"/>
      <c r="O151" s="425"/>
      <c r="P151" s="511"/>
      <c r="Q151" s="425"/>
      <c r="R151" s="511"/>
      <c r="S151" s="425"/>
      <c r="T151" s="511"/>
      <c r="U151" s="425"/>
    </row>
    <row r="152" ht="15.75" customHeight="1">
      <c r="A152" s="425"/>
      <c r="B152" s="425"/>
      <c r="C152" s="425"/>
      <c r="D152" s="511"/>
      <c r="E152" s="425"/>
      <c r="F152" s="511"/>
      <c r="G152" s="425"/>
      <c r="H152" s="511"/>
      <c r="I152" s="425"/>
      <c r="J152" s="511"/>
      <c r="K152" s="425"/>
      <c r="L152" s="511"/>
      <c r="M152" s="425"/>
      <c r="N152" s="511"/>
      <c r="O152" s="425"/>
      <c r="P152" s="511"/>
      <c r="Q152" s="425"/>
      <c r="R152" s="511"/>
      <c r="S152" s="425"/>
      <c r="T152" s="511"/>
      <c r="U152" s="425"/>
    </row>
    <row r="153" ht="15.75" customHeight="1">
      <c r="A153" s="425"/>
      <c r="B153" s="425"/>
      <c r="C153" s="425"/>
      <c r="D153" s="511"/>
      <c r="E153" s="425"/>
      <c r="F153" s="511"/>
      <c r="G153" s="425"/>
      <c r="H153" s="511"/>
      <c r="I153" s="425"/>
      <c r="J153" s="511"/>
      <c r="K153" s="425"/>
      <c r="L153" s="511"/>
      <c r="M153" s="425"/>
      <c r="N153" s="511"/>
      <c r="O153" s="425"/>
      <c r="P153" s="511"/>
      <c r="Q153" s="425"/>
      <c r="R153" s="511"/>
      <c r="S153" s="425"/>
      <c r="T153" s="511"/>
      <c r="U153" s="425"/>
    </row>
    <row r="154" ht="15.75" customHeight="1">
      <c r="A154" s="425"/>
      <c r="B154" s="425"/>
      <c r="C154" s="425"/>
      <c r="D154" s="511"/>
      <c r="E154" s="425"/>
      <c r="F154" s="511"/>
      <c r="G154" s="425"/>
      <c r="H154" s="511"/>
      <c r="I154" s="425"/>
      <c r="J154" s="511"/>
      <c r="K154" s="425"/>
      <c r="L154" s="511"/>
      <c r="M154" s="425"/>
      <c r="N154" s="511"/>
      <c r="O154" s="425"/>
      <c r="P154" s="511"/>
      <c r="Q154" s="425"/>
      <c r="R154" s="511"/>
      <c r="S154" s="425"/>
      <c r="T154" s="511"/>
      <c r="U154" s="425"/>
    </row>
    <row r="155" ht="15.75" customHeight="1">
      <c r="A155" s="425"/>
      <c r="B155" s="425"/>
      <c r="C155" s="425"/>
      <c r="D155" s="511"/>
      <c r="E155" s="425"/>
      <c r="F155" s="511"/>
      <c r="G155" s="425"/>
      <c r="H155" s="511"/>
      <c r="I155" s="425"/>
      <c r="J155" s="511"/>
      <c r="K155" s="425"/>
      <c r="L155" s="511"/>
      <c r="M155" s="425"/>
      <c r="N155" s="511"/>
      <c r="O155" s="425"/>
      <c r="P155" s="511"/>
      <c r="Q155" s="425"/>
      <c r="R155" s="511"/>
      <c r="S155" s="425"/>
      <c r="T155" s="511"/>
      <c r="U155" s="425"/>
    </row>
    <row r="156" ht="15.75" customHeight="1">
      <c r="A156" s="425"/>
      <c r="B156" s="425"/>
      <c r="C156" s="425"/>
      <c r="D156" s="511"/>
      <c r="E156" s="425"/>
      <c r="F156" s="511"/>
      <c r="G156" s="425"/>
      <c r="H156" s="511"/>
      <c r="I156" s="425"/>
      <c r="J156" s="511"/>
      <c r="K156" s="425"/>
      <c r="L156" s="511"/>
      <c r="M156" s="425"/>
      <c r="N156" s="511"/>
      <c r="O156" s="425"/>
      <c r="P156" s="511"/>
      <c r="Q156" s="425"/>
      <c r="R156" s="511"/>
      <c r="S156" s="425"/>
      <c r="T156" s="511"/>
      <c r="U156" s="425"/>
    </row>
    <row r="157" ht="15.75" customHeight="1">
      <c r="A157" s="425"/>
      <c r="B157" s="425"/>
      <c r="C157" s="425"/>
      <c r="D157" s="511"/>
      <c r="E157" s="425"/>
      <c r="F157" s="511"/>
      <c r="G157" s="425"/>
      <c r="H157" s="511"/>
      <c r="I157" s="425"/>
      <c r="J157" s="511"/>
      <c r="K157" s="425"/>
      <c r="L157" s="511"/>
      <c r="M157" s="425"/>
      <c r="N157" s="511"/>
      <c r="O157" s="425"/>
      <c r="P157" s="511"/>
      <c r="Q157" s="425"/>
      <c r="R157" s="511"/>
      <c r="S157" s="425"/>
      <c r="T157" s="511"/>
      <c r="U157" s="425"/>
    </row>
    <row r="158" ht="15.75" customHeight="1">
      <c r="A158" s="425"/>
      <c r="B158" s="425"/>
      <c r="C158" s="425"/>
      <c r="D158" s="511"/>
      <c r="E158" s="425"/>
      <c r="F158" s="511"/>
      <c r="G158" s="425"/>
      <c r="H158" s="511"/>
      <c r="I158" s="425"/>
      <c r="J158" s="511"/>
      <c r="K158" s="425"/>
      <c r="L158" s="511"/>
      <c r="M158" s="425"/>
      <c r="N158" s="511"/>
      <c r="O158" s="425"/>
      <c r="P158" s="511"/>
      <c r="Q158" s="425"/>
      <c r="R158" s="511"/>
      <c r="S158" s="425"/>
      <c r="T158" s="511"/>
      <c r="U158" s="425"/>
    </row>
    <row r="159" ht="15.75" customHeight="1">
      <c r="A159" s="425"/>
      <c r="B159" s="425"/>
      <c r="C159" s="425"/>
      <c r="D159" s="511"/>
      <c r="E159" s="425"/>
      <c r="F159" s="511"/>
      <c r="G159" s="425"/>
      <c r="H159" s="511"/>
      <c r="I159" s="425"/>
      <c r="J159" s="511"/>
      <c r="K159" s="425"/>
      <c r="L159" s="511"/>
      <c r="M159" s="425"/>
      <c r="N159" s="511"/>
      <c r="O159" s="425"/>
      <c r="P159" s="511"/>
      <c r="Q159" s="425"/>
      <c r="R159" s="511"/>
      <c r="S159" s="425"/>
      <c r="T159" s="511"/>
      <c r="U159" s="425"/>
    </row>
    <row r="160" ht="15.75" customHeight="1">
      <c r="A160" s="425"/>
      <c r="B160" s="425"/>
      <c r="C160" s="425"/>
      <c r="D160" s="511"/>
      <c r="E160" s="425"/>
      <c r="F160" s="511"/>
      <c r="G160" s="425"/>
      <c r="H160" s="511"/>
      <c r="I160" s="425"/>
      <c r="J160" s="511"/>
      <c r="K160" s="425"/>
      <c r="L160" s="511"/>
      <c r="M160" s="425"/>
      <c r="N160" s="511"/>
      <c r="O160" s="425"/>
      <c r="P160" s="511"/>
      <c r="Q160" s="425"/>
      <c r="R160" s="511"/>
      <c r="S160" s="425"/>
      <c r="T160" s="511"/>
      <c r="U160" s="425"/>
    </row>
    <row r="161" ht="15.75" customHeight="1">
      <c r="A161" s="425"/>
      <c r="B161" s="425"/>
      <c r="C161" s="425"/>
      <c r="D161" s="511"/>
      <c r="E161" s="425"/>
      <c r="F161" s="511"/>
      <c r="G161" s="425"/>
      <c r="H161" s="511"/>
      <c r="I161" s="425"/>
      <c r="J161" s="511"/>
      <c r="K161" s="425"/>
      <c r="L161" s="511"/>
      <c r="M161" s="425"/>
      <c r="N161" s="511"/>
      <c r="O161" s="425"/>
      <c r="P161" s="511"/>
      <c r="Q161" s="425"/>
      <c r="R161" s="511"/>
      <c r="S161" s="425"/>
      <c r="T161" s="511"/>
      <c r="U161" s="425"/>
    </row>
    <row r="162" ht="15.75" customHeight="1">
      <c r="A162" s="425"/>
      <c r="B162" s="425"/>
      <c r="C162" s="425"/>
      <c r="D162" s="511"/>
      <c r="E162" s="425"/>
      <c r="F162" s="511"/>
      <c r="G162" s="425"/>
      <c r="H162" s="511"/>
      <c r="I162" s="425"/>
      <c r="J162" s="511"/>
      <c r="K162" s="425"/>
      <c r="L162" s="511"/>
      <c r="M162" s="425"/>
      <c r="N162" s="511"/>
      <c r="O162" s="425"/>
      <c r="P162" s="511"/>
      <c r="Q162" s="425"/>
      <c r="R162" s="511"/>
      <c r="S162" s="425"/>
      <c r="T162" s="511"/>
      <c r="U162" s="425"/>
    </row>
    <row r="163" ht="15.75" customHeight="1">
      <c r="A163" s="425"/>
      <c r="B163" s="425"/>
      <c r="C163" s="425"/>
      <c r="D163" s="511"/>
      <c r="E163" s="425"/>
      <c r="F163" s="511"/>
      <c r="G163" s="425"/>
      <c r="H163" s="511"/>
      <c r="I163" s="425"/>
      <c r="J163" s="511"/>
      <c r="K163" s="425"/>
      <c r="L163" s="511"/>
      <c r="M163" s="425"/>
      <c r="N163" s="511"/>
      <c r="O163" s="425"/>
      <c r="P163" s="511"/>
      <c r="Q163" s="425"/>
      <c r="R163" s="511"/>
      <c r="S163" s="425"/>
      <c r="T163" s="511"/>
      <c r="U163" s="425"/>
    </row>
    <row r="164" ht="15.75" customHeight="1">
      <c r="A164" s="425"/>
      <c r="B164" s="425"/>
      <c r="C164" s="425"/>
      <c r="D164" s="511"/>
      <c r="E164" s="425"/>
      <c r="F164" s="511"/>
      <c r="G164" s="425"/>
      <c r="H164" s="511"/>
      <c r="I164" s="425"/>
      <c r="J164" s="511"/>
      <c r="K164" s="425"/>
      <c r="L164" s="511"/>
      <c r="M164" s="425"/>
      <c r="N164" s="511"/>
      <c r="O164" s="425"/>
      <c r="P164" s="511"/>
      <c r="Q164" s="425"/>
      <c r="R164" s="511"/>
      <c r="S164" s="425"/>
      <c r="T164" s="511"/>
      <c r="U164" s="425"/>
    </row>
    <row r="165" ht="15.75" customHeight="1">
      <c r="A165" s="425"/>
      <c r="B165" s="425"/>
      <c r="C165" s="425"/>
      <c r="D165" s="511"/>
      <c r="E165" s="425"/>
      <c r="F165" s="511"/>
      <c r="G165" s="425"/>
      <c r="H165" s="511"/>
      <c r="I165" s="425"/>
      <c r="J165" s="511"/>
      <c r="K165" s="425"/>
      <c r="L165" s="511"/>
      <c r="M165" s="425"/>
      <c r="N165" s="511"/>
      <c r="O165" s="425"/>
      <c r="P165" s="511"/>
      <c r="Q165" s="425"/>
      <c r="R165" s="511"/>
      <c r="S165" s="425"/>
      <c r="T165" s="511"/>
      <c r="U165" s="425"/>
    </row>
    <row r="166" ht="15.75" customHeight="1">
      <c r="A166" s="425"/>
      <c r="B166" s="425"/>
      <c r="C166" s="425"/>
      <c r="D166" s="511"/>
      <c r="E166" s="425"/>
      <c r="F166" s="511"/>
      <c r="G166" s="425"/>
      <c r="H166" s="511"/>
      <c r="I166" s="425"/>
      <c r="J166" s="511"/>
      <c r="K166" s="425"/>
      <c r="L166" s="511"/>
      <c r="M166" s="425"/>
      <c r="N166" s="511"/>
      <c r="O166" s="425"/>
      <c r="P166" s="511"/>
      <c r="Q166" s="425"/>
      <c r="R166" s="511"/>
      <c r="S166" s="425"/>
      <c r="T166" s="511"/>
      <c r="U166" s="425"/>
    </row>
    <row r="167" ht="15.75" customHeight="1">
      <c r="A167" s="425"/>
      <c r="B167" s="425"/>
      <c r="C167" s="425"/>
      <c r="D167" s="511"/>
      <c r="E167" s="425"/>
      <c r="F167" s="511"/>
      <c r="G167" s="425"/>
      <c r="H167" s="511"/>
      <c r="I167" s="425"/>
      <c r="J167" s="511"/>
      <c r="K167" s="425"/>
      <c r="L167" s="511"/>
      <c r="M167" s="425"/>
      <c r="N167" s="511"/>
      <c r="O167" s="425"/>
      <c r="P167" s="511"/>
      <c r="Q167" s="425"/>
      <c r="R167" s="511"/>
      <c r="S167" s="425"/>
      <c r="T167" s="511"/>
      <c r="U167" s="425"/>
    </row>
    <row r="168" ht="15.75" customHeight="1">
      <c r="A168" s="425"/>
      <c r="B168" s="425"/>
      <c r="C168" s="425"/>
      <c r="D168" s="511"/>
      <c r="E168" s="425"/>
      <c r="F168" s="511"/>
      <c r="G168" s="425"/>
      <c r="H168" s="511"/>
      <c r="I168" s="425"/>
      <c r="J168" s="511"/>
      <c r="K168" s="425"/>
      <c r="L168" s="511"/>
      <c r="M168" s="425"/>
      <c r="N168" s="511"/>
      <c r="O168" s="425"/>
      <c r="P168" s="511"/>
      <c r="Q168" s="425"/>
      <c r="R168" s="511"/>
      <c r="S168" s="425"/>
      <c r="T168" s="511"/>
      <c r="U168" s="425"/>
    </row>
    <row r="169" ht="15.75" customHeight="1">
      <c r="A169" s="425"/>
      <c r="B169" s="425"/>
      <c r="C169" s="425"/>
      <c r="D169" s="511"/>
      <c r="E169" s="425"/>
      <c r="F169" s="511"/>
      <c r="G169" s="425"/>
      <c r="H169" s="511"/>
      <c r="I169" s="425"/>
      <c r="J169" s="511"/>
      <c r="K169" s="425"/>
      <c r="L169" s="511"/>
      <c r="M169" s="425"/>
      <c r="N169" s="511"/>
      <c r="O169" s="425"/>
      <c r="P169" s="511"/>
      <c r="Q169" s="425"/>
      <c r="R169" s="511"/>
      <c r="S169" s="425"/>
      <c r="T169" s="511"/>
      <c r="U169" s="425"/>
    </row>
    <row r="170" ht="15.75" customHeight="1">
      <c r="A170" s="425"/>
      <c r="B170" s="425"/>
      <c r="C170" s="425"/>
      <c r="D170" s="511"/>
      <c r="E170" s="425"/>
      <c r="F170" s="511"/>
      <c r="G170" s="425"/>
      <c r="H170" s="511"/>
      <c r="I170" s="425"/>
      <c r="J170" s="511"/>
      <c r="K170" s="425"/>
      <c r="L170" s="511"/>
      <c r="M170" s="425"/>
      <c r="N170" s="511"/>
      <c r="O170" s="425"/>
      <c r="P170" s="511"/>
      <c r="Q170" s="425"/>
      <c r="R170" s="511"/>
      <c r="S170" s="425"/>
      <c r="T170" s="511"/>
      <c r="U170" s="425"/>
    </row>
    <row r="171" ht="15.75" customHeight="1">
      <c r="A171" s="425"/>
      <c r="B171" s="425"/>
      <c r="C171" s="425"/>
      <c r="D171" s="511"/>
      <c r="E171" s="425"/>
      <c r="F171" s="511"/>
      <c r="G171" s="425"/>
      <c r="H171" s="511"/>
      <c r="I171" s="425"/>
      <c r="J171" s="511"/>
      <c r="K171" s="425"/>
      <c r="L171" s="511"/>
      <c r="M171" s="425"/>
      <c r="N171" s="511"/>
      <c r="O171" s="425"/>
      <c r="P171" s="511"/>
      <c r="Q171" s="425"/>
      <c r="R171" s="511"/>
      <c r="S171" s="425"/>
      <c r="T171" s="511"/>
      <c r="U171" s="425"/>
    </row>
    <row r="172" ht="15.75" customHeight="1">
      <c r="A172" s="425"/>
      <c r="B172" s="425"/>
      <c r="C172" s="425"/>
      <c r="D172" s="511"/>
      <c r="E172" s="425"/>
      <c r="F172" s="511"/>
      <c r="G172" s="425"/>
      <c r="H172" s="511"/>
      <c r="I172" s="425"/>
      <c r="J172" s="511"/>
      <c r="K172" s="425"/>
      <c r="L172" s="511"/>
      <c r="M172" s="425"/>
      <c r="N172" s="511"/>
      <c r="O172" s="425"/>
      <c r="P172" s="511"/>
      <c r="Q172" s="425"/>
      <c r="R172" s="511"/>
      <c r="S172" s="425"/>
      <c r="T172" s="511"/>
      <c r="U172" s="425"/>
    </row>
    <row r="173" ht="15.75" customHeight="1">
      <c r="A173" s="425"/>
      <c r="B173" s="425"/>
      <c r="C173" s="425"/>
      <c r="D173" s="511"/>
      <c r="E173" s="425"/>
      <c r="F173" s="511"/>
      <c r="G173" s="425"/>
      <c r="H173" s="511"/>
      <c r="I173" s="425"/>
      <c r="J173" s="511"/>
      <c r="K173" s="425"/>
      <c r="L173" s="511"/>
      <c r="M173" s="425"/>
      <c r="N173" s="511"/>
      <c r="O173" s="425"/>
      <c r="P173" s="511"/>
      <c r="Q173" s="425"/>
      <c r="R173" s="511"/>
      <c r="S173" s="425"/>
      <c r="T173" s="511"/>
      <c r="U173" s="425"/>
    </row>
    <row r="174" ht="15.75" customHeight="1">
      <c r="A174" s="425"/>
      <c r="B174" s="425"/>
      <c r="C174" s="425"/>
      <c r="D174" s="511"/>
      <c r="E174" s="425"/>
      <c r="F174" s="511"/>
      <c r="G174" s="425"/>
      <c r="H174" s="511"/>
      <c r="I174" s="425"/>
      <c r="J174" s="511"/>
      <c r="K174" s="425"/>
      <c r="L174" s="511"/>
      <c r="M174" s="425"/>
      <c r="N174" s="511"/>
      <c r="O174" s="425"/>
      <c r="P174" s="511"/>
      <c r="Q174" s="425"/>
      <c r="R174" s="511"/>
      <c r="S174" s="425"/>
      <c r="T174" s="511"/>
      <c r="U174" s="425"/>
    </row>
    <row r="175" ht="15.75" customHeight="1">
      <c r="A175" s="425"/>
      <c r="B175" s="425"/>
      <c r="C175" s="425"/>
      <c r="D175" s="511"/>
      <c r="E175" s="425"/>
      <c r="F175" s="511"/>
      <c r="G175" s="425"/>
      <c r="H175" s="511"/>
      <c r="I175" s="425"/>
      <c r="J175" s="511"/>
      <c r="K175" s="425"/>
      <c r="L175" s="511"/>
      <c r="M175" s="425"/>
      <c r="N175" s="511"/>
      <c r="O175" s="425"/>
      <c r="P175" s="511"/>
      <c r="Q175" s="425"/>
      <c r="R175" s="511"/>
      <c r="S175" s="425"/>
      <c r="T175" s="511"/>
      <c r="U175" s="425"/>
    </row>
    <row r="176" ht="15.75" customHeight="1">
      <c r="A176" s="425"/>
      <c r="B176" s="425"/>
      <c r="C176" s="425"/>
      <c r="D176" s="511"/>
      <c r="E176" s="425"/>
      <c r="F176" s="511"/>
      <c r="G176" s="425"/>
      <c r="H176" s="511"/>
      <c r="I176" s="425"/>
      <c r="J176" s="511"/>
      <c r="K176" s="425"/>
      <c r="L176" s="511"/>
      <c r="M176" s="425"/>
      <c r="N176" s="511"/>
      <c r="O176" s="425"/>
      <c r="P176" s="511"/>
      <c r="Q176" s="425"/>
      <c r="R176" s="511"/>
      <c r="S176" s="425"/>
      <c r="T176" s="511"/>
      <c r="U176" s="425"/>
    </row>
    <row r="177" ht="15.75" customHeight="1">
      <c r="A177" s="425"/>
      <c r="B177" s="425"/>
      <c r="C177" s="425"/>
      <c r="D177" s="511"/>
      <c r="E177" s="425"/>
      <c r="F177" s="511"/>
      <c r="G177" s="425"/>
      <c r="H177" s="511"/>
      <c r="I177" s="425"/>
      <c r="J177" s="511"/>
      <c r="K177" s="425"/>
      <c r="L177" s="511"/>
      <c r="M177" s="425"/>
      <c r="N177" s="511"/>
      <c r="O177" s="425"/>
      <c r="P177" s="511"/>
      <c r="Q177" s="425"/>
      <c r="R177" s="511"/>
      <c r="S177" s="425"/>
      <c r="T177" s="511"/>
      <c r="U177" s="425"/>
    </row>
    <row r="178" ht="15.75" customHeight="1">
      <c r="A178" s="425"/>
      <c r="B178" s="425"/>
      <c r="C178" s="425"/>
      <c r="D178" s="511"/>
      <c r="E178" s="425"/>
      <c r="F178" s="511"/>
      <c r="G178" s="425"/>
      <c r="H178" s="511"/>
      <c r="I178" s="425"/>
      <c r="J178" s="511"/>
      <c r="K178" s="425"/>
      <c r="L178" s="511"/>
      <c r="M178" s="425"/>
      <c r="N178" s="511"/>
      <c r="O178" s="425"/>
      <c r="P178" s="511"/>
      <c r="Q178" s="425"/>
      <c r="R178" s="511"/>
      <c r="S178" s="425"/>
      <c r="T178" s="511"/>
      <c r="U178" s="425"/>
    </row>
    <row r="179" ht="15.75" customHeight="1">
      <c r="A179" s="425"/>
      <c r="B179" s="425"/>
      <c r="C179" s="425"/>
      <c r="D179" s="511"/>
      <c r="E179" s="425"/>
      <c r="F179" s="511"/>
      <c r="G179" s="425"/>
      <c r="H179" s="511"/>
      <c r="I179" s="425"/>
      <c r="J179" s="511"/>
      <c r="K179" s="425"/>
      <c r="L179" s="511"/>
      <c r="M179" s="425"/>
      <c r="N179" s="511"/>
      <c r="O179" s="425"/>
      <c r="P179" s="511"/>
      <c r="Q179" s="425"/>
      <c r="R179" s="511"/>
      <c r="S179" s="425"/>
      <c r="T179" s="511"/>
      <c r="U179" s="425"/>
    </row>
    <row r="180" ht="15.75" customHeight="1">
      <c r="A180" s="425"/>
      <c r="B180" s="425"/>
      <c r="C180" s="425"/>
      <c r="D180" s="511"/>
      <c r="E180" s="425"/>
      <c r="F180" s="511"/>
      <c r="G180" s="425"/>
      <c r="H180" s="511"/>
      <c r="I180" s="425"/>
      <c r="J180" s="511"/>
      <c r="K180" s="425"/>
      <c r="L180" s="511"/>
      <c r="M180" s="425"/>
      <c r="N180" s="511"/>
      <c r="O180" s="425"/>
      <c r="P180" s="511"/>
      <c r="Q180" s="425"/>
      <c r="R180" s="511"/>
      <c r="S180" s="425"/>
      <c r="T180" s="511"/>
      <c r="U180" s="425"/>
    </row>
    <row r="181" ht="15.75" customHeight="1">
      <c r="A181" s="425"/>
      <c r="B181" s="425"/>
      <c r="C181" s="425"/>
      <c r="D181" s="511"/>
      <c r="E181" s="425"/>
      <c r="F181" s="511"/>
      <c r="G181" s="425"/>
      <c r="H181" s="511"/>
      <c r="I181" s="425"/>
      <c r="J181" s="511"/>
      <c r="K181" s="425"/>
      <c r="L181" s="511"/>
      <c r="M181" s="425"/>
      <c r="N181" s="511"/>
      <c r="O181" s="425"/>
      <c r="P181" s="511"/>
      <c r="Q181" s="425"/>
      <c r="R181" s="511"/>
      <c r="S181" s="425"/>
      <c r="T181" s="511"/>
      <c r="U181" s="425"/>
    </row>
    <row r="182" ht="15.75" customHeight="1">
      <c r="A182" s="425"/>
      <c r="B182" s="425"/>
      <c r="C182" s="425"/>
      <c r="D182" s="511"/>
      <c r="E182" s="425"/>
      <c r="F182" s="511"/>
      <c r="G182" s="425"/>
      <c r="H182" s="511"/>
      <c r="I182" s="425"/>
      <c r="J182" s="511"/>
      <c r="K182" s="425"/>
      <c r="L182" s="511"/>
      <c r="M182" s="425"/>
      <c r="N182" s="511"/>
      <c r="O182" s="425"/>
      <c r="P182" s="511"/>
      <c r="Q182" s="425"/>
      <c r="R182" s="511"/>
      <c r="S182" s="425"/>
      <c r="T182" s="511"/>
      <c r="U182" s="425"/>
    </row>
    <row r="183" ht="15.75" customHeight="1">
      <c r="A183" s="425"/>
      <c r="B183" s="425"/>
      <c r="C183" s="425"/>
      <c r="D183" s="511"/>
      <c r="E183" s="425"/>
      <c r="F183" s="511"/>
      <c r="G183" s="425"/>
      <c r="H183" s="511"/>
      <c r="I183" s="425"/>
      <c r="J183" s="511"/>
      <c r="K183" s="425"/>
      <c r="L183" s="511"/>
      <c r="M183" s="425"/>
      <c r="N183" s="511"/>
      <c r="O183" s="425"/>
      <c r="P183" s="511"/>
      <c r="Q183" s="425"/>
      <c r="R183" s="511"/>
      <c r="S183" s="425"/>
      <c r="T183" s="511"/>
      <c r="U183" s="425"/>
    </row>
    <row r="184" ht="15.75" customHeight="1">
      <c r="A184" s="425"/>
      <c r="B184" s="425"/>
      <c r="C184" s="425"/>
      <c r="D184" s="511"/>
      <c r="E184" s="425"/>
      <c r="F184" s="511"/>
      <c r="G184" s="425"/>
      <c r="H184" s="511"/>
      <c r="I184" s="425"/>
      <c r="J184" s="511"/>
      <c r="K184" s="425"/>
      <c r="L184" s="511"/>
      <c r="M184" s="425"/>
      <c r="N184" s="511"/>
      <c r="O184" s="425"/>
      <c r="P184" s="511"/>
      <c r="Q184" s="425"/>
      <c r="R184" s="511"/>
      <c r="S184" s="425"/>
      <c r="T184" s="511"/>
      <c r="U184" s="425"/>
    </row>
    <row r="185" ht="15.75" customHeight="1">
      <c r="A185" s="425"/>
      <c r="B185" s="425"/>
      <c r="C185" s="425"/>
      <c r="D185" s="511"/>
      <c r="E185" s="425"/>
      <c r="F185" s="511"/>
      <c r="G185" s="425"/>
      <c r="H185" s="511"/>
      <c r="I185" s="425"/>
      <c r="J185" s="511"/>
      <c r="K185" s="425"/>
      <c r="L185" s="511"/>
      <c r="M185" s="425"/>
      <c r="N185" s="511"/>
      <c r="O185" s="425"/>
      <c r="P185" s="511"/>
      <c r="Q185" s="425"/>
      <c r="R185" s="511"/>
      <c r="S185" s="425"/>
      <c r="T185" s="511"/>
      <c r="U185" s="425"/>
    </row>
    <row r="186" ht="15.75" customHeight="1">
      <c r="A186" s="425"/>
      <c r="B186" s="425"/>
      <c r="C186" s="425"/>
      <c r="D186" s="511"/>
      <c r="E186" s="425"/>
      <c r="F186" s="511"/>
      <c r="G186" s="425"/>
      <c r="H186" s="511"/>
      <c r="I186" s="425"/>
      <c r="J186" s="511"/>
      <c r="K186" s="425"/>
      <c r="L186" s="511"/>
      <c r="M186" s="425"/>
      <c r="N186" s="511"/>
      <c r="O186" s="425"/>
      <c r="P186" s="511"/>
      <c r="Q186" s="425"/>
      <c r="R186" s="511"/>
      <c r="S186" s="425"/>
      <c r="T186" s="511"/>
      <c r="U186" s="425"/>
    </row>
    <row r="187" ht="15.75" customHeight="1">
      <c r="A187" s="425"/>
      <c r="B187" s="425"/>
      <c r="C187" s="425"/>
      <c r="D187" s="511"/>
      <c r="E187" s="425"/>
      <c r="F187" s="511"/>
      <c r="G187" s="425"/>
      <c r="H187" s="511"/>
      <c r="I187" s="425"/>
      <c r="J187" s="511"/>
      <c r="K187" s="425"/>
      <c r="L187" s="511"/>
      <c r="M187" s="425"/>
      <c r="N187" s="511"/>
      <c r="O187" s="425"/>
      <c r="P187" s="511"/>
      <c r="Q187" s="425"/>
      <c r="R187" s="511"/>
      <c r="S187" s="425"/>
      <c r="T187" s="511"/>
      <c r="U187" s="425"/>
    </row>
    <row r="188" ht="15.75" customHeight="1">
      <c r="A188" s="425"/>
      <c r="B188" s="425"/>
      <c r="C188" s="425"/>
      <c r="D188" s="511"/>
      <c r="E188" s="425"/>
      <c r="F188" s="511"/>
      <c r="G188" s="425"/>
      <c r="H188" s="511"/>
      <c r="I188" s="425"/>
      <c r="J188" s="511"/>
      <c r="K188" s="425"/>
      <c r="L188" s="511"/>
      <c r="M188" s="425"/>
      <c r="N188" s="511"/>
      <c r="O188" s="425"/>
      <c r="P188" s="511"/>
      <c r="Q188" s="425"/>
      <c r="R188" s="511"/>
      <c r="S188" s="425"/>
      <c r="T188" s="511"/>
      <c r="U188" s="425"/>
    </row>
    <row r="189" ht="15.75" customHeight="1">
      <c r="A189" s="425"/>
      <c r="B189" s="425"/>
      <c r="C189" s="425"/>
      <c r="D189" s="511"/>
      <c r="E189" s="425"/>
      <c r="F189" s="511"/>
      <c r="G189" s="425"/>
      <c r="H189" s="511"/>
      <c r="I189" s="425"/>
      <c r="J189" s="511"/>
      <c r="K189" s="425"/>
      <c r="L189" s="511"/>
      <c r="M189" s="425"/>
      <c r="N189" s="511"/>
      <c r="O189" s="425"/>
      <c r="P189" s="511"/>
      <c r="Q189" s="425"/>
      <c r="R189" s="511"/>
      <c r="S189" s="425"/>
      <c r="T189" s="511"/>
      <c r="U189" s="425"/>
    </row>
    <row r="190" ht="15.75" customHeight="1">
      <c r="A190" s="425"/>
      <c r="B190" s="425"/>
      <c r="C190" s="425"/>
      <c r="D190" s="511"/>
      <c r="E190" s="425"/>
      <c r="F190" s="511"/>
      <c r="G190" s="425"/>
      <c r="H190" s="511"/>
      <c r="I190" s="425"/>
      <c r="J190" s="511"/>
      <c r="K190" s="425"/>
      <c r="L190" s="511"/>
      <c r="M190" s="425"/>
      <c r="N190" s="511"/>
      <c r="O190" s="425"/>
      <c r="P190" s="511"/>
      <c r="Q190" s="425"/>
      <c r="R190" s="511"/>
      <c r="S190" s="425"/>
      <c r="T190" s="511"/>
      <c r="U190" s="425"/>
    </row>
    <row r="191" ht="15.75" customHeight="1">
      <c r="A191" s="425"/>
      <c r="B191" s="425"/>
      <c r="C191" s="425"/>
      <c r="D191" s="511"/>
      <c r="E191" s="425"/>
      <c r="F191" s="511"/>
      <c r="G191" s="425"/>
      <c r="H191" s="511"/>
      <c r="I191" s="425"/>
      <c r="J191" s="511"/>
      <c r="K191" s="425"/>
      <c r="L191" s="511"/>
      <c r="M191" s="425"/>
      <c r="N191" s="511"/>
      <c r="O191" s="425"/>
      <c r="P191" s="511"/>
      <c r="Q191" s="425"/>
      <c r="R191" s="511"/>
      <c r="S191" s="425"/>
      <c r="T191" s="511"/>
      <c r="U191" s="425"/>
    </row>
    <row r="192" ht="15.75" customHeight="1">
      <c r="A192" s="425"/>
      <c r="B192" s="425"/>
      <c r="C192" s="425"/>
      <c r="D192" s="511"/>
      <c r="E192" s="425"/>
      <c r="F192" s="511"/>
      <c r="G192" s="425"/>
      <c r="H192" s="511"/>
      <c r="I192" s="425"/>
      <c r="J192" s="511"/>
      <c r="K192" s="425"/>
      <c r="L192" s="511"/>
      <c r="M192" s="425"/>
      <c r="N192" s="511"/>
      <c r="O192" s="425"/>
      <c r="P192" s="511"/>
      <c r="Q192" s="425"/>
      <c r="R192" s="511"/>
      <c r="S192" s="425"/>
      <c r="T192" s="511"/>
      <c r="U192" s="425"/>
    </row>
    <row r="193" ht="15.75" customHeight="1">
      <c r="A193" s="425"/>
      <c r="B193" s="425"/>
      <c r="C193" s="425"/>
      <c r="D193" s="511"/>
      <c r="E193" s="425"/>
      <c r="F193" s="511"/>
      <c r="G193" s="425"/>
      <c r="H193" s="511"/>
      <c r="I193" s="425"/>
      <c r="J193" s="511"/>
      <c r="K193" s="425"/>
      <c r="L193" s="511"/>
      <c r="M193" s="425"/>
      <c r="N193" s="511"/>
      <c r="O193" s="425"/>
      <c r="P193" s="511"/>
      <c r="Q193" s="425"/>
      <c r="R193" s="511"/>
      <c r="S193" s="425"/>
      <c r="T193" s="511"/>
      <c r="U193" s="425"/>
    </row>
    <row r="194" ht="15.75" customHeight="1">
      <c r="A194" s="425"/>
      <c r="B194" s="425"/>
      <c r="C194" s="425"/>
      <c r="D194" s="511"/>
      <c r="E194" s="425"/>
      <c r="F194" s="511"/>
      <c r="G194" s="425"/>
      <c r="H194" s="511"/>
      <c r="I194" s="425"/>
      <c r="J194" s="511"/>
      <c r="K194" s="425"/>
      <c r="L194" s="511"/>
      <c r="M194" s="425"/>
      <c r="N194" s="511"/>
      <c r="O194" s="425"/>
      <c r="P194" s="511"/>
      <c r="Q194" s="425"/>
      <c r="R194" s="511"/>
      <c r="S194" s="425"/>
      <c r="T194" s="511"/>
      <c r="U194" s="425"/>
    </row>
    <row r="195" ht="15.75" customHeight="1">
      <c r="A195" s="425"/>
      <c r="B195" s="425"/>
      <c r="C195" s="425"/>
      <c r="D195" s="511"/>
      <c r="E195" s="425"/>
      <c r="F195" s="511"/>
      <c r="G195" s="425"/>
      <c r="H195" s="511"/>
      <c r="I195" s="425"/>
      <c r="J195" s="511"/>
      <c r="K195" s="425"/>
      <c r="L195" s="511"/>
      <c r="M195" s="425"/>
      <c r="N195" s="511"/>
      <c r="O195" s="425"/>
      <c r="P195" s="511"/>
      <c r="Q195" s="425"/>
      <c r="R195" s="511"/>
      <c r="S195" s="425"/>
      <c r="T195" s="511"/>
      <c r="U195" s="425"/>
    </row>
    <row r="196" ht="15.75" customHeight="1">
      <c r="A196" s="425"/>
      <c r="B196" s="425"/>
      <c r="C196" s="425"/>
      <c r="D196" s="511"/>
      <c r="E196" s="425"/>
      <c r="F196" s="511"/>
      <c r="G196" s="425"/>
      <c r="H196" s="511"/>
      <c r="I196" s="425"/>
      <c r="J196" s="511"/>
      <c r="K196" s="425"/>
      <c r="L196" s="511"/>
      <c r="M196" s="425"/>
      <c r="N196" s="511"/>
      <c r="O196" s="425"/>
      <c r="P196" s="511"/>
      <c r="Q196" s="425"/>
      <c r="R196" s="511"/>
      <c r="S196" s="425"/>
      <c r="T196" s="511"/>
      <c r="U196" s="425"/>
    </row>
    <row r="197" ht="15.75" customHeight="1">
      <c r="A197" s="425"/>
      <c r="B197" s="425"/>
      <c r="C197" s="425"/>
      <c r="D197" s="511"/>
      <c r="E197" s="425"/>
      <c r="F197" s="511"/>
      <c r="G197" s="425"/>
      <c r="H197" s="511"/>
      <c r="I197" s="425"/>
      <c r="J197" s="511"/>
      <c r="K197" s="425"/>
      <c r="L197" s="511"/>
      <c r="M197" s="425"/>
      <c r="N197" s="511"/>
      <c r="O197" s="425"/>
      <c r="P197" s="511"/>
      <c r="Q197" s="425"/>
      <c r="R197" s="511"/>
      <c r="S197" s="425"/>
      <c r="T197" s="511"/>
      <c r="U197" s="425"/>
    </row>
    <row r="198" ht="15.75" customHeight="1">
      <c r="A198" s="425"/>
      <c r="B198" s="425"/>
      <c r="C198" s="425"/>
      <c r="D198" s="511"/>
      <c r="E198" s="425"/>
      <c r="F198" s="511"/>
      <c r="G198" s="425"/>
      <c r="H198" s="511"/>
      <c r="I198" s="425"/>
      <c r="J198" s="511"/>
      <c r="K198" s="425"/>
      <c r="L198" s="511"/>
      <c r="M198" s="425"/>
      <c r="N198" s="511"/>
      <c r="O198" s="425"/>
      <c r="P198" s="511"/>
      <c r="Q198" s="425"/>
      <c r="R198" s="511"/>
      <c r="S198" s="425"/>
      <c r="T198" s="511"/>
      <c r="U198" s="425"/>
    </row>
    <row r="199" ht="15.75" customHeight="1">
      <c r="A199" s="425"/>
      <c r="B199" s="425"/>
      <c r="C199" s="425"/>
      <c r="D199" s="511"/>
      <c r="E199" s="425"/>
      <c r="F199" s="511"/>
      <c r="G199" s="425"/>
      <c r="H199" s="511"/>
      <c r="I199" s="425"/>
      <c r="J199" s="511"/>
      <c r="K199" s="425"/>
      <c r="L199" s="511"/>
      <c r="M199" s="425"/>
      <c r="N199" s="511"/>
      <c r="O199" s="425"/>
      <c r="P199" s="511"/>
      <c r="Q199" s="425"/>
      <c r="R199" s="511"/>
      <c r="S199" s="425"/>
      <c r="T199" s="511"/>
      <c r="U199" s="425"/>
    </row>
    <row r="200" ht="15.75" customHeight="1">
      <c r="A200" s="425"/>
      <c r="B200" s="425"/>
      <c r="C200" s="425"/>
      <c r="D200" s="511"/>
      <c r="E200" s="425"/>
      <c r="F200" s="511"/>
      <c r="G200" s="425"/>
      <c r="H200" s="511"/>
      <c r="I200" s="425"/>
      <c r="J200" s="511"/>
      <c r="K200" s="425"/>
      <c r="L200" s="511"/>
      <c r="M200" s="425"/>
      <c r="N200" s="511"/>
      <c r="O200" s="425"/>
      <c r="P200" s="511"/>
      <c r="Q200" s="425"/>
      <c r="R200" s="511"/>
      <c r="S200" s="425"/>
      <c r="T200" s="511"/>
      <c r="U200" s="425"/>
    </row>
    <row r="201" ht="15.75" customHeight="1">
      <c r="A201" s="425"/>
      <c r="B201" s="425"/>
      <c r="C201" s="425"/>
      <c r="D201" s="511"/>
      <c r="E201" s="425"/>
      <c r="F201" s="511"/>
      <c r="G201" s="425"/>
      <c r="H201" s="511"/>
      <c r="I201" s="425"/>
      <c r="J201" s="511"/>
      <c r="K201" s="425"/>
      <c r="L201" s="511"/>
      <c r="M201" s="425"/>
      <c r="N201" s="511"/>
      <c r="O201" s="425"/>
      <c r="P201" s="511"/>
      <c r="Q201" s="425"/>
      <c r="R201" s="511"/>
      <c r="S201" s="425"/>
      <c r="T201" s="511"/>
      <c r="U201" s="425"/>
    </row>
    <row r="202" ht="15.75" customHeight="1">
      <c r="A202" s="425"/>
      <c r="B202" s="425"/>
      <c r="C202" s="425"/>
      <c r="D202" s="511"/>
      <c r="E202" s="425"/>
      <c r="F202" s="511"/>
      <c r="G202" s="425"/>
      <c r="H202" s="511"/>
      <c r="I202" s="425"/>
      <c r="J202" s="511"/>
      <c r="K202" s="425"/>
      <c r="L202" s="511"/>
      <c r="M202" s="425"/>
      <c r="N202" s="511"/>
      <c r="O202" s="425"/>
      <c r="P202" s="511"/>
      <c r="Q202" s="425"/>
      <c r="R202" s="511"/>
      <c r="S202" s="425"/>
      <c r="T202" s="511"/>
      <c r="U202" s="425"/>
    </row>
    <row r="203" ht="15.75" customHeight="1">
      <c r="A203" s="425"/>
      <c r="B203" s="425"/>
      <c r="C203" s="425"/>
      <c r="D203" s="511"/>
      <c r="E203" s="425"/>
      <c r="F203" s="511"/>
      <c r="G203" s="425"/>
      <c r="H203" s="511"/>
      <c r="I203" s="425"/>
      <c r="J203" s="511"/>
      <c r="K203" s="425"/>
      <c r="L203" s="511"/>
      <c r="M203" s="425"/>
      <c r="N203" s="511"/>
      <c r="O203" s="425"/>
      <c r="P203" s="511"/>
      <c r="Q203" s="425"/>
      <c r="R203" s="511"/>
      <c r="S203" s="425"/>
      <c r="T203" s="511"/>
      <c r="U203" s="425"/>
    </row>
    <row r="204" ht="15.75" customHeight="1">
      <c r="A204" s="425"/>
      <c r="B204" s="425"/>
      <c r="C204" s="425"/>
      <c r="D204" s="511"/>
      <c r="E204" s="425"/>
      <c r="F204" s="511"/>
      <c r="G204" s="425"/>
      <c r="H204" s="511"/>
      <c r="I204" s="425"/>
      <c r="J204" s="511"/>
      <c r="K204" s="425"/>
      <c r="L204" s="511"/>
      <c r="M204" s="425"/>
      <c r="N204" s="511"/>
      <c r="O204" s="425"/>
      <c r="P204" s="511"/>
      <c r="Q204" s="425"/>
      <c r="R204" s="511"/>
      <c r="S204" s="425"/>
      <c r="T204" s="511"/>
      <c r="U204" s="425"/>
    </row>
    <row r="205" ht="15.75" customHeight="1">
      <c r="A205" s="425"/>
      <c r="B205" s="425"/>
      <c r="C205" s="425"/>
      <c r="D205" s="511"/>
      <c r="E205" s="425"/>
      <c r="F205" s="511"/>
      <c r="G205" s="425"/>
      <c r="H205" s="511"/>
      <c r="I205" s="425"/>
      <c r="J205" s="511"/>
      <c r="K205" s="425"/>
      <c r="L205" s="511"/>
      <c r="M205" s="425"/>
      <c r="N205" s="511"/>
      <c r="O205" s="425"/>
      <c r="P205" s="511"/>
      <c r="Q205" s="425"/>
      <c r="R205" s="511"/>
      <c r="S205" s="425"/>
      <c r="T205" s="511"/>
      <c r="U205" s="425"/>
    </row>
    <row r="206" ht="15.75" customHeight="1">
      <c r="A206" s="425"/>
      <c r="B206" s="425"/>
      <c r="C206" s="425"/>
      <c r="D206" s="511"/>
      <c r="E206" s="425"/>
      <c r="F206" s="511"/>
      <c r="G206" s="425"/>
      <c r="H206" s="511"/>
      <c r="I206" s="425"/>
      <c r="J206" s="511"/>
      <c r="K206" s="425"/>
      <c r="L206" s="511"/>
      <c r="M206" s="425"/>
      <c r="N206" s="511"/>
      <c r="O206" s="425"/>
      <c r="P206" s="511"/>
      <c r="Q206" s="425"/>
      <c r="R206" s="511"/>
      <c r="S206" s="425"/>
      <c r="T206" s="511"/>
      <c r="U206" s="425"/>
    </row>
    <row r="207" ht="15.75" customHeight="1">
      <c r="A207" s="425"/>
      <c r="B207" s="425"/>
      <c r="C207" s="425"/>
      <c r="D207" s="511"/>
      <c r="E207" s="425"/>
      <c r="F207" s="511"/>
      <c r="G207" s="425"/>
      <c r="H207" s="511"/>
      <c r="I207" s="425"/>
      <c r="J207" s="511"/>
      <c r="K207" s="425"/>
      <c r="L207" s="511"/>
      <c r="M207" s="425"/>
      <c r="N207" s="511"/>
      <c r="O207" s="425"/>
      <c r="P207" s="511"/>
      <c r="Q207" s="425"/>
      <c r="R207" s="511"/>
      <c r="S207" s="425"/>
      <c r="T207" s="511"/>
      <c r="U207" s="425"/>
    </row>
    <row r="208" ht="15.75" customHeight="1">
      <c r="A208" s="425"/>
      <c r="B208" s="425"/>
      <c r="C208" s="425"/>
      <c r="D208" s="511"/>
      <c r="E208" s="425"/>
      <c r="F208" s="511"/>
      <c r="G208" s="425"/>
      <c r="H208" s="511"/>
      <c r="I208" s="425"/>
      <c r="J208" s="511"/>
      <c r="K208" s="425"/>
      <c r="L208" s="511"/>
      <c r="M208" s="425"/>
      <c r="N208" s="511"/>
      <c r="O208" s="425"/>
      <c r="P208" s="511"/>
      <c r="Q208" s="425"/>
      <c r="R208" s="511"/>
      <c r="S208" s="425"/>
      <c r="T208" s="511"/>
      <c r="U208" s="425"/>
    </row>
    <row r="209" ht="15.75" customHeight="1">
      <c r="A209" s="425"/>
      <c r="B209" s="425"/>
      <c r="C209" s="425"/>
      <c r="D209" s="511"/>
      <c r="E209" s="425"/>
      <c r="F209" s="511"/>
      <c r="G209" s="425"/>
      <c r="H209" s="511"/>
      <c r="I209" s="425"/>
      <c r="J209" s="511"/>
      <c r="K209" s="425"/>
      <c r="L209" s="511"/>
      <c r="M209" s="425"/>
      <c r="N209" s="511"/>
      <c r="O209" s="425"/>
      <c r="P209" s="511"/>
      <c r="Q209" s="425"/>
      <c r="R209" s="511"/>
      <c r="S209" s="425"/>
      <c r="T209" s="511"/>
      <c r="U209" s="425"/>
    </row>
    <row r="210" ht="15.75" customHeight="1">
      <c r="A210" s="425"/>
      <c r="B210" s="425"/>
      <c r="C210" s="425"/>
      <c r="D210" s="511"/>
      <c r="E210" s="425"/>
      <c r="F210" s="511"/>
      <c r="G210" s="425"/>
      <c r="H210" s="511"/>
      <c r="I210" s="425"/>
      <c r="J210" s="511"/>
      <c r="K210" s="425"/>
      <c r="L210" s="511"/>
      <c r="M210" s="425"/>
      <c r="N210" s="511"/>
      <c r="O210" s="425"/>
      <c r="P210" s="511"/>
      <c r="Q210" s="425"/>
      <c r="R210" s="511"/>
      <c r="S210" s="425"/>
      <c r="T210" s="511"/>
      <c r="U210" s="425"/>
    </row>
    <row r="211" ht="15.75" customHeight="1">
      <c r="A211" s="425"/>
      <c r="B211" s="425"/>
      <c r="C211" s="425"/>
      <c r="D211" s="511"/>
      <c r="E211" s="425"/>
      <c r="F211" s="511"/>
      <c r="G211" s="425"/>
      <c r="H211" s="511"/>
      <c r="I211" s="425"/>
      <c r="J211" s="511"/>
      <c r="K211" s="425"/>
      <c r="L211" s="511"/>
      <c r="M211" s="425"/>
      <c r="N211" s="511"/>
      <c r="O211" s="425"/>
      <c r="P211" s="511"/>
      <c r="Q211" s="425"/>
      <c r="R211" s="511"/>
      <c r="S211" s="425"/>
      <c r="T211" s="511"/>
      <c r="U211" s="425"/>
    </row>
    <row r="212" ht="15.75" customHeight="1">
      <c r="A212" s="425"/>
      <c r="B212" s="425"/>
      <c r="C212" s="425"/>
      <c r="D212" s="511"/>
      <c r="E212" s="425"/>
      <c r="F212" s="511"/>
      <c r="G212" s="425"/>
      <c r="H212" s="511"/>
      <c r="I212" s="425"/>
      <c r="J212" s="511"/>
      <c r="K212" s="425"/>
      <c r="L212" s="511"/>
      <c r="M212" s="425"/>
      <c r="N212" s="511"/>
      <c r="O212" s="425"/>
      <c r="P212" s="511"/>
      <c r="Q212" s="425"/>
      <c r="R212" s="511"/>
      <c r="S212" s="425"/>
      <c r="T212" s="511"/>
      <c r="U212" s="425"/>
    </row>
    <row r="213" ht="15.75" customHeight="1">
      <c r="A213" s="425"/>
      <c r="B213" s="425"/>
      <c r="C213" s="425"/>
      <c r="D213" s="511"/>
      <c r="E213" s="425"/>
      <c r="F213" s="511"/>
      <c r="G213" s="425"/>
      <c r="H213" s="511"/>
      <c r="I213" s="425"/>
      <c r="J213" s="511"/>
      <c r="K213" s="425"/>
      <c r="L213" s="511"/>
      <c r="M213" s="425"/>
      <c r="N213" s="511"/>
      <c r="O213" s="425"/>
      <c r="P213" s="511"/>
      <c r="Q213" s="425"/>
      <c r="R213" s="511"/>
      <c r="S213" s="425"/>
      <c r="T213" s="511"/>
      <c r="U213" s="425"/>
    </row>
    <row r="214" ht="15.75" customHeight="1">
      <c r="A214" s="425"/>
      <c r="B214" s="425"/>
      <c r="C214" s="425"/>
      <c r="D214" s="511"/>
      <c r="E214" s="425"/>
      <c r="F214" s="511"/>
      <c r="G214" s="425"/>
      <c r="H214" s="511"/>
      <c r="I214" s="425"/>
      <c r="J214" s="511"/>
      <c r="K214" s="425"/>
      <c r="L214" s="511"/>
      <c r="M214" s="425"/>
      <c r="N214" s="511"/>
      <c r="O214" s="425"/>
      <c r="P214" s="511"/>
      <c r="Q214" s="425"/>
      <c r="R214" s="511"/>
      <c r="S214" s="425"/>
      <c r="T214" s="511"/>
      <c r="U214" s="425"/>
    </row>
    <row r="215" ht="15.75" customHeight="1">
      <c r="A215" s="425"/>
      <c r="B215" s="425"/>
      <c r="C215" s="425"/>
      <c r="D215" s="511"/>
      <c r="E215" s="425"/>
      <c r="F215" s="511"/>
      <c r="G215" s="425"/>
      <c r="H215" s="511"/>
      <c r="I215" s="425"/>
      <c r="J215" s="511"/>
      <c r="K215" s="425"/>
      <c r="L215" s="511"/>
      <c r="M215" s="425"/>
      <c r="N215" s="511"/>
      <c r="O215" s="425"/>
      <c r="P215" s="511"/>
      <c r="Q215" s="425"/>
      <c r="R215" s="511"/>
      <c r="S215" s="425"/>
      <c r="T215" s="511"/>
      <c r="U215" s="425"/>
    </row>
    <row r="216" ht="15.75" customHeight="1">
      <c r="A216" s="425"/>
      <c r="B216" s="425"/>
      <c r="C216" s="425"/>
      <c r="D216" s="511"/>
      <c r="E216" s="425"/>
      <c r="F216" s="511"/>
      <c r="G216" s="425"/>
      <c r="H216" s="511"/>
      <c r="I216" s="425"/>
      <c r="J216" s="511"/>
      <c r="K216" s="425"/>
      <c r="L216" s="511"/>
      <c r="M216" s="425"/>
      <c r="N216" s="511"/>
      <c r="O216" s="425"/>
      <c r="P216" s="511"/>
      <c r="Q216" s="425"/>
      <c r="R216" s="511"/>
      <c r="S216" s="425"/>
      <c r="T216" s="511"/>
      <c r="U216" s="425"/>
    </row>
    <row r="217" ht="15.75" customHeight="1">
      <c r="A217" s="425"/>
      <c r="B217" s="425"/>
      <c r="C217" s="425"/>
      <c r="D217" s="511"/>
      <c r="E217" s="425"/>
      <c r="F217" s="511"/>
      <c r="G217" s="425"/>
      <c r="H217" s="511"/>
      <c r="I217" s="425"/>
      <c r="J217" s="511"/>
      <c r="K217" s="425"/>
      <c r="L217" s="511"/>
      <c r="M217" s="425"/>
      <c r="N217" s="511"/>
      <c r="O217" s="425"/>
      <c r="P217" s="511"/>
      <c r="Q217" s="425"/>
      <c r="R217" s="511"/>
      <c r="S217" s="425"/>
      <c r="T217" s="511"/>
      <c r="U217" s="425"/>
    </row>
    <row r="218" ht="15.75" customHeight="1">
      <c r="A218" s="425"/>
      <c r="B218" s="425"/>
      <c r="C218" s="425"/>
      <c r="D218" s="511"/>
      <c r="E218" s="425"/>
      <c r="F218" s="511"/>
      <c r="G218" s="425"/>
      <c r="H218" s="511"/>
      <c r="I218" s="425"/>
      <c r="J218" s="511"/>
      <c r="K218" s="425"/>
      <c r="L218" s="511"/>
      <c r="M218" s="425"/>
      <c r="N218" s="511"/>
      <c r="O218" s="425"/>
      <c r="P218" s="511"/>
      <c r="Q218" s="425"/>
      <c r="R218" s="511"/>
      <c r="S218" s="425"/>
      <c r="T218" s="511"/>
      <c r="U218" s="425"/>
    </row>
    <row r="219" ht="15.75" customHeight="1">
      <c r="A219" s="425"/>
      <c r="B219" s="425"/>
      <c r="C219" s="425"/>
      <c r="D219" s="511"/>
      <c r="E219" s="425"/>
      <c r="F219" s="511"/>
      <c r="G219" s="425"/>
      <c r="H219" s="511"/>
      <c r="I219" s="425"/>
      <c r="J219" s="511"/>
      <c r="K219" s="425"/>
      <c r="L219" s="511"/>
      <c r="M219" s="425"/>
      <c r="N219" s="511"/>
      <c r="O219" s="425"/>
      <c r="P219" s="511"/>
      <c r="Q219" s="425"/>
      <c r="R219" s="511"/>
      <c r="S219" s="425"/>
      <c r="T219" s="511"/>
      <c r="U219" s="425"/>
    </row>
    <row r="220" ht="15.75" customHeight="1">
      <c r="A220" s="425"/>
      <c r="B220" s="425"/>
      <c r="C220" s="425"/>
      <c r="D220" s="511"/>
      <c r="E220" s="425"/>
      <c r="F220" s="511"/>
      <c r="G220" s="425"/>
      <c r="H220" s="511"/>
      <c r="I220" s="425"/>
      <c r="J220" s="511"/>
      <c r="K220" s="425"/>
      <c r="L220" s="511"/>
      <c r="M220" s="425"/>
      <c r="N220" s="511"/>
      <c r="O220" s="425"/>
      <c r="P220" s="511"/>
      <c r="Q220" s="425"/>
      <c r="R220" s="511"/>
      <c r="S220" s="425"/>
      <c r="T220" s="511"/>
      <c r="U220" s="425"/>
    </row>
    <row r="221" ht="15.75" customHeight="1">
      <c r="A221" s="425"/>
      <c r="B221" s="425"/>
      <c r="C221" s="425"/>
      <c r="D221" s="511"/>
      <c r="E221" s="425"/>
      <c r="F221" s="511"/>
      <c r="G221" s="425"/>
      <c r="H221" s="511"/>
      <c r="I221" s="425"/>
      <c r="J221" s="511"/>
      <c r="K221" s="425"/>
      <c r="L221" s="511"/>
      <c r="M221" s="425"/>
      <c r="N221" s="511"/>
      <c r="O221" s="425"/>
      <c r="P221" s="511"/>
      <c r="Q221" s="425"/>
      <c r="R221" s="511"/>
      <c r="S221" s="425"/>
      <c r="T221" s="511"/>
      <c r="U221" s="425"/>
    </row>
    <row r="222" ht="15.75" customHeight="1">
      <c r="A222" s="425"/>
      <c r="B222" s="425"/>
      <c r="C222" s="425"/>
      <c r="D222" s="511"/>
      <c r="E222" s="425"/>
      <c r="F222" s="511"/>
      <c r="G222" s="425"/>
      <c r="H222" s="511"/>
      <c r="I222" s="425"/>
      <c r="J222" s="511"/>
      <c r="K222" s="425"/>
      <c r="L222" s="511"/>
      <c r="M222" s="425"/>
      <c r="N222" s="511"/>
      <c r="O222" s="425"/>
      <c r="P222" s="511"/>
      <c r="Q222" s="425"/>
      <c r="R222" s="511"/>
      <c r="S222" s="425"/>
      <c r="T222" s="511"/>
      <c r="U222" s="425"/>
    </row>
    <row r="223" ht="15.75" customHeight="1">
      <c r="A223" s="425"/>
      <c r="B223" s="425"/>
      <c r="C223" s="425"/>
      <c r="D223" s="511"/>
      <c r="E223" s="425"/>
      <c r="F223" s="511"/>
      <c r="G223" s="425"/>
      <c r="H223" s="511"/>
      <c r="I223" s="425"/>
      <c r="J223" s="511"/>
      <c r="K223" s="425"/>
      <c r="L223" s="511"/>
      <c r="M223" s="425"/>
      <c r="N223" s="511"/>
      <c r="O223" s="425"/>
      <c r="P223" s="511"/>
      <c r="Q223" s="425"/>
      <c r="R223" s="511"/>
      <c r="S223" s="425"/>
      <c r="T223" s="511"/>
      <c r="U223" s="425"/>
    </row>
    <row r="224" ht="15.75" customHeight="1">
      <c r="A224" s="425"/>
      <c r="B224" s="425"/>
      <c r="C224" s="425"/>
      <c r="D224" s="511"/>
      <c r="E224" s="425"/>
      <c r="F224" s="511"/>
      <c r="G224" s="425"/>
      <c r="H224" s="511"/>
      <c r="I224" s="425"/>
      <c r="J224" s="511"/>
      <c r="K224" s="425"/>
      <c r="L224" s="511"/>
      <c r="M224" s="425"/>
      <c r="N224" s="511"/>
      <c r="O224" s="425"/>
      <c r="P224" s="511"/>
      <c r="Q224" s="425"/>
      <c r="R224" s="511"/>
      <c r="S224" s="425"/>
      <c r="T224" s="511"/>
      <c r="U224" s="425"/>
    </row>
    <row r="225" ht="15.75" customHeight="1">
      <c r="A225" s="425"/>
      <c r="B225" s="425"/>
      <c r="C225" s="425"/>
      <c r="D225" s="511"/>
      <c r="E225" s="425"/>
      <c r="F225" s="511"/>
      <c r="G225" s="425"/>
      <c r="H225" s="511"/>
      <c r="I225" s="425"/>
      <c r="J225" s="511"/>
      <c r="K225" s="425"/>
      <c r="L225" s="511"/>
      <c r="M225" s="425"/>
      <c r="N225" s="511"/>
      <c r="O225" s="425"/>
      <c r="P225" s="511"/>
      <c r="Q225" s="425"/>
      <c r="R225" s="511"/>
      <c r="S225" s="425"/>
      <c r="T225" s="511"/>
      <c r="U225" s="425"/>
    </row>
    <row r="226" ht="15.75" customHeight="1">
      <c r="A226" s="425"/>
      <c r="B226" s="425"/>
      <c r="C226" s="425"/>
      <c r="D226" s="511"/>
      <c r="E226" s="425"/>
      <c r="F226" s="511"/>
      <c r="G226" s="425"/>
      <c r="H226" s="511"/>
      <c r="I226" s="425"/>
      <c r="J226" s="511"/>
      <c r="K226" s="425"/>
      <c r="L226" s="511"/>
      <c r="M226" s="425"/>
      <c r="N226" s="511"/>
      <c r="O226" s="425"/>
      <c r="P226" s="511"/>
      <c r="Q226" s="425"/>
      <c r="R226" s="511"/>
      <c r="S226" s="425"/>
      <c r="T226" s="511"/>
      <c r="U226" s="425"/>
    </row>
    <row r="227" ht="15.75" customHeight="1">
      <c r="A227" s="425"/>
      <c r="B227" s="425"/>
      <c r="C227" s="425"/>
      <c r="D227" s="511"/>
      <c r="E227" s="425"/>
      <c r="F227" s="511"/>
      <c r="G227" s="425"/>
      <c r="H227" s="511"/>
      <c r="I227" s="425"/>
      <c r="J227" s="511"/>
      <c r="K227" s="425"/>
      <c r="L227" s="511"/>
      <c r="M227" s="425"/>
      <c r="N227" s="511"/>
      <c r="O227" s="425"/>
      <c r="P227" s="511"/>
      <c r="Q227" s="425"/>
      <c r="R227" s="511"/>
      <c r="S227" s="425"/>
      <c r="T227" s="511"/>
      <c r="U227" s="425"/>
    </row>
    <row r="228" ht="15.75" customHeight="1">
      <c r="A228" s="425"/>
      <c r="B228" s="425"/>
      <c r="C228" s="425"/>
      <c r="D228" s="511"/>
      <c r="E228" s="425"/>
      <c r="F228" s="511"/>
      <c r="G228" s="425"/>
      <c r="H228" s="511"/>
      <c r="I228" s="425"/>
      <c r="J228" s="511"/>
      <c r="K228" s="425"/>
      <c r="L228" s="511"/>
      <c r="M228" s="425"/>
      <c r="N228" s="511"/>
      <c r="O228" s="425"/>
      <c r="P228" s="511"/>
      <c r="Q228" s="425"/>
      <c r="R228" s="511"/>
      <c r="S228" s="425"/>
      <c r="T228" s="511"/>
      <c r="U228" s="425"/>
    </row>
    <row r="229" ht="15.75" customHeight="1">
      <c r="A229" s="425"/>
      <c r="B229" s="425"/>
      <c r="C229" s="425"/>
      <c r="D229" s="511"/>
      <c r="E229" s="425"/>
      <c r="F229" s="511"/>
      <c r="G229" s="425"/>
      <c r="H229" s="511"/>
      <c r="I229" s="425"/>
      <c r="J229" s="511"/>
      <c r="K229" s="425"/>
      <c r="L229" s="511"/>
      <c r="M229" s="425"/>
      <c r="N229" s="511"/>
      <c r="O229" s="425"/>
      <c r="P229" s="511"/>
      <c r="Q229" s="425"/>
      <c r="R229" s="511"/>
      <c r="S229" s="425"/>
      <c r="T229" s="511"/>
      <c r="U229" s="425"/>
    </row>
    <row r="230" ht="15.75" customHeight="1">
      <c r="A230" s="425"/>
      <c r="B230" s="425"/>
      <c r="C230" s="425"/>
      <c r="D230" s="511"/>
      <c r="E230" s="425"/>
      <c r="F230" s="511"/>
      <c r="G230" s="425"/>
      <c r="H230" s="511"/>
      <c r="I230" s="425"/>
      <c r="J230" s="511"/>
      <c r="K230" s="425"/>
      <c r="L230" s="511"/>
      <c r="M230" s="425"/>
      <c r="N230" s="511"/>
      <c r="O230" s="425"/>
      <c r="P230" s="511"/>
      <c r="Q230" s="425"/>
      <c r="R230" s="511"/>
      <c r="S230" s="425"/>
      <c r="T230" s="511"/>
      <c r="U230" s="425"/>
    </row>
    <row r="231" ht="15.75" customHeight="1">
      <c r="A231" s="425"/>
      <c r="B231" s="425"/>
      <c r="C231" s="425"/>
      <c r="D231" s="511"/>
      <c r="E231" s="425"/>
      <c r="F231" s="511"/>
      <c r="G231" s="425"/>
      <c r="H231" s="511"/>
      <c r="I231" s="425"/>
      <c r="J231" s="511"/>
      <c r="K231" s="425"/>
      <c r="L231" s="511"/>
      <c r="M231" s="425"/>
      <c r="N231" s="511"/>
      <c r="O231" s="425"/>
      <c r="P231" s="511"/>
      <c r="Q231" s="425"/>
      <c r="R231" s="511"/>
      <c r="S231" s="425"/>
      <c r="T231" s="511"/>
      <c r="U231" s="425"/>
    </row>
    <row r="232" ht="15.75" customHeight="1">
      <c r="A232" s="425"/>
      <c r="B232" s="425"/>
      <c r="C232" s="425"/>
      <c r="D232" s="511"/>
      <c r="E232" s="425"/>
      <c r="F232" s="511"/>
      <c r="G232" s="425"/>
      <c r="H232" s="511"/>
      <c r="I232" s="425"/>
      <c r="J232" s="511"/>
      <c r="K232" s="425"/>
      <c r="L232" s="511"/>
      <c r="M232" s="425"/>
      <c r="N232" s="511"/>
      <c r="O232" s="425"/>
      <c r="P232" s="511"/>
      <c r="Q232" s="425"/>
      <c r="R232" s="511"/>
      <c r="S232" s="425"/>
      <c r="T232" s="511"/>
      <c r="U232" s="425"/>
    </row>
    <row r="233" ht="15.75" customHeight="1">
      <c r="A233" s="425"/>
      <c r="B233" s="425"/>
      <c r="C233" s="425"/>
      <c r="D233" s="511"/>
      <c r="E233" s="425"/>
      <c r="F233" s="511"/>
      <c r="G233" s="425"/>
      <c r="H233" s="511"/>
      <c r="I233" s="425"/>
      <c r="J233" s="511"/>
      <c r="K233" s="425"/>
      <c r="L233" s="511"/>
      <c r="M233" s="425"/>
      <c r="N233" s="511"/>
      <c r="O233" s="425"/>
      <c r="P233" s="511"/>
      <c r="Q233" s="425"/>
      <c r="R233" s="511"/>
      <c r="S233" s="425"/>
      <c r="T233" s="511"/>
      <c r="U233" s="425"/>
    </row>
    <row r="234" ht="15.75" customHeight="1">
      <c r="A234" s="425"/>
      <c r="B234" s="425"/>
      <c r="C234" s="425"/>
      <c r="D234" s="511"/>
      <c r="E234" s="425"/>
      <c r="F234" s="511"/>
      <c r="G234" s="425"/>
      <c r="H234" s="511"/>
      <c r="I234" s="425"/>
      <c r="J234" s="511"/>
      <c r="K234" s="425"/>
      <c r="L234" s="511"/>
      <c r="M234" s="425"/>
      <c r="N234" s="511"/>
      <c r="O234" s="425"/>
      <c r="P234" s="511"/>
      <c r="Q234" s="425"/>
      <c r="R234" s="511"/>
      <c r="S234" s="425"/>
      <c r="T234" s="511"/>
      <c r="U234" s="425"/>
    </row>
    <row r="235" ht="15.75" customHeight="1">
      <c r="A235" s="425"/>
      <c r="B235" s="425"/>
      <c r="C235" s="425"/>
      <c r="D235" s="511"/>
      <c r="E235" s="425"/>
      <c r="F235" s="511"/>
      <c r="G235" s="425"/>
      <c r="H235" s="511"/>
      <c r="I235" s="425"/>
      <c r="J235" s="511"/>
      <c r="K235" s="425"/>
      <c r="L235" s="511"/>
      <c r="M235" s="425"/>
      <c r="N235" s="511"/>
      <c r="O235" s="425"/>
      <c r="P235" s="511"/>
      <c r="Q235" s="425"/>
      <c r="R235" s="511"/>
      <c r="S235" s="425"/>
      <c r="T235" s="511"/>
      <c r="U235" s="425"/>
    </row>
    <row r="236" ht="15.75" customHeight="1">
      <c r="A236" s="425"/>
      <c r="B236" s="425"/>
      <c r="C236" s="425"/>
      <c r="D236" s="511"/>
      <c r="E236" s="425"/>
      <c r="F236" s="511"/>
      <c r="G236" s="425"/>
      <c r="H236" s="511"/>
      <c r="I236" s="425"/>
      <c r="J236" s="511"/>
      <c r="K236" s="425"/>
      <c r="L236" s="511"/>
      <c r="M236" s="425"/>
      <c r="N236" s="511"/>
      <c r="O236" s="425"/>
      <c r="P236" s="511"/>
      <c r="Q236" s="425"/>
      <c r="R236" s="511"/>
      <c r="S236" s="425"/>
      <c r="T236" s="511"/>
      <c r="U236" s="425"/>
    </row>
    <row r="237" ht="15.75" customHeight="1">
      <c r="A237" s="425"/>
      <c r="B237" s="425"/>
      <c r="C237" s="425"/>
      <c r="D237" s="511"/>
      <c r="E237" s="425"/>
      <c r="F237" s="511"/>
      <c r="G237" s="425"/>
      <c r="H237" s="511"/>
      <c r="I237" s="425"/>
      <c r="J237" s="511"/>
      <c r="K237" s="425"/>
      <c r="L237" s="511"/>
      <c r="M237" s="425"/>
      <c r="N237" s="511"/>
      <c r="O237" s="425"/>
      <c r="P237" s="511"/>
      <c r="Q237" s="425"/>
      <c r="R237" s="511"/>
      <c r="S237" s="425"/>
      <c r="T237" s="511"/>
      <c r="U237" s="425"/>
    </row>
    <row r="238" ht="15.75" customHeight="1">
      <c r="A238" s="425"/>
      <c r="B238" s="425"/>
      <c r="C238" s="425"/>
      <c r="D238" s="511"/>
      <c r="E238" s="425"/>
      <c r="F238" s="511"/>
      <c r="G238" s="425"/>
      <c r="H238" s="511"/>
      <c r="I238" s="425"/>
      <c r="J238" s="511"/>
      <c r="K238" s="425"/>
      <c r="L238" s="511"/>
      <c r="M238" s="425"/>
      <c r="N238" s="511"/>
      <c r="O238" s="425"/>
      <c r="P238" s="511"/>
      <c r="Q238" s="425"/>
      <c r="R238" s="511"/>
      <c r="S238" s="425"/>
      <c r="T238" s="511"/>
      <c r="U238" s="425"/>
    </row>
    <row r="239" ht="15.75" customHeight="1">
      <c r="A239" s="425"/>
      <c r="B239" s="425"/>
      <c r="C239" s="425"/>
      <c r="D239" s="511"/>
      <c r="E239" s="425"/>
      <c r="F239" s="511"/>
      <c r="G239" s="425"/>
      <c r="H239" s="511"/>
      <c r="I239" s="425"/>
      <c r="J239" s="511"/>
      <c r="K239" s="425"/>
      <c r="L239" s="511"/>
      <c r="M239" s="425"/>
      <c r="N239" s="511"/>
      <c r="O239" s="425"/>
      <c r="P239" s="511"/>
      <c r="Q239" s="425"/>
      <c r="R239" s="511"/>
      <c r="S239" s="425"/>
      <c r="T239" s="511"/>
      <c r="U239" s="425"/>
    </row>
    <row r="240" ht="15.75" customHeight="1">
      <c r="A240" s="425"/>
      <c r="B240" s="425"/>
      <c r="C240" s="425"/>
      <c r="D240" s="511"/>
      <c r="E240" s="425"/>
      <c r="F240" s="511"/>
      <c r="G240" s="425"/>
      <c r="H240" s="511"/>
      <c r="I240" s="425"/>
      <c r="J240" s="511"/>
      <c r="K240" s="425"/>
      <c r="L240" s="511"/>
      <c r="M240" s="425"/>
      <c r="N240" s="511"/>
      <c r="O240" s="425"/>
      <c r="P240" s="511"/>
      <c r="Q240" s="425"/>
      <c r="R240" s="511"/>
      <c r="S240" s="425"/>
      <c r="T240" s="511"/>
      <c r="U240" s="425"/>
    </row>
    <row r="241" ht="15.75" customHeight="1">
      <c r="A241" s="425"/>
      <c r="B241" s="425"/>
      <c r="C241" s="425"/>
      <c r="D241" s="511"/>
      <c r="E241" s="425"/>
      <c r="F241" s="511"/>
      <c r="G241" s="425"/>
      <c r="H241" s="511"/>
      <c r="I241" s="425"/>
      <c r="J241" s="511"/>
      <c r="K241" s="425"/>
      <c r="L241" s="511"/>
      <c r="M241" s="425"/>
      <c r="N241" s="511"/>
      <c r="O241" s="425"/>
      <c r="P241" s="511"/>
      <c r="Q241" s="425"/>
      <c r="R241" s="511"/>
      <c r="S241" s="425"/>
      <c r="T241" s="511"/>
      <c r="U241" s="425"/>
    </row>
    <row r="242" ht="15.75" customHeight="1">
      <c r="A242" s="425"/>
      <c r="B242" s="425"/>
      <c r="C242" s="425"/>
      <c r="D242" s="511"/>
      <c r="E242" s="425"/>
      <c r="F242" s="511"/>
      <c r="G242" s="425"/>
      <c r="H242" s="511"/>
      <c r="I242" s="425"/>
      <c r="J242" s="511"/>
      <c r="K242" s="425"/>
      <c r="L242" s="511"/>
      <c r="M242" s="425"/>
      <c r="N242" s="511"/>
      <c r="O242" s="425"/>
      <c r="P242" s="511"/>
      <c r="Q242" s="425"/>
      <c r="R242" s="511"/>
      <c r="S242" s="425"/>
      <c r="T242" s="511"/>
      <c r="U242" s="425"/>
    </row>
    <row r="243" ht="15.75" customHeight="1">
      <c r="A243" s="425"/>
      <c r="B243" s="425"/>
      <c r="C243" s="425"/>
      <c r="D243" s="511"/>
      <c r="E243" s="425"/>
      <c r="F243" s="511"/>
      <c r="G243" s="425"/>
      <c r="H243" s="511"/>
      <c r="I243" s="425"/>
      <c r="J243" s="511"/>
      <c r="K243" s="425"/>
      <c r="L243" s="511"/>
      <c r="M243" s="425"/>
      <c r="N243" s="511"/>
      <c r="O243" s="425"/>
      <c r="P243" s="511"/>
      <c r="Q243" s="425"/>
      <c r="R243" s="511"/>
      <c r="S243" s="425"/>
      <c r="T243" s="511"/>
      <c r="U243" s="425"/>
    </row>
    <row r="244" ht="15.75" customHeight="1">
      <c r="A244" s="425"/>
      <c r="B244" s="425"/>
      <c r="C244" s="425"/>
      <c r="D244" s="511"/>
      <c r="E244" s="425"/>
      <c r="F244" s="511"/>
      <c r="G244" s="425"/>
      <c r="H244" s="511"/>
      <c r="I244" s="425"/>
      <c r="J244" s="511"/>
      <c r="K244" s="425"/>
      <c r="L244" s="511"/>
      <c r="M244" s="425"/>
      <c r="N244" s="511"/>
      <c r="O244" s="425"/>
      <c r="P244" s="511"/>
      <c r="Q244" s="425"/>
      <c r="R244" s="511"/>
      <c r="S244" s="425"/>
      <c r="T244" s="511"/>
      <c r="U244" s="425"/>
    </row>
    <row r="245" ht="15.75" customHeight="1">
      <c r="A245" s="425"/>
      <c r="B245" s="425"/>
      <c r="C245" s="425"/>
      <c r="D245" s="511"/>
      <c r="E245" s="425"/>
      <c r="F245" s="511"/>
      <c r="G245" s="425"/>
      <c r="H245" s="511"/>
      <c r="I245" s="425"/>
      <c r="J245" s="511"/>
      <c r="K245" s="425"/>
      <c r="L245" s="511"/>
      <c r="M245" s="425"/>
      <c r="N245" s="511"/>
      <c r="O245" s="425"/>
      <c r="P245" s="511"/>
      <c r="Q245" s="425"/>
      <c r="R245" s="511"/>
      <c r="S245" s="425"/>
      <c r="T245" s="511"/>
      <c r="U245" s="425"/>
    </row>
    <row r="246" ht="15.75" customHeight="1">
      <c r="A246" s="425"/>
      <c r="B246" s="425"/>
      <c r="C246" s="425"/>
      <c r="D246" s="511"/>
      <c r="E246" s="425"/>
      <c r="F246" s="511"/>
      <c r="G246" s="425"/>
      <c r="H246" s="511"/>
      <c r="I246" s="425"/>
      <c r="J246" s="511"/>
      <c r="K246" s="425"/>
      <c r="L246" s="511"/>
      <c r="M246" s="425"/>
      <c r="N246" s="511"/>
      <c r="O246" s="425"/>
      <c r="P246" s="511"/>
      <c r="Q246" s="425"/>
      <c r="R246" s="511"/>
      <c r="S246" s="425"/>
      <c r="T246" s="511"/>
      <c r="U246" s="425"/>
    </row>
    <row r="247" ht="15.75" customHeight="1">
      <c r="A247" s="425"/>
      <c r="B247" s="425"/>
      <c r="C247" s="425"/>
      <c r="D247" s="511"/>
      <c r="E247" s="425"/>
      <c r="F247" s="511"/>
      <c r="G247" s="425"/>
      <c r="H247" s="511"/>
      <c r="I247" s="425"/>
      <c r="J247" s="511"/>
      <c r="K247" s="425"/>
      <c r="L247" s="511"/>
      <c r="M247" s="425"/>
      <c r="N247" s="511"/>
      <c r="O247" s="425"/>
      <c r="P247" s="511"/>
      <c r="Q247" s="425"/>
      <c r="R247" s="511"/>
      <c r="S247" s="425"/>
      <c r="T247" s="511"/>
      <c r="U247" s="425"/>
    </row>
    <row r="248" ht="15.75" customHeight="1">
      <c r="A248" s="425"/>
      <c r="B248" s="425"/>
      <c r="C248" s="425"/>
      <c r="D248" s="511"/>
      <c r="E248" s="425"/>
      <c r="F248" s="511"/>
      <c r="G248" s="425"/>
      <c r="H248" s="511"/>
      <c r="I248" s="425"/>
      <c r="J248" s="511"/>
      <c r="K248" s="425"/>
      <c r="L248" s="511"/>
      <c r="M248" s="425"/>
      <c r="N248" s="511"/>
      <c r="O248" s="425"/>
      <c r="P248" s="511"/>
      <c r="Q248" s="425"/>
      <c r="R248" s="511"/>
      <c r="S248" s="425"/>
      <c r="T248" s="511"/>
      <c r="U248" s="425"/>
    </row>
    <row r="249" ht="15.75" customHeight="1">
      <c r="A249" s="425"/>
      <c r="B249" s="425"/>
      <c r="C249" s="425"/>
      <c r="D249" s="511"/>
      <c r="E249" s="425"/>
      <c r="F249" s="511"/>
      <c r="G249" s="425"/>
      <c r="H249" s="511"/>
      <c r="I249" s="425"/>
      <c r="J249" s="511"/>
      <c r="K249" s="425"/>
      <c r="L249" s="511"/>
      <c r="M249" s="425"/>
      <c r="N249" s="511"/>
      <c r="O249" s="425"/>
      <c r="P249" s="511"/>
      <c r="Q249" s="425"/>
      <c r="R249" s="511"/>
      <c r="S249" s="425"/>
      <c r="T249" s="511"/>
      <c r="U249" s="425"/>
    </row>
    <row r="250" ht="15.75" customHeight="1">
      <c r="A250" s="425"/>
      <c r="B250" s="425"/>
      <c r="C250" s="425"/>
      <c r="D250" s="511"/>
      <c r="E250" s="425"/>
      <c r="F250" s="511"/>
      <c r="G250" s="425"/>
      <c r="H250" s="511"/>
      <c r="I250" s="425"/>
      <c r="J250" s="511"/>
      <c r="K250" s="425"/>
      <c r="L250" s="511"/>
      <c r="M250" s="425"/>
      <c r="N250" s="511"/>
      <c r="O250" s="425"/>
      <c r="P250" s="511"/>
      <c r="Q250" s="425"/>
      <c r="R250" s="511"/>
      <c r="S250" s="425"/>
      <c r="T250" s="511"/>
      <c r="U250" s="425"/>
    </row>
    <row r="251" ht="15.75" customHeight="1">
      <c r="A251" s="425"/>
      <c r="B251" s="425"/>
      <c r="C251" s="425"/>
      <c r="D251" s="511"/>
      <c r="E251" s="425"/>
      <c r="F251" s="511"/>
      <c r="G251" s="425"/>
      <c r="H251" s="511"/>
      <c r="I251" s="425"/>
      <c r="J251" s="511"/>
      <c r="K251" s="425"/>
      <c r="L251" s="511"/>
      <c r="M251" s="425"/>
      <c r="N251" s="511"/>
      <c r="O251" s="425"/>
      <c r="P251" s="511"/>
      <c r="Q251" s="425"/>
      <c r="R251" s="511"/>
      <c r="S251" s="425"/>
      <c r="T251" s="511"/>
      <c r="U251" s="425"/>
    </row>
    <row r="252" ht="15.75" customHeight="1">
      <c r="A252" s="425"/>
      <c r="B252" s="425"/>
      <c r="C252" s="425"/>
      <c r="D252" s="511"/>
      <c r="E252" s="425"/>
      <c r="F252" s="511"/>
      <c r="G252" s="425"/>
      <c r="H252" s="511"/>
      <c r="I252" s="425"/>
      <c r="J252" s="511"/>
      <c r="K252" s="425"/>
      <c r="L252" s="511"/>
      <c r="M252" s="425"/>
      <c r="N252" s="511"/>
      <c r="O252" s="425"/>
      <c r="P252" s="511"/>
      <c r="Q252" s="425"/>
      <c r="R252" s="511"/>
      <c r="S252" s="425"/>
      <c r="T252" s="511"/>
      <c r="U252" s="425"/>
    </row>
    <row r="253" ht="15.75" customHeight="1">
      <c r="A253" s="425"/>
      <c r="B253" s="425"/>
      <c r="C253" s="425"/>
      <c r="D253" s="511"/>
      <c r="E253" s="425"/>
      <c r="F253" s="511"/>
      <c r="G253" s="425"/>
      <c r="H253" s="511"/>
      <c r="I253" s="425"/>
      <c r="J253" s="511"/>
      <c r="K253" s="425"/>
      <c r="L253" s="511"/>
      <c r="M253" s="425"/>
      <c r="N253" s="511"/>
      <c r="O253" s="425"/>
      <c r="P253" s="511"/>
      <c r="Q253" s="425"/>
      <c r="R253" s="511"/>
      <c r="S253" s="425"/>
      <c r="T253" s="511"/>
      <c r="U253" s="425"/>
    </row>
    <row r="254" ht="15.75" customHeight="1">
      <c r="A254" s="425"/>
      <c r="B254" s="425"/>
      <c r="C254" s="425"/>
      <c r="D254" s="511"/>
      <c r="E254" s="425"/>
      <c r="F254" s="511"/>
      <c r="G254" s="425"/>
      <c r="H254" s="511"/>
      <c r="I254" s="425"/>
      <c r="J254" s="511"/>
      <c r="K254" s="425"/>
      <c r="L254" s="511"/>
      <c r="M254" s="425"/>
      <c r="N254" s="511"/>
      <c r="O254" s="425"/>
      <c r="P254" s="511"/>
      <c r="Q254" s="425"/>
      <c r="R254" s="511"/>
      <c r="S254" s="425"/>
      <c r="T254" s="511"/>
      <c r="U254" s="425"/>
    </row>
    <row r="255" ht="15.75" customHeight="1">
      <c r="A255" s="425"/>
      <c r="B255" s="425"/>
      <c r="C255" s="425"/>
      <c r="D255" s="511"/>
      <c r="E255" s="425"/>
      <c r="F255" s="511"/>
      <c r="G255" s="425"/>
      <c r="H255" s="511"/>
      <c r="I255" s="425"/>
      <c r="J255" s="511"/>
      <c r="K255" s="425"/>
      <c r="L255" s="511"/>
      <c r="M255" s="425"/>
      <c r="N255" s="511"/>
      <c r="O255" s="425"/>
      <c r="P255" s="511"/>
      <c r="Q255" s="425"/>
      <c r="R255" s="511"/>
      <c r="S255" s="425"/>
      <c r="T255" s="511"/>
      <c r="U255" s="425"/>
    </row>
    <row r="256" ht="15.75" customHeight="1">
      <c r="A256" s="425"/>
      <c r="B256" s="425"/>
      <c r="C256" s="425"/>
      <c r="D256" s="511"/>
      <c r="E256" s="425"/>
      <c r="F256" s="511"/>
      <c r="G256" s="425"/>
      <c r="H256" s="511"/>
      <c r="I256" s="425"/>
      <c r="J256" s="511"/>
      <c r="K256" s="425"/>
      <c r="L256" s="511"/>
      <c r="M256" s="425"/>
      <c r="N256" s="511"/>
      <c r="O256" s="425"/>
      <c r="P256" s="511"/>
      <c r="Q256" s="425"/>
      <c r="R256" s="511"/>
      <c r="S256" s="425"/>
      <c r="T256" s="511"/>
      <c r="U256" s="425"/>
    </row>
    <row r="257" ht="15.75" customHeight="1">
      <c r="A257" s="425"/>
      <c r="B257" s="425"/>
      <c r="C257" s="425"/>
      <c r="D257" s="511"/>
      <c r="E257" s="425"/>
      <c r="F257" s="511"/>
      <c r="G257" s="425"/>
      <c r="H257" s="511"/>
      <c r="I257" s="425"/>
      <c r="J257" s="511"/>
      <c r="K257" s="425"/>
      <c r="L257" s="511"/>
      <c r="M257" s="425"/>
      <c r="N257" s="511"/>
      <c r="O257" s="425"/>
      <c r="P257" s="511"/>
      <c r="Q257" s="425"/>
      <c r="R257" s="511"/>
      <c r="S257" s="425"/>
      <c r="T257" s="511"/>
      <c r="U257" s="425"/>
    </row>
    <row r="258" ht="15.75" customHeight="1">
      <c r="A258" s="425"/>
      <c r="B258" s="425"/>
      <c r="C258" s="425"/>
      <c r="D258" s="511"/>
      <c r="E258" s="425"/>
      <c r="F258" s="511"/>
      <c r="G258" s="425"/>
      <c r="H258" s="511"/>
      <c r="I258" s="425"/>
      <c r="J258" s="511"/>
      <c r="K258" s="425"/>
      <c r="L258" s="511"/>
      <c r="M258" s="425"/>
      <c r="N258" s="511"/>
      <c r="O258" s="425"/>
      <c r="P258" s="511"/>
      <c r="Q258" s="425"/>
      <c r="R258" s="511"/>
      <c r="S258" s="425"/>
      <c r="T258" s="511"/>
      <c r="U258" s="425"/>
    </row>
    <row r="259" ht="15.75" customHeight="1">
      <c r="A259" s="425"/>
      <c r="B259" s="425"/>
      <c r="C259" s="425"/>
      <c r="D259" s="511"/>
      <c r="E259" s="425"/>
      <c r="F259" s="511"/>
      <c r="G259" s="425"/>
      <c r="H259" s="511"/>
      <c r="I259" s="425"/>
      <c r="J259" s="511"/>
      <c r="K259" s="425"/>
      <c r="L259" s="511"/>
      <c r="M259" s="425"/>
      <c r="N259" s="511"/>
      <c r="O259" s="425"/>
      <c r="P259" s="511"/>
      <c r="Q259" s="425"/>
      <c r="R259" s="511"/>
      <c r="S259" s="425"/>
      <c r="T259" s="511"/>
      <c r="U259" s="425"/>
    </row>
    <row r="260" ht="15.75" customHeight="1">
      <c r="A260" s="425"/>
      <c r="B260" s="425"/>
      <c r="C260" s="425"/>
      <c r="D260" s="511"/>
      <c r="E260" s="425"/>
      <c r="F260" s="511"/>
      <c r="G260" s="425"/>
      <c r="H260" s="511"/>
      <c r="I260" s="425"/>
      <c r="J260" s="511"/>
      <c r="K260" s="425"/>
      <c r="L260" s="511"/>
      <c r="M260" s="425"/>
      <c r="N260" s="511"/>
      <c r="O260" s="425"/>
      <c r="P260" s="511"/>
      <c r="Q260" s="425"/>
      <c r="R260" s="511"/>
      <c r="S260" s="425"/>
      <c r="T260" s="511"/>
      <c r="U260" s="425"/>
    </row>
    <row r="261" ht="15.75" customHeight="1">
      <c r="A261" s="425"/>
      <c r="B261" s="425"/>
      <c r="C261" s="425"/>
      <c r="D261" s="511"/>
      <c r="E261" s="425"/>
      <c r="F261" s="511"/>
      <c r="G261" s="425"/>
      <c r="H261" s="511"/>
      <c r="I261" s="425"/>
      <c r="J261" s="511"/>
      <c r="K261" s="425"/>
      <c r="L261" s="511"/>
      <c r="M261" s="425"/>
      <c r="N261" s="511"/>
      <c r="O261" s="425"/>
      <c r="P261" s="511"/>
      <c r="Q261" s="425"/>
      <c r="R261" s="511"/>
      <c r="S261" s="425"/>
      <c r="T261" s="511"/>
      <c r="U261" s="425"/>
    </row>
    <row r="262" ht="15.75" customHeight="1">
      <c r="A262" s="425"/>
      <c r="B262" s="425"/>
      <c r="C262" s="425"/>
      <c r="D262" s="511"/>
      <c r="E262" s="425"/>
      <c r="F262" s="511"/>
      <c r="G262" s="425"/>
      <c r="H262" s="511"/>
      <c r="I262" s="425"/>
      <c r="J262" s="511"/>
      <c r="K262" s="425"/>
      <c r="L262" s="511"/>
      <c r="M262" s="425"/>
      <c r="N262" s="511"/>
      <c r="O262" s="425"/>
      <c r="P262" s="511"/>
      <c r="Q262" s="425"/>
      <c r="R262" s="511"/>
      <c r="S262" s="425"/>
      <c r="T262" s="511"/>
      <c r="U262" s="425"/>
    </row>
    <row r="263" ht="15.75" customHeight="1">
      <c r="A263" s="425"/>
      <c r="B263" s="425"/>
      <c r="C263" s="425"/>
      <c r="D263" s="511"/>
      <c r="E263" s="425"/>
      <c r="F263" s="511"/>
      <c r="G263" s="425"/>
      <c r="H263" s="511"/>
      <c r="I263" s="425"/>
      <c r="J263" s="511"/>
      <c r="K263" s="425"/>
      <c r="L263" s="511"/>
      <c r="M263" s="425"/>
      <c r="N263" s="511"/>
      <c r="O263" s="425"/>
      <c r="P263" s="511"/>
      <c r="Q263" s="425"/>
      <c r="R263" s="511"/>
      <c r="S263" s="425"/>
      <c r="T263" s="511"/>
      <c r="U263" s="425"/>
    </row>
    <row r="264" ht="15.75" customHeight="1">
      <c r="A264" s="425"/>
      <c r="B264" s="425"/>
      <c r="C264" s="425"/>
      <c r="D264" s="511"/>
      <c r="E264" s="425"/>
      <c r="F264" s="511"/>
      <c r="G264" s="425"/>
      <c r="H264" s="511"/>
      <c r="I264" s="425"/>
      <c r="J264" s="511"/>
      <c r="K264" s="425"/>
      <c r="L264" s="511"/>
      <c r="M264" s="425"/>
      <c r="N264" s="511"/>
      <c r="O264" s="425"/>
      <c r="P264" s="511"/>
      <c r="Q264" s="425"/>
      <c r="R264" s="511"/>
      <c r="S264" s="425"/>
      <c r="T264" s="511"/>
      <c r="U264" s="425"/>
    </row>
    <row r="265" ht="15.75" customHeight="1">
      <c r="A265" s="425"/>
      <c r="B265" s="425"/>
      <c r="C265" s="425"/>
      <c r="D265" s="511"/>
      <c r="E265" s="425"/>
      <c r="F265" s="511"/>
      <c r="G265" s="425"/>
      <c r="H265" s="511"/>
      <c r="I265" s="425"/>
      <c r="J265" s="511"/>
      <c r="K265" s="425"/>
      <c r="L265" s="511"/>
      <c r="M265" s="425"/>
      <c r="N265" s="511"/>
      <c r="O265" s="425"/>
      <c r="P265" s="511"/>
      <c r="Q265" s="425"/>
      <c r="R265" s="511"/>
      <c r="S265" s="425"/>
      <c r="T265" s="511"/>
      <c r="U265" s="425"/>
    </row>
    <row r="266" ht="15.75" customHeight="1">
      <c r="A266" s="425"/>
      <c r="B266" s="425"/>
      <c r="C266" s="425"/>
      <c r="D266" s="511"/>
      <c r="E266" s="425"/>
      <c r="F266" s="511"/>
      <c r="G266" s="425"/>
      <c r="H266" s="511"/>
      <c r="I266" s="425"/>
      <c r="J266" s="511"/>
      <c r="K266" s="425"/>
      <c r="L266" s="511"/>
      <c r="M266" s="425"/>
      <c r="N266" s="511"/>
      <c r="O266" s="425"/>
      <c r="P266" s="511"/>
      <c r="Q266" s="425"/>
      <c r="R266" s="511"/>
      <c r="S266" s="425"/>
      <c r="T266" s="511"/>
      <c r="U266" s="425"/>
    </row>
    <row r="267" ht="15.75" customHeight="1">
      <c r="A267" s="425"/>
      <c r="B267" s="425"/>
      <c r="C267" s="425"/>
      <c r="D267" s="511"/>
      <c r="E267" s="425"/>
      <c r="F267" s="511"/>
      <c r="G267" s="425"/>
      <c r="H267" s="511"/>
      <c r="I267" s="425"/>
      <c r="J267" s="511"/>
      <c r="K267" s="425"/>
      <c r="L267" s="511"/>
      <c r="M267" s="425"/>
      <c r="N267" s="511"/>
      <c r="O267" s="425"/>
      <c r="P267" s="511"/>
      <c r="Q267" s="425"/>
      <c r="R267" s="511"/>
      <c r="S267" s="425"/>
      <c r="T267" s="511"/>
      <c r="U267" s="425"/>
    </row>
    <row r="268" ht="15.75" customHeight="1">
      <c r="A268" s="425"/>
      <c r="B268" s="425"/>
      <c r="C268" s="425"/>
      <c r="D268" s="511"/>
      <c r="E268" s="425"/>
      <c r="F268" s="511"/>
      <c r="G268" s="425"/>
      <c r="H268" s="511"/>
      <c r="I268" s="425"/>
      <c r="J268" s="511"/>
      <c r="K268" s="425"/>
      <c r="L268" s="511"/>
      <c r="M268" s="425"/>
      <c r="N268" s="511"/>
      <c r="O268" s="425"/>
      <c r="P268" s="511"/>
      <c r="Q268" s="425"/>
      <c r="R268" s="511"/>
      <c r="S268" s="425"/>
      <c r="T268" s="511"/>
      <c r="U268" s="425"/>
    </row>
    <row r="269" ht="15.75" customHeight="1">
      <c r="A269" s="425"/>
      <c r="B269" s="425"/>
      <c r="C269" s="425"/>
      <c r="D269" s="511"/>
      <c r="E269" s="425"/>
      <c r="F269" s="511"/>
      <c r="G269" s="425"/>
      <c r="H269" s="511"/>
      <c r="I269" s="425"/>
      <c r="J269" s="511"/>
      <c r="K269" s="425"/>
      <c r="L269" s="511"/>
      <c r="M269" s="425"/>
      <c r="N269" s="511"/>
      <c r="O269" s="425"/>
      <c r="P269" s="511"/>
      <c r="Q269" s="425"/>
      <c r="R269" s="511"/>
      <c r="S269" s="425"/>
      <c r="T269" s="511"/>
      <c r="U269" s="425"/>
    </row>
    <row r="270" ht="15.75" customHeight="1">
      <c r="A270" s="425"/>
      <c r="B270" s="425"/>
      <c r="C270" s="425"/>
      <c r="D270" s="511"/>
      <c r="E270" s="425"/>
      <c r="F270" s="511"/>
      <c r="G270" s="425"/>
      <c r="H270" s="511"/>
      <c r="I270" s="425"/>
      <c r="J270" s="511"/>
      <c r="K270" s="425"/>
      <c r="L270" s="511"/>
      <c r="M270" s="425"/>
      <c r="N270" s="511"/>
      <c r="O270" s="425"/>
      <c r="P270" s="511"/>
      <c r="Q270" s="425"/>
      <c r="R270" s="511"/>
      <c r="S270" s="425"/>
      <c r="T270" s="511"/>
      <c r="U270" s="425"/>
    </row>
    <row r="271" ht="15.75" customHeight="1">
      <c r="A271" s="425"/>
      <c r="B271" s="425"/>
      <c r="C271" s="425"/>
      <c r="D271" s="511"/>
      <c r="E271" s="425"/>
      <c r="F271" s="511"/>
      <c r="G271" s="425"/>
      <c r="H271" s="511"/>
      <c r="I271" s="425"/>
      <c r="J271" s="511"/>
      <c r="K271" s="425"/>
      <c r="L271" s="511"/>
      <c r="M271" s="425"/>
      <c r="N271" s="511"/>
      <c r="O271" s="425"/>
      <c r="P271" s="511"/>
      <c r="Q271" s="425"/>
      <c r="R271" s="511"/>
      <c r="S271" s="425"/>
      <c r="T271" s="511"/>
      <c r="U271" s="425"/>
    </row>
    <row r="272" ht="15.75" customHeight="1">
      <c r="A272" s="425"/>
      <c r="B272" s="425"/>
      <c r="C272" s="425"/>
      <c r="D272" s="511"/>
      <c r="E272" s="425"/>
      <c r="F272" s="511"/>
      <c r="G272" s="425"/>
      <c r="H272" s="511"/>
      <c r="I272" s="425"/>
      <c r="J272" s="511"/>
      <c r="K272" s="425"/>
      <c r="L272" s="511"/>
      <c r="M272" s="425"/>
      <c r="N272" s="511"/>
      <c r="O272" s="425"/>
      <c r="P272" s="511"/>
      <c r="Q272" s="425"/>
      <c r="R272" s="511"/>
      <c r="S272" s="425"/>
      <c r="T272" s="511"/>
      <c r="U272" s="425"/>
    </row>
    <row r="273" ht="15.75" customHeight="1">
      <c r="A273" s="425"/>
      <c r="B273" s="425"/>
      <c r="C273" s="425"/>
      <c r="D273" s="511"/>
      <c r="E273" s="425"/>
      <c r="F273" s="511"/>
      <c r="G273" s="425"/>
      <c r="H273" s="511"/>
      <c r="I273" s="425"/>
      <c r="J273" s="511"/>
      <c r="K273" s="425"/>
      <c r="L273" s="511"/>
      <c r="M273" s="425"/>
      <c r="N273" s="511"/>
      <c r="O273" s="425"/>
      <c r="P273" s="511"/>
      <c r="Q273" s="425"/>
      <c r="R273" s="511"/>
      <c r="S273" s="425"/>
      <c r="T273" s="511"/>
      <c r="U273" s="425"/>
    </row>
    <row r="274" ht="15.75" customHeight="1">
      <c r="A274" s="425"/>
      <c r="B274" s="425"/>
      <c r="C274" s="425"/>
      <c r="D274" s="511"/>
      <c r="E274" s="425"/>
      <c r="F274" s="511"/>
      <c r="G274" s="425"/>
      <c r="H274" s="511"/>
      <c r="I274" s="425"/>
      <c r="J274" s="511"/>
      <c r="K274" s="425"/>
      <c r="L274" s="511"/>
      <c r="M274" s="425"/>
      <c r="N274" s="511"/>
      <c r="O274" s="425"/>
      <c r="P274" s="511"/>
      <c r="Q274" s="425"/>
      <c r="R274" s="511"/>
      <c r="S274" s="425"/>
      <c r="T274" s="511"/>
      <c r="U274" s="425"/>
    </row>
    <row r="275" ht="15.75" customHeight="1">
      <c r="A275" s="425"/>
      <c r="B275" s="425"/>
      <c r="C275" s="425"/>
      <c r="D275" s="511"/>
      <c r="E275" s="425"/>
      <c r="F275" s="511"/>
      <c r="G275" s="425"/>
      <c r="H275" s="511"/>
      <c r="I275" s="425"/>
      <c r="J275" s="511"/>
      <c r="K275" s="425"/>
      <c r="L275" s="511"/>
      <c r="M275" s="425"/>
      <c r="N275" s="511"/>
      <c r="O275" s="425"/>
      <c r="P275" s="511"/>
      <c r="Q275" s="425"/>
      <c r="R275" s="511"/>
      <c r="S275" s="425"/>
      <c r="T275" s="511"/>
      <c r="U275" s="425"/>
    </row>
    <row r="276" ht="15.75" customHeight="1">
      <c r="A276" s="425"/>
      <c r="B276" s="425"/>
      <c r="C276" s="425"/>
      <c r="D276" s="511"/>
      <c r="E276" s="425"/>
      <c r="F276" s="511"/>
      <c r="G276" s="425"/>
      <c r="H276" s="511"/>
      <c r="I276" s="425"/>
      <c r="J276" s="511"/>
      <c r="K276" s="425"/>
      <c r="L276" s="511"/>
      <c r="M276" s="425"/>
      <c r="N276" s="511"/>
      <c r="O276" s="425"/>
      <c r="P276" s="511"/>
      <c r="Q276" s="425"/>
      <c r="R276" s="511"/>
      <c r="S276" s="425"/>
      <c r="T276" s="511"/>
      <c r="U276" s="425"/>
    </row>
    <row r="277" ht="15.75" customHeight="1">
      <c r="A277" s="425"/>
      <c r="B277" s="425"/>
      <c r="C277" s="425"/>
      <c r="D277" s="511"/>
      <c r="E277" s="425"/>
      <c r="F277" s="511"/>
      <c r="G277" s="425"/>
      <c r="H277" s="511"/>
      <c r="I277" s="425"/>
      <c r="J277" s="511"/>
      <c r="K277" s="425"/>
      <c r="L277" s="511"/>
      <c r="M277" s="425"/>
      <c r="N277" s="511"/>
      <c r="O277" s="425"/>
      <c r="P277" s="511"/>
      <c r="Q277" s="425"/>
      <c r="R277" s="511"/>
      <c r="S277" s="425"/>
      <c r="T277" s="511"/>
      <c r="U277" s="425"/>
    </row>
    <row r="278" ht="15.75" customHeight="1">
      <c r="A278" s="425"/>
      <c r="B278" s="425"/>
      <c r="C278" s="425"/>
      <c r="D278" s="511"/>
      <c r="E278" s="425"/>
      <c r="F278" s="511"/>
      <c r="G278" s="425"/>
      <c r="H278" s="511"/>
      <c r="I278" s="425"/>
      <c r="J278" s="511"/>
      <c r="K278" s="425"/>
      <c r="L278" s="511"/>
      <c r="M278" s="425"/>
      <c r="N278" s="511"/>
      <c r="O278" s="425"/>
      <c r="P278" s="511"/>
      <c r="Q278" s="425"/>
      <c r="R278" s="511"/>
      <c r="S278" s="425"/>
      <c r="T278" s="511"/>
      <c r="U278" s="425"/>
    </row>
    <row r="279" ht="15.75" customHeight="1">
      <c r="A279" s="425"/>
      <c r="B279" s="425"/>
      <c r="C279" s="425"/>
      <c r="D279" s="511"/>
      <c r="E279" s="425"/>
      <c r="F279" s="511"/>
      <c r="G279" s="425"/>
      <c r="H279" s="511"/>
      <c r="I279" s="425"/>
      <c r="J279" s="511"/>
      <c r="K279" s="425"/>
      <c r="L279" s="511"/>
      <c r="M279" s="425"/>
      <c r="N279" s="511"/>
      <c r="O279" s="425"/>
      <c r="P279" s="511"/>
      <c r="Q279" s="425"/>
      <c r="R279" s="511"/>
      <c r="S279" s="425"/>
      <c r="T279" s="511"/>
      <c r="U279" s="425"/>
    </row>
    <row r="280" ht="15.75" customHeight="1">
      <c r="A280" s="425"/>
      <c r="B280" s="425"/>
      <c r="C280" s="425"/>
      <c r="D280" s="511"/>
      <c r="E280" s="425"/>
      <c r="F280" s="511"/>
      <c r="G280" s="425"/>
      <c r="H280" s="511"/>
      <c r="I280" s="425"/>
      <c r="J280" s="511"/>
      <c r="K280" s="425"/>
      <c r="L280" s="511"/>
      <c r="M280" s="425"/>
      <c r="N280" s="511"/>
      <c r="O280" s="425"/>
      <c r="P280" s="511"/>
      <c r="Q280" s="425"/>
      <c r="R280" s="511"/>
      <c r="S280" s="425"/>
      <c r="T280" s="511"/>
      <c r="U280" s="425"/>
    </row>
    <row r="281" ht="15.75" customHeight="1">
      <c r="A281" s="425"/>
      <c r="B281" s="425"/>
      <c r="C281" s="425"/>
      <c r="D281" s="511"/>
      <c r="E281" s="425"/>
      <c r="F281" s="511"/>
      <c r="G281" s="425"/>
      <c r="H281" s="511"/>
      <c r="I281" s="425"/>
      <c r="J281" s="511"/>
      <c r="K281" s="425"/>
      <c r="L281" s="511"/>
      <c r="M281" s="425"/>
      <c r="N281" s="511"/>
      <c r="O281" s="425"/>
      <c r="P281" s="511"/>
      <c r="Q281" s="425"/>
      <c r="R281" s="511"/>
      <c r="S281" s="425"/>
      <c r="T281" s="511"/>
      <c r="U281" s="425"/>
    </row>
    <row r="282" ht="15.75" customHeight="1">
      <c r="A282" s="425"/>
      <c r="B282" s="425"/>
      <c r="C282" s="425"/>
      <c r="D282" s="511"/>
      <c r="E282" s="425"/>
      <c r="F282" s="511"/>
      <c r="G282" s="425"/>
      <c r="H282" s="511"/>
      <c r="I282" s="425"/>
      <c r="J282" s="511"/>
      <c r="K282" s="425"/>
      <c r="L282" s="511"/>
      <c r="M282" s="425"/>
      <c r="N282" s="511"/>
      <c r="O282" s="425"/>
      <c r="P282" s="511"/>
      <c r="Q282" s="425"/>
      <c r="R282" s="511"/>
      <c r="S282" s="425"/>
      <c r="T282" s="511"/>
      <c r="U282" s="425"/>
    </row>
    <row r="283" ht="15.75" customHeight="1">
      <c r="A283" s="425"/>
      <c r="B283" s="425"/>
      <c r="C283" s="425"/>
      <c r="D283" s="511"/>
      <c r="E283" s="425"/>
      <c r="F283" s="511"/>
      <c r="G283" s="425"/>
      <c r="H283" s="511"/>
      <c r="I283" s="425"/>
      <c r="J283" s="511"/>
      <c r="K283" s="425"/>
      <c r="L283" s="511"/>
      <c r="M283" s="425"/>
      <c r="N283" s="511"/>
      <c r="O283" s="425"/>
      <c r="P283" s="511"/>
      <c r="Q283" s="425"/>
      <c r="R283" s="511"/>
      <c r="S283" s="425"/>
      <c r="T283" s="511"/>
      <c r="U283" s="425"/>
    </row>
    <row r="284" ht="15.75" customHeight="1">
      <c r="A284" s="425"/>
      <c r="B284" s="425"/>
      <c r="C284" s="425"/>
      <c r="D284" s="511"/>
      <c r="E284" s="425"/>
      <c r="F284" s="511"/>
      <c r="G284" s="425"/>
      <c r="H284" s="511"/>
      <c r="I284" s="425"/>
      <c r="J284" s="511"/>
      <c r="K284" s="425"/>
      <c r="L284" s="511"/>
      <c r="M284" s="425"/>
      <c r="N284" s="511"/>
      <c r="O284" s="425"/>
      <c r="P284" s="511"/>
      <c r="Q284" s="425"/>
      <c r="R284" s="511"/>
      <c r="S284" s="425"/>
      <c r="T284" s="511"/>
      <c r="U284" s="425"/>
    </row>
    <row r="285" ht="15.75" customHeight="1">
      <c r="A285" s="425"/>
      <c r="B285" s="425"/>
      <c r="C285" s="425"/>
      <c r="D285" s="511"/>
      <c r="E285" s="425"/>
      <c r="F285" s="511"/>
      <c r="G285" s="425"/>
      <c r="H285" s="511"/>
      <c r="I285" s="425"/>
      <c r="J285" s="511"/>
      <c r="K285" s="425"/>
      <c r="L285" s="511"/>
      <c r="M285" s="425"/>
      <c r="N285" s="511"/>
      <c r="O285" s="425"/>
      <c r="P285" s="511"/>
      <c r="Q285" s="425"/>
      <c r="R285" s="511"/>
      <c r="S285" s="425"/>
      <c r="T285" s="511"/>
      <c r="U285" s="425"/>
    </row>
    <row r="286" ht="15.75" customHeight="1">
      <c r="A286" s="425"/>
      <c r="B286" s="425"/>
      <c r="C286" s="425"/>
      <c r="D286" s="511"/>
      <c r="E286" s="425"/>
      <c r="F286" s="511"/>
      <c r="G286" s="425"/>
      <c r="H286" s="511"/>
      <c r="I286" s="425"/>
      <c r="J286" s="511"/>
      <c r="K286" s="425"/>
      <c r="L286" s="511"/>
      <c r="M286" s="425"/>
      <c r="N286" s="511"/>
      <c r="O286" s="425"/>
      <c r="P286" s="511"/>
      <c r="Q286" s="425"/>
      <c r="R286" s="511"/>
      <c r="S286" s="425"/>
      <c r="T286" s="511"/>
      <c r="U286" s="425"/>
    </row>
    <row r="287" ht="15.75" customHeight="1">
      <c r="A287" s="425"/>
      <c r="B287" s="425"/>
      <c r="C287" s="425"/>
      <c r="D287" s="511"/>
      <c r="E287" s="425"/>
      <c r="F287" s="511"/>
      <c r="G287" s="425"/>
      <c r="H287" s="511"/>
      <c r="I287" s="425"/>
      <c r="J287" s="511"/>
      <c r="K287" s="425"/>
      <c r="L287" s="511"/>
      <c r="M287" s="425"/>
      <c r="N287" s="511"/>
      <c r="O287" s="425"/>
      <c r="P287" s="511"/>
      <c r="Q287" s="425"/>
      <c r="R287" s="511"/>
      <c r="S287" s="425"/>
      <c r="T287" s="511"/>
      <c r="U287" s="425"/>
    </row>
    <row r="288" ht="15.75" customHeight="1">
      <c r="A288" s="425"/>
      <c r="B288" s="425"/>
      <c r="C288" s="425"/>
      <c r="D288" s="511"/>
      <c r="E288" s="425"/>
      <c r="F288" s="511"/>
      <c r="G288" s="425"/>
      <c r="H288" s="511"/>
      <c r="I288" s="425"/>
      <c r="J288" s="511"/>
      <c r="K288" s="425"/>
      <c r="L288" s="511"/>
      <c r="M288" s="425"/>
      <c r="N288" s="511"/>
      <c r="O288" s="425"/>
      <c r="P288" s="511"/>
      <c r="Q288" s="425"/>
      <c r="R288" s="511"/>
      <c r="S288" s="425"/>
      <c r="T288" s="511"/>
      <c r="U288" s="425"/>
    </row>
    <row r="289" ht="15.75" customHeight="1">
      <c r="A289" s="425"/>
      <c r="B289" s="425"/>
      <c r="C289" s="425"/>
      <c r="D289" s="511"/>
      <c r="E289" s="425"/>
      <c r="F289" s="511"/>
      <c r="G289" s="425"/>
      <c r="H289" s="511"/>
      <c r="I289" s="425"/>
      <c r="J289" s="511"/>
      <c r="K289" s="425"/>
      <c r="L289" s="511"/>
      <c r="M289" s="425"/>
      <c r="N289" s="511"/>
      <c r="O289" s="425"/>
      <c r="P289" s="511"/>
      <c r="Q289" s="425"/>
      <c r="R289" s="511"/>
      <c r="S289" s="425"/>
      <c r="T289" s="511"/>
      <c r="U289" s="425"/>
    </row>
    <row r="290" ht="15.75" customHeight="1">
      <c r="A290" s="425"/>
      <c r="B290" s="425"/>
      <c r="C290" s="425"/>
      <c r="D290" s="511"/>
      <c r="E290" s="425"/>
      <c r="F290" s="511"/>
      <c r="G290" s="425"/>
      <c r="H290" s="511"/>
      <c r="I290" s="425"/>
      <c r="J290" s="511"/>
      <c r="K290" s="425"/>
      <c r="L290" s="511"/>
      <c r="M290" s="425"/>
      <c r="N290" s="511"/>
      <c r="O290" s="425"/>
      <c r="P290" s="511"/>
      <c r="Q290" s="425"/>
      <c r="R290" s="511"/>
      <c r="S290" s="425"/>
      <c r="T290" s="511"/>
      <c r="U290" s="425"/>
    </row>
    <row r="291" ht="15.75" customHeight="1">
      <c r="A291" s="425"/>
      <c r="B291" s="425"/>
      <c r="C291" s="425"/>
      <c r="D291" s="511"/>
      <c r="E291" s="425"/>
      <c r="F291" s="511"/>
      <c r="G291" s="425"/>
      <c r="H291" s="511"/>
      <c r="I291" s="425"/>
      <c r="J291" s="511"/>
      <c r="K291" s="425"/>
      <c r="L291" s="511"/>
      <c r="M291" s="425"/>
      <c r="N291" s="511"/>
      <c r="O291" s="425"/>
      <c r="P291" s="511"/>
      <c r="Q291" s="425"/>
      <c r="R291" s="511"/>
      <c r="S291" s="425"/>
      <c r="T291" s="511"/>
      <c r="U291" s="425"/>
    </row>
    <row r="292" ht="15.75" customHeight="1">
      <c r="A292" s="425"/>
      <c r="B292" s="425"/>
      <c r="C292" s="425"/>
      <c r="D292" s="511"/>
      <c r="E292" s="425"/>
      <c r="F292" s="511"/>
      <c r="G292" s="425"/>
      <c r="H292" s="511"/>
      <c r="I292" s="425"/>
      <c r="J292" s="511"/>
      <c r="K292" s="425"/>
      <c r="L292" s="511"/>
      <c r="M292" s="425"/>
      <c r="N292" s="511"/>
      <c r="O292" s="425"/>
      <c r="P292" s="511"/>
      <c r="Q292" s="425"/>
      <c r="R292" s="511"/>
      <c r="S292" s="425"/>
      <c r="T292" s="511"/>
      <c r="U292" s="425"/>
    </row>
    <row r="293" ht="15.75" customHeight="1">
      <c r="A293" s="425"/>
      <c r="B293" s="425"/>
      <c r="C293" s="425"/>
      <c r="D293" s="511"/>
      <c r="E293" s="425"/>
      <c r="F293" s="511"/>
      <c r="G293" s="425"/>
      <c r="H293" s="511"/>
      <c r="I293" s="425"/>
      <c r="J293" s="511"/>
      <c r="K293" s="425"/>
      <c r="L293" s="511"/>
      <c r="M293" s="425"/>
      <c r="N293" s="511"/>
      <c r="O293" s="425"/>
      <c r="P293" s="511"/>
      <c r="Q293" s="425"/>
      <c r="R293" s="511"/>
      <c r="S293" s="425"/>
      <c r="T293" s="511"/>
      <c r="U293" s="425"/>
    </row>
    <row r="294" ht="15.75" customHeight="1">
      <c r="A294" s="425"/>
      <c r="B294" s="425"/>
      <c r="C294" s="425"/>
      <c r="D294" s="511"/>
      <c r="E294" s="425"/>
      <c r="F294" s="511"/>
      <c r="G294" s="425"/>
      <c r="H294" s="511"/>
      <c r="I294" s="425"/>
      <c r="J294" s="511"/>
      <c r="K294" s="425"/>
      <c r="L294" s="511"/>
      <c r="M294" s="425"/>
      <c r="N294" s="511"/>
      <c r="O294" s="425"/>
      <c r="P294" s="511"/>
      <c r="Q294" s="425"/>
      <c r="R294" s="511"/>
      <c r="S294" s="425"/>
      <c r="T294" s="511"/>
      <c r="U294" s="425"/>
    </row>
    <row r="295" ht="15.75" customHeight="1">
      <c r="A295" s="425"/>
      <c r="B295" s="425"/>
      <c r="C295" s="425"/>
      <c r="D295" s="511"/>
      <c r="E295" s="425"/>
      <c r="F295" s="511"/>
      <c r="G295" s="425"/>
      <c r="H295" s="511"/>
      <c r="I295" s="425"/>
      <c r="J295" s="511"/>
      <c r="K295" s="425"/>
      <c r="L295" s="511"/>
      <c r="M295" s="425"/>
      <c r="N295" s="511"/>
      <c r="O295" s="425"/>
      <c r="P295" s="511"/>
      <c r="Q295" s="425"/>
      <c r="R295" s="511"/>
      <c r="S295" s="425"/>
      <c r="T295" s="511"/>
      <c r="U295" s="425"/>
    </row>
    <row r="296" ht="15.75" customHeight="1">
      <c r="A296" s="425"/>
      <c r="B296" s="425"/>
      <c r="C296" s="425"/>
      <c r="D296" s="511"/>
      <c r="E296" s="425"/>
      <c r="F296" s="511"/>
      <c r="G296" s="425"/>
      <c r="H296" s="511"/>
      <c r="I296" s="425"/>
      <c r="J296" s="511"/>
      <c r="K296" s="425"/>
      <c r="L296" s="511"/>
      <c r="M296" s="425"/>
      <c r="N296" s="511"/>
      <c r="O296" s="425"/>
      <c r="P296" s="511"/>
      <c r="Q296" s="425"/>
      <c r="R296" s="511"/>
      <c r="S296" s="425"/>
      <c r="T296" s="511"/>
      <c r="U296" s="425"/>
    </row>
    <row r="297" ht="15.75" customHeight="1">
      <c r="A297" s="425"/>
      <c r="B297" s="425"/>
      <c r="C297" s="425"/>
      <c r="D297" s="511"/>
      <c r="E297" s="425"/>
      <c r="F297" s="511"/>
      <c r="G297" s="425"/>
      <c r="H297" s="511"/>
      <c r="I297" s="425"/>
      <c r="J297" s="511"/>
      <c r="K297" s="425"/>
      <c r="L297" s="511"/>
      <c r="M297" s="425"/>
      <c r="N297" s="511"/>
      <c r="O297" s="425"/>
      <c r="P297" s="511"/>
      <c r="Q297" s="425"/>
      <c r="R297" s="511"/>
      <c r="S297" s="425"/>
      <c r="T297" s="511"/>
      <c r="U297" s="425"/>
    </row>
    <row r="298" ht="15.75" customHeight="1">
      <c r="A298" s="425"/>
      <c r="B298" s="425"/>
      <c r="C298" s="425"/>
      <c r="D298" s="511"/>
      <c r="E298" s="425"/>
      <c r="F298" s="511"/>
      <c r="G298" s="425"/>
      <c r="H298" s="511"/>
      <c r="I298" s="425"/>
      <c r="J298" s="511"/>
      <c r="K298" s="425"/>
      <c r="L298" s="511"/>
      <c r="M298" s="425"/>
      <c r="N298" s="511"/>
      <c r="O298" s="425"/>
      <c r="P298" s="511"/>
      <c r="Q298" s="425"/>
      <c r="R298" s="511"/>
      <c r="S298" s="425"/>
      <c r="T298" s="511"/>
      <c r="U298" s="425"/>
    </row>
    <row r="299" ht="15.75" customHeight="1">
      <c r="A299" s="425"/>
      <c r="B299" s="425"/>
      <c r="C299" s="425"/>
      <c r="D299" s="511"/>
      <c r="E299" s="425"/>
      <c r="F299" s="511"/>
      <c r="G299" s="425"/>
      <c r="H299" s="511"/>
      <c r="I299" s="425"/>
      <c r="J299" s="511"/>
      <c r="K299" s="425"/>
      <c r="L299" s="511"/>
      <c r="M299" s="425"/>
      <c r="N299" s="511"/>
      <c r="O299" s="425"/>
      <c r="P299" s="511"/>
      <c r="Q299" s="425"/>
      <c r="R299" s="511"/>
      <c r="S299" s="425"/>
      <c r="T299" s="511"/>
      <c r="U299" s="425"/>
    </row>
    <row r="300" ht="15.75" customHeight="1">
      <c r="A300" s="425"/>
      <c r="B300" s="425"/>
      <c r="C300" s="425"/>
      <c r="D300" s="511"/>
      <c r="E300" s="425"/>
      <c r="F300" s="511"/>
      <c r="G300" s="425"/>
      <c r="H300" s="511"/>
      <c r="I300" s="425"/>
      <c r="J300" s="511"/>
      <c r="K300" s="425"/>
      <c r="L300" s="511"/>
      <c r="M300" s="425"/>
      <c r="N300" s="511"/>
      <c r="O300" s="425"/>
      <c r="P300" s="511"/>
      <c r="Q300" s="425"/>
      <c r="R300" s="511"/>
      <c r="S300" s="425"/>
      <c r="T300" s="511"/>
      <c r="U300" s="425"/>
    </row>
    <row r="301" ht="15.75" customHeight="1">
      <c r="A301" s="425"/>
      <c r="B301" s="425"/>
      <c r="C301" s="425"/>
      <c r="D301" s="511"/>
      <c r="E301" s="425"/>
      <c r="F301" s="511"/>
      <c r="G301" s="425"/>
      <c r="H301" s="511"/>
      <c r="I301" s="425"/>
      <c r="J301" s="511"/>
      <c r="K301" s="425"/>
      <c r="L301" s="511"/>
      <c r="M301" s="425"/>
      <c r="N301" s="511"/>
      <c r="O301" s="425"/>
      <c r="P301" s="511"/>
      <c r="Q301" s="425"/>
      <c r="R301" s="511"/>
      <c r="S301" s="425"/>
      <c r="T301" s="511"/>
      <c r="U301" s="425"/>
    </row>
    <row r="302" ht="15.75" customHeight="1">
      <c r="A302" s="425"/>
      <c r="B302" s="425"/>
      <c r="C302" s="425"/>
      <c r="D302" s="511"/>
      <c r="E302" s="425"/>
      <c r="F302" s="511"/>
      <c r="G302" s="425"/>
      <c r="H302" s="511"/>
      <c r="I302" s="425"/>
      <c r="J302" s="511"/>
      <c r="K302" s="425"/>
      <c r="L302" s="511"/>
      <c r="M302" s="425"/>
      <c r="N302" s="511"/>
      <c r="O302" s="425"/>
      <c r="P302" s="511"/>
      <c r="Q302" s="425"/>
      <c r="R302" s="511"/>
      <c r="S302" s="425"/>
      <c r="T302" s="511"/>
      <c r="U302" s="425"/>
    </row>
    <row r="303" ht="15.75" customHeight="1">
      <c r="A303" s="425"/>
      <c r="B303" s="425"/>
      <c r="C303" s="425"/>
      <c r="D303" s="511"/>
      <c r="E303" s="425"/>
      <c r="F303" s="511"/>
      <c r="G303" s="425"/>
      <c r="H303" s="511"/>
      <c r="I303" s="425"/>
      <c r="J303" s="511"/>
      <c r="K303" s="425"/>
      <c r="L303" s="511"/>
      <c r="M303" s="425"/>
      <c r="N303" s="511"/>
      <c r="O303" s="425"/>
      <c r="P303" s="511"/>
      <c r="Q303" s="425"/>
      <c r="R303" s="511"/>
      <c r="S303" s="425"/>
      <c r="T303" s="511"/>
      <c r="U303" s="425"/>
    </row>
    <row r="304" ht="15.75" customHeight="1">
      <c r="A304" s="425"/>
      <c r="B304" s="425"/>
      <c r="C304" s="425"/>
      <c r="D304" s="511"/>
      <c r="E304" s="425"/>
      <c r="F304" s="511"/>
      <c r="G304" s="425"/>
      <c r="H304" s="511"/>
      <c r="I304" s="425"/>
      <c r="J304" s="511"/>
      <c r="K304" s="425"/>
      <c r="L304" s="511"/>
      <c r="M304" s="425"/>
      <c r="N304" s="511"/>
      <c r="O304" s="425"/>
      <c r="P304" s="511"/>
      <c r="Q304" s="425"/>
      <c r="R304" s="511"/>
      <c r="S304" s="425"/>
      <c r="T304" s="511"/>
      <c r="U304" s="425"/>
    </row>
    <row r="305" ht="15.75" customHeight="1">
      <c r="A305" s="425"/>
      <c r="B305" s="425"/>
      <c r="C305" s="425"/>
      <c r="D305" s="511"/>
      <c r="E305" s="425"/>
      <c r="F305" s="511"/>
      <c r="G305" s="425"/>
      <c r="H305" s="511"/>
      <c r="I305" s="425"/>
      <c r="J305" s="511"/>
      <c r="K305" s="425"/>
      <c r="L305" s="511"/>
      <c r="M305" s="425"/>
      <c r="N305" s="511"/>
      <c r="O305" s="425"/>
      <c r="P305" s="511"/>
      <c r="Q305" s="425"/>
      <c r="R305" s="511"/>
      <c r="S305" s="425"/>
      <c r="T305" s="511"/>
      <c r="U305" s="425"/>
    </row>
    <row r="306" ht="15.75" customHeight="1">
      <c r="A306" s="425"/>
      <c r="B306" s="425"/>
      <c r="C306" s="425"/>
      <c r="D306" s="511"/>
      <c r="E306" s="425"/>
      <c r="F306" s="511"/>
      <c r="G306" s="425"/>
      <c r="H306" s="511"/>
      <c r="I306" s="425"/>
      <c r="J306" s="511"/>
      <c r="K306" s="425"/>
      <c r="L306" s="511"/>
      <c r="M306" s="425"/>
      <c r="N306" s="511"/>
      <c r="O306" s="425"/>
      <c r="P306" s="511"/>
      <c r="Q306" s="425"/>
      <c r="R306" s="511"/>
      <c r="S306" s="425"/>
      <c r="T306" s="511"/>
      <c r="U306" s="425"/>
    </row>
    <row r="307" ht="15.75" customHeight="1">
      <c r="A307" s="425"/>
      <c r="B307" s="425"/>
      <c r="C307" s="425"/>
      <c r="D307" s="511"/>
      <c r="E307" s="425"/>
      <c r="F307" s="511"/>
      <c r="G307" s="425"/>
      <c r="H307" s="511"/>
      <c r="I307" s="425"/>
      <c r="J307" s="511"/>
      <c r="K307" s="425"/>
      <c r="L307" s="511"/>
      <c r="M307" s="425"/>
      <c r="N307" s="511"/>
      <c r="O307" s="425"/>
      <c r="P307" s="511"/>
      <c r="Q307" s="425"/>
      <c r="R307" s="511"/>
      <c r="S307" s="425"/>
      <c r="T307" s="511"/>
      <c r="U307" s="425"/>
    </row>
    <row r="308" ht="15.75" customHeight="1">
      <c r="A308" s="425"/>
      <c r="B308" s="425"/>
      <c r="C308" s="425"/>
      <c r="D308" s="511"/>
      <c r="E308" s="425"/>
      <c r="F308" s="511"/>
      <c r="G308" s="425"/>
      <c r="H308" s="511"/>
      <c r="I308" s="425"/>
      <c r="J308" s="511"/>
      <c r="K308" s="425"/>
      <c r="L308" s="511"/>
      <c r="M308" s="425"/>
      <c r="N308" s="511"/>
      <c r="O308" s="425"/>
      <c r="P308" s="511"/>
      <c r="Q308" s="425"/>
      <c r="R308" s="511"/>
      <c r="S308" s="425"/>
      <c r="T308" s="511"/>
      <c r="U308" s="425"/>
    </row>
    <row r="309" ht="15.75" customHeight="1">
      <c r="A309" s="425"/>
      <c r="B309" s="425"/>
      <c r="C309" s="425"/>
      <c r="D309" s="511"/>
      <c r="E309" s="425"/>
      <c r="F309" s="511"/>
      <c r="G309" s="425"/>
      <c r="H309" s="511"/>
      <c r="I309" s="425"/>
      <c r="J309" s="511"/>
      <c r="K309" s="425"/>
      <c r="L309" s="511"/>
      <c r="M309" s="425"/>
      <c r="N309" s="511"/>
      <c r="O309" s="425"/>
      <c r="P309" s="511"/>
      <c r="Q309" s="425"/>
      <c r="R309" s="511"/>
      <c r="S309" s="425"/>
      <c r="T309" s="511"/>
      <c r="U309" s="425"/>
    </row>
    <row r="310" ht="15.75" customHeight="1">
      <c r="A310" s="425"/>
      <c r="B310" s="425"/>
      <c r="C310" s="425"/>
      <c r="D310" s="511"/>
      <c r="E310" s="425"/>
      <c r="F310" s="511"/>
      <c r="G310" s="425"/>
      <c r="H310" s="511"/>
      <c r="I310" s="425"/>
      <c r="J310" s="511"/>
      <c r="K310" s="425"/>
      <c r="L310" s="511"/>
      <c r="M310" s="425"/>
      <c r="N310" s="511"/>
      <c r="O310" s="425"/>
      <c r="P310" s="511"/>
      <c r="Q310" s="425"/>
      <c r="R310" s="511"/>
      <c r="S310" s="425"/>
      <c r="T310" s="511"/>
      <c r="U310" s="425"/>
    </row>
    <row r="311" ht="15.75" customHeight="1">
      <c r="A311" s="425"/>
      <c r="B311" s="425"/>
      <c r="C311" s="425"/>
      <c r="D311" s="511"/>
      <c r="E311" s="425"/>
      <c r="F311" s="511"/>
      <c r="G311" s="425"/>
      <c r="H311" s="511"/>
      <c r="I311" s="425"/>
      <c r="J311" s="511"/>
      <c r="K311" s="425"/>
      <c r="L311" s="511"/>
      <c r="M311" s="425"/>
      <c r="N311" s="511"/>
      <c r="O311" s="425"/>
      <c r="P311" s="511"/>
      <c r="Q311" s="425"/>
      <c r="R311" s="511"/>
      <c r="S311" s="425"/>
      <c r="T311" s="511"/>
      <c r="U311" s="425"/>
    </row>
    <row r="312" ht="15.75" customHeight="1">
      <c r="A312" s="425"/>
      <c r="B312" s="425"/>
      <c r="C312" s="425"/>
      <c r="D312" s="511"/>
      <c r="E312" s="425"/>
      <c r="F312" s="511"/>
      <c r="G312" s="425"/>
      <c r="H312" s="511"/>
      <c r="I312" s="425"/>
      <c r="J312" s="511"/>
      <c r="K312" s="425"/>
      <c r="L312" s="511"/>
      <c r="M312" s="425"/>
      <c r="N312" s="511"/>
      <c r="O312" s="425"/>
      <c r="P312" s="511"/>
      <c r="Q312" s="425"/>
      <c r="R312" s="511"/>
      <c r="S312" s="425"/>
      <c r="T312" s="511"/>
      <c r="U312" s="425"/>
    </row>
    <row r="313" ht="15.75" customHeight="1">
      <c r="A313" s="425"/>
      <c r="B313" s="425"/>
      <c r="C313" s="425"/>
      <c r="D313" s="511"/>
      <c r="E313" s="425"/>
      <c r="F313" s="511"/>
      <c r="G313" s="425"/>
      <c r="H313" s="511"/>
      <c r="I313" s="425"/>
      <c r="J313" s="511"/>
      <c r="K313" s="425"/>
      <c r="L313" s="511"/>
      <c r="M313" s="425"/>
      <c r="N313" s="511"/>
      <c r="O313" s="425"/>
      <c r="P313" s="511"/>
      <c r="Q313" s="425"/>
      <c r="R313" s="511"/>
      <c r="S313" s="425"/>
      <c r="T313" s="511"/>
      <c r="U313" s="425"/>
    </row>
    <row r="314" ht="15.75" customHeight="1">
      <c r="A314" s="425"/>
      <c r="B314" s="425"/>
      <c r="C314" s="425"/>
      <c r="D314" s="511"/>
      <c r="E314" s="425"/>
      <c r="F314" s="511"/>
      <c r="G314" s="425"/>
      <c r="H314" s="511"/>
      <c r="I314" s="425"/>
      <c r="J314" s="511"/>
      <c r="K314" s="425"/>
      <c r="L314" s="511"/>
      <c r="M314" s="425"/>
      <c r="N314" s="511"/>
      <c r="O314" s="425"/>
      <c r="P314" s="511"/>
      <c r="Q314" s="425"/>
      <c r="R314" s="511"/>
      <c r="S314" s="425"/>
      <c r="T314" s="511"/>
      <c r="U314" s="425"/>
    </row>
    <row r="315" ht="15.75" customHeight="1">
      <c r="A315" s="425"/>
      <c r="B315" s="425"/>
      <c r="C315" s="425"/>
      <c r="D315" s="511"/>
      <c r="E315" s="425"/>
      <c r="F315" s="511"/>
      <c r="G315" s="425"/>
      <c r="H315" s="511"/>
      <c r="I315" s="425"/>
      <c r="J315" s="511"/>
      <c r="K315" s="425"/>
      <c r="L315" s="511"/>
      <c r="M315" s="425"/>
      <c r="N315" s="511"/>
      <c r="O315" s="425"/>
      <c r="P315" s="511"/>
      <c r="Q315" s="425"/>
      <c r="R315" s="511"/>
      <c r="S315" s="425"/>
      <c r="T315" s="511"/>
      <c r="U315" s="425"/>
    </row>
    <row r="316" ht="15.75" customHeight="1">
      <c r="A316" s="425"/>
      <c r="B316" s="425"/>
      <c r="C316" s="425"/>
      <c r="D316" s="511"/>
      <c r="E316" s="425"/>
      <c r="F316" s="511"/>
      <c r="G316" s="425"/>
      <c r="H316" s="511"/>
      <c r="I316" s="425"/>
      <c r="J316" s="511"/>
      <c r="K316" s="425"/>
      <c r="L316" s="511"/>
      <c r="M316" s="425"/>
      <c r="N316" s="511"/>
      <c r="O316" s="425"/>
      <c r="P316" s="511"/>
      <c r="Q316" s="425"/>
      <c r="R316" s="511"/>
      <c r="S316" s="425"/>
      <c r="T316" s="511"/>
      <c r="U316" s="425"/>
    </row>
    <row r="317" ht="15.75" customHeight="1">
      <c r="A317" s="425"/>
      <c r="B317" s="425"/>
      <c r="C317" s="425"/>
      <c r="D317" s="511"/>
      <c r="E317" s="425"/>
      <c r="F317" s="511"/>
      <c r="G317" s="425"/>
      <c r="H317" s="511"/>
      <c r="I317" s="425"/>
      <c r="J317" s="511"/>
      <c r="K317" s="425"/>
      <c r="L317" s="511"/>
      <c r="M317" s="425"/>
      <c r="N317" s="511"/>
      <c r="O317" s="425"/>
      <c r="P317" s="511"/>
      <c r="Q317" s="425"/>
      <c r="R317" s="511"/>
      <c r="S317" s="425"/>
      <c r="T317" s="511"/>
      <c r="U317" s="425"/>
    </row>
    <row r="318" ht="15.75" customHeight="1">
      <c r="A318" s="425"/>
      <c r="B318" s="425"/>
      <c r="C318" s="425"/>
      <c r="D318" s="511"/>
      <c r="E318" s="425"/>
      <c r="F318" s="511"/>
      <c r="G318" s="425"/>
      <c r="H318" s="511"/>
      <c r="I318" s="425"/>
      <c r="J318" s="511"/>
      <c r="K318" s="425"/>
      <c r="L318" s="511"/>
      <c r="M318" s="425"/>
      <c r="N318" s="511"/>
      <c r="O318" s="425"/>
      <c r="P318" s="511"/>
      <c r="Q318" s="425"/>
      <c r="R318" s="511"/>
      <c r="S318" s="425"/>
      <c r="T318" s="511"/>
      <c r="U318" s="425"/>
    </row>
    <row r="319" ht="15.75" customHeight="1">
      <c r="A319" s="425"/>
      <c r="B319" s="425"/>
      <c r="C319" s="425"/>
      <c r="D319" s="511"/>
      <c r="E319" s="425"/>
      <c r="F319" s="511"/>
      <c r="G319" s="425"/>
      <c r="H319" s="511"/>
      <c r="I319" s="425"/>
      <c r="J319" s="511"/>
      <c r="K319" s="425"/>
      <c r="L319" s="511"/>
      <c r="M319" s="425"/>
      <c r="N319" s="511"/>
      <c r="O319" s="425"/>
      <c r="P319" s="511"/>
      <c r="Q319" s="425"/>
      <c r="R319" s="511"/>
      <c r="S319" s="425"/>
      <c r="T319" s="511"/>
      <c r="U319" s="425"/>
    </row>
    <row r="320" ht="15.75" customHeight="1">
      <c r="A320" s="425"/>
      <c r="B320" s="425"/>
      <c r="C320" s="425"/>
      <c r="D320" s="511"/>
      <c r="E320" s="425"/>
      <c r="F320" s="511"/>
      <c r="G320" s="425"/>
      <c r="H320" s="511"/>
      <c r="I320" s="425"/>
      <c r="J320" s="511"/>
      <c r="K320" s="425"/>
      <c r="L320" s="511"/>
      <c r="M320" s="425"/>
      <c r="N320" s="511"/>
      <c r="O320" s="425"/>
      <c r="P320" s="511"/>
      <c r="Q320" s="425"/>
      <c r="R320" s="511"/>
      <c r="S320" s="425"/>
      <c r="T320" s="511"/>
      <c r="U320" s="425"/>
    </row>
    <row r="321" ht="15.75" customHeight="1">
      <c r="A321" s="425"/>
      <c r="B321" s="425"/>
      <c r="C321" s="425"/>
      <c r="D321" s="511"/>
      <c r="E321" s="425"/>
      <c r="F321" s="511"/>
      <c r="G321" s="425"/>
      <c r="H321" s="511"/>
      <c r="I321" s="425"/>
      <c r="J321" s="511"/>
      <c r="K321" s="425"/>
      <c r="L321" s="511"/>
      <c r="M321" s="425"/>
      <c r="N321" s="511"/>
      <c r="O321" s="425"/>
      <c r="P321" s="511"/>
      <c r="Q321" s="425"/>
      <c r="R321" s="511"/>
      <c r="S321" s="425"/>
      <c r="T321" s="511"/>
      <c r="U321" s="425"/>
    </row>
    <row r="322" ht="15.75" customHeight="1">
      <c r="A322" s="425"/>
      <c r="B322" s="425"/>
      <c r="C322" s="425"/>
      <c r="D322" s="511"/>
      <c r="E322" s="425"/>
      <c r="F322" s="511"/>
      <c r="G322" s="425"/>
      <c r="H322" s="511"/>
      <c r="I322" s="425"/>
      <c r="J322" s="511"/>
      <c r="K322" s="425"/>
      <c r="L322" s="511"/>
      <c r="M322" s="425"/>
      <c r="N322" s="511"/>
      <c r="O322" s="425"/>
      <c r="P322" s="511"/>
      <c r="Q322" s="425"/>
      <c r="R322" s="511"/>
      <c r="S322" s="425"/>
      <c r="T322" s="511"/>
      <c r="U322" s="425"/>
    </row>
    <row r="323" ht="15.75" customHeight="1">
      <c r="A323" s="425"/>
      <c r="B323" s="425"/>
      <c r="C323" s="425"/>
      <c r="D323" s="511"/>
      <c r="E323" s="425"/>
      <c r="F323" s="511"/>
      <c r="G323" s="425"/>
      <c r="H323" s="511"/>
      <c r="I323" s="425"/>
      <c r="J323" s="511"/>
      <c r="K323" s="425"/>
      <c r="L323" s="511"/>
      <c r="M323" s="425"/>
      <c r="N323" s="511"/>
      <c r="O323" s="425"/>
      <c r="P323" s="511"/>
      <c r="Q323" s="425"/>
      <c r="R323" s="511"/>
      <c r="S323" s="425"/>
      <c r="T323" s="511"/>
      <c r="U323" s="425"/>
    </row>
    <row r="324" ht="15.75" customHeight="1">
      <c r="A324" s="425"/>
      <c r="B324" s="425"/>
      <c r="C324" s="425"/>
      <c r="D324" s="511"/>
      <c r="E324" s="425"/>
      <c r="F324" s="511"/>
      <c r="G324" s="425"/>
      <c r="H324" s="511"/>
      <c r="I324" s="425"/>
      <c r="J324" s="511"/>
      <c r="K324" s="425"/>
      <c r="L324" s="511"/>
      <c r="M324" s="425"/>
      <c r="N324" s="511"/>
      <c r="O324" s="425"/>
      <c r="P324" s="511"/>
      <c r="Q324" s="425"/>
      <c r="R324" s="511"/>
      <c r="S324" s="425"/>
      <c r="T324" s="511"/>
      <c r="U324" s="425"/>
    </row>
    <row r="325" ht="15.75" customHeight="1">
      <c r="A325" s="425"/>
      <c r="B325" s="425"/>
      <c r="C325" s="425"/>
      <c r="D325" s="511"/>
      <c r="E325" s="425"/>
      <c r="F325" s="511"/>
      <c r="G325" s="425"/>
      <c r="H325" s="511"/>
      <c r="I325" s="425"/>
      <c r="J325" s="511"/>
      <c r="K325" s="425"/>
      <c r="L325" s="511"/>
      <c r="M325" s="425"/>
      <c r="N325" s="511"/>
      <c r="O325" s="425"/>
      <c r="P325" s="511"/>
      <c r="Q325" s="425"/>
      <c r="R325" s="511"/>
      <c r="S325" s="425"/>
      <c r="T325" s="511"/>
      <c r="U325" s="425"/>
    </row>
    <row r="326" ht="15.75" customHeight="1">
      <c r="A326" s="425"/>
      <c r="B326" s="425"/>
      <c r="C326" s="425"/>
      <c r="D326" s="511"/>
      <c r="E326" s="425"/>
      <c r="F326" s="511"/>
      <c r="G326" s="425"/>
      <c r="H326" s="511"/>
      <c r="I326" s="425"/>
      <c r="J326" s="511"/>
      <c r="K326" s="425"/>
      <c r="L326" s="511"/>
      <c r="M326" s="425"/>
      <c r="N326" s="511"/>
      <c r="O326" s="425"/>
      <c r="P326" s="511"/>
      <c r="Q326" s="425"/>
      <c r="R326" s="511"/>
      <c r="S326" s="425"/>
      <c r="T326" s="511"/>
      <c r="U326" s="425"/>
    </row>
    <row r="327" ht="15.75" customHeight="1">
      <c r="A327" s="425"/>
      <c r="B327" s="425"/>
      <c r="C327" s="425"/>
      <c r="D327" s="511"/>
      <c r="E327" s="425"/>
      <c r="F327" s="511"/>
      <c r="G327" s="425"/>
      <c r="H327" s="511"/>
      <c r="I327" s="425"/>
      <c r="J327" s="511"/>
      <c r="K327" s="425"/>
      <c r="L327" s="511"/>
      <c r="M327" s="425"/>
      <c r="N327" s="511"/>
      <c r="O327" s="425"/>
      <c r="P327" s="511"/>
      <c r="Q327" s="425"/>
      <c r="R327" s="511"/>
      <c r="S327" s="425"/>
      <c r="T327" s="511"/>
      <c r="U327" s="425"/>
    </row>
    <row r="328" ht="15.75" customHeight="1">
      <c r="A328" s="425"/>
      <c r="B328" s="425"/>
      <c r="C328" s="425"/>
      <c r="D328" s="511"/>
      <c r="E328" s="425"/>
      <c r="F328" s="511"/>
      <c r="G328" s="425"/>
      <c r="H328" s="511"/>
      <c r="I328" s="425"/>
      <c r="J328" s="511"/>
      <c r="K328" s="425"/>
      <c r="L328" s="511"/>
      <c r="M328" s="425"/>
      <c r="N328" s="511"/>
      <c r="O328" s="425"/>
      <c r="P328" s="511"/>
      <c r="Q328" s="425"/>
      <c r="R328" s="511"/>
      <c r="S328" s="425"/>
      <c r="T328" s="511"/>
      <c r="U328" s="425"/>
    </row>
    <row r="329" ht="15.75" customHeight="1">
      <c r="A329" s="425"/>
      <c r="B329" s="425"/>
      <c r="C329" s="425"/>
      <c r="D329" s="511"/>
      <c r="E329" s="425"/>
      <c r="F329" s="511"/>
      <c r="G329" s="425"/>
      <c r="H329" s="511"/>
      <c r="I329" s="425"/>
      <c r="J329" s="511"/>
      <c r="K329" s="425"/>
      <c r="L329" s="511"/>
      <c r="M329" s="425"/>
      <c r="N329" s="511"/>
      <c r="O329" s="425"/>
      <c r="P329" s="511"/>
      <c r="Q329" s="425"/>
      <c r="R329" s="511"/>
      <c r="S329" s="425"/>
      <c r="T329" s="511"/>
      <c r="U329" s="425"/>
    </row>
    <row r="330" ht="15.75" customHeight="1">
      <c r="A330" s="425"/>
      <c r="B330" s="425"/>
      <c r="C330" s="425"/>
      <c r="D330" s="511"/>
      <c r="E330" s="425"/>
      <c r="F330" s="511"/>
      <c r="G330" s="425"/>
      <c r="H330" s="511"/>
      <c r="I330" s="425"/>
      <c r="J330" s="511"/>
      <c r="K330" s="425"/>
      <c r="L330" s="511"/>
      <c r="M330" s="425"/>
      <c r="N330" s="511"/>
      <c r="O330" s="425"/>
      <c r="P330" s="511"/>
      <c r="Q330" s="425"/>
      <c r="R330" s="511"/>
      <c r="S330" s="425"/>
      <c r="T330" s="511"/>
      <c r="U330" s="425"/>
    </row>
    <row r="331" ht="15.75" customHeight="1">
      <c r="A331" s="425"/>
      <c r="B331" s="425"/>
      <c r="C331" s="425"/>
      <c r="D331" s="511"/>
      <c r="E331" s="425"/>
      <c r="F331" s="511"/>
      <c r="G331" s="425"/>
      <c r="H331" s="511"/>
      <c r="I331" s="425"/>
      <c r="J331" s="511"/>
      <c r="K331" s="425"/>
      <c r="L331" s="511"/>
      <c r="M331" s="425"/>
      <c r="N331" s="511"/>
      <c r="O331" s="425"/>
      <c r="P331" s="511"/>
      <c r="Q331" s="425"/>
      <c r="R331" s="511"/>
      <c r="S331" s="425"/>
      <c r="T331" s="511"/>
      <c r="U331" s="425"/>
    </row>
    <row r="332" ht="15.75" customHeight="1">
      <c r="A332" s="425"/>
      <c r="B332" s="425"/>
      <c r="C332" s="425"/>
      <c r="D332" s="511"/>
      <c r="E332" s="425"/>
      <c r="F332" s="511"/>
      <c r="G332" s="425"/>
      <c r="H332" s="511"/>
      <c r="I332" s="425"/>
      <c r="J332" s="511"/>
      <c r="K332" s="425"/>
      <c r="L332" s="511"/>
      <c r="M332" s="425"/>
      <c r="N332" s="511"/>
      <c r="O332" s="425"/>
      <c r="P332" s="511"/>
      <c r="Q332" s="425"/>
      <c r="R332" s="511"/>
      <c r="S332" s="425"/>
      <c r="T332" s="511"/>
      <c r="U332" s="425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59:C59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1.5"/>
    <col customWidth="1" min="4" max="4" width="12.38"/>
    <col customWidth="1" hidden="1" min="5" max="5" width="12.63"/>
    <col customWidth="1" hidden="1" min="6" max="6" width="13.88"/>
    <col customWidth="1" hidden="1" min="7" max="9" width="12.63"/>
    <col customWidth="1" min="10" max="10" width="11.75"/>
    <col customWidth="1" hidden="1" min="11" max="11" width="12.63"/>
    <col customWidth="1" hidden="1" min="12" max="12" width="13.88"/>
    <col customWidth="1" hidden="1" min="13" max="15" width="12.63"/>
    <col customWidth="1" min="16" max="16" width="11.25"/>
    <col customWidth="1" hidden="1" min="17" max="17" width="12.63"/>
    <col customWidth="1" hidden="1" min="18" max="18" width="13.88"/>
    <col customWidth="1" hidden="1" min="19" max="21" width="12.63"/>
  </cols>
  <sheetData>
    <row r="1" ht="15.75" customHeight="1">
      <c r="B1" s="426" t="s">
        <v>0</v>
      </c>
      <c r="D1" s="121"/>
      <c r="F1" s="121"/>
      <c r="J1" s="121"/>
      <c r="L1" s="121"/>
      <c r="P1" s="121"/>
      <c r="R1" s="121"/>
    </row>
    <row r="2" ht="15.75" customHeight="1">
      <c r="B2" s="512" t="s">
        <v>284</v>
      </c>
      <c r="C2" s="425"/>
      <c r="D2" s="121"/>
      <c r="F2" s="121"/>
      <c r="J2" s="121"/>
      <c r="L2" s="121"/>
      <c r="P2" s="121"/>
      <c r="R2" s="121"/>
    </row>
    <row r="3" ht="15.75" customHeight="1">
      <c r="D3" s="121"/>
      <c r="F3" s="121"/>
      <c r="J3" s="121"/>
      <c r="L3" s="121"/>
      <c r="P3" s="121"/>
      <c r="R3" s="121"/>
    </row>
    <row r="4" ht="15.75" customHeight="1">
      <c r="B4" s="428" t="s">
        <v>165</v>
      </c>
      <c r="C4" s="428" t="s">
        <v>166</v>
      </c>
      <c r="D4" s="513" t="s">
        <v>167</v>
      </c>
      <c r="E4" s="10"/>
      <c r="F4" s="10"/>
      <c r="G4" s="10"/>
      <c r="H4" s="10"/>
      <c r="I4" s="12"/>
      <c r="J4" s="513" t="s">
        <v>168</v>
      </c>
      <c r="K4" s="10"/>
      <c r="L4" s="10"/>
      <c r="M4" s="10"/>
      <c r="N4" s="10"/>
      <c r="O4" s="12"/>
      <c r="P4" s="431" t="s">
        <v>169</v>
      </c>
      <c r="Q4" s="10"/>
      <c r="R4" s="10"/>
      <c r="S4" s="10"/>
      <c r="T4" s="10"/>
      <c r="U4" s="12"/>
    </row>
    <row r="5" ht="15.75" customHeight="1">
      <c r="B5" s="433"/>
      <c r="C5" s="433"/>
      <c r="D5" s="589" t="s">
        <v>170</v>
      </c>
      <c r="E5" s="590" t="s">
        <v>18</v>
      </c>
      <c r="F5" s="591" t="s">
        <v>171</v>
      </c>
      <c r="G5" s="590" t="s">
        <v>18</v>
      </c>
      <c r="H5" s="591" t="s">
        <v>172</v>
      </c>
      <c r="I5" s="592" t="s">
        <v>260</v>
      </c>
      <c r="J5" s="520" t="s">
        <v>170</v>
      </c>
      <c r="K5" s="593" t="s">
        <v>18</v>
      </c>
      <c r="L5" s="591" t="s">
        <v>171</v>
      </c>
      <c r="M5" s="590" t="s">
        <v>18</v>
      </c>
      <c r="N5" s="591" t="s">
        <v>172</v>
      </c>
      <c r="O5" s="592" t="s">
        <v>260</v>
      </c>
      <c r="P5" s="520" t="s">
        <v>170</v>
      </c>
      <c r="Q5" s="436" t="s">
        <v>18</v>
      </c>
      <c r="R5" s="520" t="s">
        <v>171</v>
      </c>
      <c r="S5" s="436" t="s">
        <v>18</v>
      </c>
      <c r="T5" s="520" t="s">
        <v>172</v>
      </c>
      <c r="U5" s="436" t="s">
        <v>260</v>
      </c>
    </row>
    <row r="6" ht="15.75" hidden="1" customHeight="1">
      <c r="B6" s="446"/>
      <c r="C6" s="481" t="s">
        <v>76</v>
      </c>
      <c r="D6" s="594">
        <v>0.0</v>
      </c>
      <c r="E6" s="595"/>
      <c r="F6" s="596"/>
      <c r="G6" s="595"/>
      <c r="H6" s="597"/>
      <c r="I6" s="598"/>
      <c r="J6" s="594">
        <v>0.0</v>
      </c>
      <c r="K6" s="595"/>
      <c r="L6" s="596"/>
      <c r="M6" s="595"/>
      <c r="N6" s="597"/>
      <c r="O6" s="598"/>
      <c r="P6" s="594">
        <v>0.0</v>
      </c>
      <c r="Q6" s="595"/>
      <c r="R6" s="596"/>
      <c r="S6" s="595"/>
      <c r="T6" s="597"/>
      <c r="U6" s="598"/>
    </row>
    <row r="7" ht="15.75" hidden="1" customHeight="1">
      <c r="B7" s="454"/>
      <c r="C7" s="450" t="s">
        <v>83</v>
      </c>
      <c r="D7" s="599">
        <v>499.0</v>
      </c>
      <c r="E7" s="600"/>
      <c r="F7" s="601"/>
      <c r="G7" s="600"/>
      <c r="H7" s="602"/>
      <c r="I7" s="603"/>
      <c r="J7" s="599">
        <v>499.0</v>
      </c>
      <c r="K7" s="600"/>
      <c r="L7" s="601"/>
      <c r="M7" s="600"/>
      <c r="N7" s="602"/>
      <c r="O7" s="603"/>
      <c r="P7" s="599">
        <v>499.0</v>
      </c>
      <c r="Q7" s="600"/>
      <c r="R7" s="601"/>
      <c r="S7" s="600"/>
      <c r="T7" s="602"/>
      <c r="U7" s="603"/>
    </row>
    <row r="8" ht="15.75" hidden="1" customHeight="1">
      <c r="B8" s="454"/>
      <c r="C8" s="450" t="s">
        <v>90</v>
      </c>
      <c r="D8" s="599">
        <f>D24+D25+D28+D16</f>
        <v>68605</v>
      </c>
      <c r="E8" s="600"/>
      <c r="F8" s="601"/>
      <c r="G8" s="600"/>
      <c r="H8" s="602"/>
      <c r="I8" s="603"/>
      <c r="J8" s="599">
        <f>J24+J25+J28+J16</f>
        <v>18105</v>
      </c>
      <c r="K8" s="600"/>
      <c r="L8" s="601"/>
      <c r="M8" s="600"/>
      <c r="N8" s="602"/>
      <c r="O8" s="603"/>
      <c r="P8" s="599">
        <f>P24+P25+P28+P16</f>
        <v>0</v>
      </c>
      <c r="Q8" s="600"/>
      <c r="R8" s="601"/>
      <c r="S8" s="600"/>
      <c r="T8" s="602"/>
      <c r="U8" s="603"/>
    </row>
    <row r="9" ht="15.75" hidden="1" customHeight="1">
      <c r="B9" s="454"/>
      <c r="C9" s="450" t="s">
        <v>97</v>
      </c>
      <c r="D9" s="599">
        <f>D17+D19+D20+D21</f>
        <v>791143</v>
      </c>
      <c r="E9" s="600"/>
      <c r="F9" s="601"/>
      <c r="G9" s="600"/>
      <c r="H9" s="602"/>
      <c r="I9" s="603"/>
      <c r="J9" s="599">
        <f>J17+J19+J20+J21</f>
        <v>789395</v>
      </c>
      <c r="K9" s="600"/>
      <c r="L9" s="601"/>
      <c r="M9" s="600"/>
      <c r="N9" s="602"/>
      <c r="O9" s="603"/>
      <c r="P9" s="599">
        <f>P17+P19+P20+P21</f>
        <v>0</v>
      </c>
      <c r="Q9" s="600"/>
      <c r="R9" s="601"/>
      <c r="S9" s="600"/>
      <c r="T9" s="602"/>
      <c r="U9" s="603"/>
    </row>
    <row r="10" ht="15.75" hidden="1" customHeight="1">
      <c r="B10" s="454"/>
      <c r="C10" s="450" t="s">
        <v>104</v>
      </c>
      <c r="D10" s="599">
        <f>SUM(D8:D9)-D29</f>
        <v>0</v>
      </c>
      <c r="E10" s="600"/>
      <c r="F10" s="601"/>
      <c r="G10" s="600"/>
      <c r="H10" s="602"/>
      <c r="I10" s="603"/>
      <c r="J10" s="599">
        <f>SUM(J8:J9)-J29</f>
        <v>0</v>
      </c>
      <c r="K10" s="600"/>
      <c r="L10" s="601"/>
      <c r="M10" s="600"/>
      <c r="N10" s="602"/>
      <c r="O10" s="603"/>
      <c r="P10" s="599">
        <f>SUM(P8:P9)-P29</f>
        <v>0</v>
      </c>
      <c r="Q10" s="600"/>
      <c r="R10" s="601"/>
      <c r="S10" s="600"/>
      <c r="T10" s="602"/>
      <c r="U10" s="603"/>
    </row>
    <row r="11" ht="15.75" hidden="1" customHeight="1">
      <c r="B11" s="454"/>
      <c r="C11" s="450" t="s">
        <v>111</v>
      </c>
      <c r="D11" s="599" t="str">
        <f t="shared" ref="D11:D12" si="1">D8/D6</f>
        <v>#DIV/0!</v>
      </c>
      <c r="E11" s="600"/>
      <c r="F11" s="601"/>
      <c r="G11" s="600"/>
      <c r="H11" s="602"/>
      <c r="I11" s="603"/>
      <c r="J11" s="599" t="str">
        <f t="shared" ref="J11:J12" si="2">J8/J6</f>
        <v>#DIV/0!</v>
      </c>
      <c r="K11" s="600"/>
      <c r="L11" s="601"/>
      <c r="M11" s="600"/>
      <c r="N11" s="602"/>
      <c r="O11" s="603"/>
      <c r="P11" s="599" t="str">
        <f t="shared" ref="P11:P12" si="3">P8/P6</f>
        <v>#DIV/0!</v>
      </c>
      <c r="Q11" s="600"/>
      <c r="R11" s="601"/>
      <c r="S11" s="600"/>
      <c r="T11" s="602"/>
      <c r="U11" s="603"/>
    </row>
    <row r="12" ht="15.75" hidden="1" customHeight="1">
      <c r="B12" s="454"/>
      <c r="C12" s="450" t="s">
        <v>118</v>
      </c>
      <c r="D12" s="599">
        <f t="shared" si="1"/>
        <v>1585.456914</v>
      </c>
      <c r="E12" s="600"/>
      <c r="F12" s="601"/>
      <c r="G12" s="600"/>
      <c r="H12" s="602"/>
      <c r="I12" s="603"/>
      <c r="J12" s="599">
        <f t="shared" si="2"/>
        <v>1581.953908</v>
      </c>
      <c r="K12" s="600"/>
      <c r="L12" s="601"/>
      <c r="M12" s="600"/>
      <c r="N12" s="602"/>
      <c r="O12" s="603"/>
      <c r="P12" s="599">
        <f t="shared" si="3"/>
        <v>0</v>
      </c>
      <c r="Q12" s="600"/>
      <c r="R12" s="601"/>
      <c r="S12" s="600"/>
      <c r="T12" s="602"/>
      <c r="U12" s="603"/>
    </row>
    <row r="13" ht="15.75" hidden="1" customHeight="1">
      <c r="B13" s="454"/>
      <c r="C13" s="450"/>
      <c r="D13" s="599"/>
      <c r="E13" s="600"/>
      <c r="F13" s="601"/>
      <c r="G13" s="600"/>
      <c r="H13" s="602"/>
      <c r="I13" s="603"/>
      <c r="J13" s="599"/>
      <c r="K13" s="600"/>
      <c r="L13" s="601"/>
      <c r="M13" s="600"/>
      <c r="N13" s="602"/>
      <c r="O13" s="603"/>
      <c r="P13" s="599"/>
      <c r="Q13" s="600"/>
      <c r="R13" s="601"/>
      <c r="S13" s="600"/>
      <c r="T13" s="602"/>
      <c r="U13" s="603"/>
    </row>
    <row r="14" ht="15.75" hidden="1" customHeight="1">
      <c r="B14" s="525"/>
      <c r="C14" s="468"/>
      <c r="D14" s="604"/>
      <c r="E14" s="605"/>
      <c r="F14" s="606"/>
      <c r="G14" s="605"/>
      <c r="H14" s="607"/>
      <c r="I14" s="608"/>
      <c r="J14" s="604"/>
      <c r="K14" s="605"/>
      <c r="L14" s="606"/>
      <c r="M14" s="605"/>
      <c r="N14" s="607"/>
      <c r="O14" s="608"/>
      <c r="P14" s="604"/>
      <c r="Q14" s="605"/>
      <c r="R14" s="606"/>
      <c r="S14" s="605"/>
      <c r="T14" s="607"/>
      <c r="U14" s="608"/>
    </row>
    <row r="15" ht="15.75" customHeight="1">
      <c r="B15" s="442" t="s">
        <v>173</v>
      </c>
      <c r="C15" s="474"/>
      <c r="D15" s="444">
        <f>SUM(D16:D21)</f>
        <v>859748</v>
      </c>
      <c r="E15" s="555"/>
      <c r="F15" s="530">
        <f>SUM(F16:F21)</f>
        <v>0</v>
      </c>
      <c r="G15" s="555"/>
      <c r="H15" s="609">
        <f>SUM(H16:H21)</f>
        <v>0</v>
      </c>
      <c r="I15" s="556"/>
      <c r="J15" s="444">
        <f>SUM(J16:J21)</f>
        <v>807500</v>
      </c>
      <c r="K15" s="555"/>
      <c r="L15" s="530">
        <f>SUM(L16:L21)</f>
        <v>0</v>
      </c>
      <c r="M15" s="555"/>
      <c r="N15" s="609">
        <f>SUM(N16:N21)</f>
        <v>0</v>
      </c>
      <c r="O15" s="556"/>
      <c r="P15" s="475">
        <f>SUM(P16:P21)</f>
        <v>0</v>
      </c>
      <c r="Q15" s="557"/>
      <c r="R15" s="530">
        <f>SUM(R16:R21)</f>
        <v>0</v>
      </c>
      <c r="S15" s="555"/>
      <c r="T15" s="609">
        <f>SUM(T16:T21)</f>
        <v>0</v>
      </c>
      <c r="U15" s="556"/>
    </row>
    <row r="16" ht="15.75" customHeight="1">
      <c r="B16" s="446" t="s">
        <v>23</v>
      </c>
      <c r="C16" s="481" t="s">
        <v>175</v>
      </c>
      <c r="D16" s="448">
        <v>68605.0</v>
      </c>
      <c r="E16" s="522"/>
      <c r="F16" s="523">
        <v>0.0</v>
      </c>
      <c r="G16" s="522"/>
      <c r="H16" s="610"/>
      <c r="I16" s="611"/>
      <c r="J16" s="29">
        <v>18105.0</v>
      </c>
      <c r="K16" s="574"/>
      <c r="L16" s="523">
        <v>0.0</v>
      </c>
      <c r="M16" s="522"/>
      <c r="N16" s="610"/>
      <c r="O16" s="524"/>
      <c r="P16" s="537"/>
      <c r="Q16" s="574"/>
      <c r="R16" s="523">
        <v>0.0</v>
      </c>
      <c r="S16" s="522"/>
      <c r="T16" s="610"/>
      <c r="U16" s="524"/>
    </row>
    <row r="17" ht="15.75" customHeight="1">
      <c r="B17" s="450"/>
      <c r="C17" s="450" t="s">
        <v>176</v>
      </c>
      <c r="D17" s="452">
        <v>753785.0</v>
      </c>
      <c r="E17" s="521"/>
      <c r="F17" s="501"/>
      <c r="G17" s="521"/>
      <c r="H17" s="612"/>
      <c r="I17" s="551"/>
      <c r="J17" s="613">
        <v>779109.0</v>
      </c>
      <c r="K17" s="552"/>
      <c r="L17" s="501"/>
      <c r="M17" s="521"/>
      <c r="N17" s="612"/>
      <c r="O17" s="464"/>
      <c r="P17" s="498"/>
      <c r="Q17" s="552"/>
      <c r="R17" s="501"/>
      <c r="S17" s="521"/>
      <c r="T17" s="612"/>
      <c r="U17" s="464"/>
    </row>
    <row r="18" ht="15.75" customHeight="1">
      <c r="B18" s="450"/>
      <c r="C18" s="451" t="s">
        <v>261</v>
      </c>
      <c r="D18" s="452"/>
      <c r="E18" s="538">
        <f>D18/$D$15</f>
        <v>0</v>
      </c>
      <c r="F18" s="501"/>
      <c r="G18" s="538" t="str">
        <f>F18/$F$15</f>
        <v>#DIV/0!</v>
      </c>
      <c r="H18" s="501">
        <f>D18-F18</f>
        <v>0</v>
      </c>
      <c r="I18" s="542"/>
      <c r="J18" s="448"/>
      <c r="K18" s="538">
        <f>J18/$D$15</f>
        <v>0</v>
      </c>
      <c r="L18" s="501"/>
      <c r="M18" s="538" t="str">
        <f>L18/$F$15</f>
        <v>#DIV/0!</v>
      </c>
      <c r="N18" s="501">
        <f>J18-L18</f>
        <v>0</v>
      </c>
      <c r="O18" s="542"/>
      <c r="P18" s="482"/>
      <c r="Q18" s="541">
        <f>P18/$D$15</f>
        <v>0</v>
      </c>
      <c r="R18" s="501"/>
      <c r="S18" s="538" t="str">
        <f>R18/$F$15</f>
        <v>#DIV/0!</v>
      </c>
      <c r="T18" s="501">
        <f>P18-R18</f>
        <v>0</v>
      </c>
      <c r="U18" s="542"/>
    </row>
    <row r="19" ht="15.75" customHeight="1">
      <c r="B19" s="450"/>
      <c r="C19" s="450" t="s">
        <v>177</v>
      </c>
      <c r="D19" s="452">
        <v>37358.0</v>
      </c>
      <c r="E19" s="521"/>
      <c r="F19" s="501"/>
      <c r="G19" s="521"/>
      <c r="H19" s="612"/>
      <c r="I19" s="464"/>
      <c r="J19" s="53">
        <v>10286.0</v>
      </c>
      <c r="K19" s="521"/>
      <c r="L19" s="501"/>
      <c r="M19" s="521"/>
      <c r="N19" s="612"/>
      <c r="O19" s="464"/>
      <c r="P19" s="614"/>
      <c r="Q19" s="552"/>
      <c r="R19" s="501"/>
      <c r="S19" s="521"/>
      <c r="T19" s="612"/>
      <c r="U19" s="464"/>
    </row>
    <row r="20" ht="15.75" customHeight="1">
      <c r="B20" s="450"/>
      <c r="C20" s="450" t="s">
        <v>178</v>
      </c>
      <c r="D20" s="452"/>
      <c r="E20" s="521"/>
      <c r="F20" s="501"/>
      <c r="G20" s="521"/>
      <c r="H20" s="612"/>
      <c r="I20" s="464"/>
      <c r="J20" s="452"/>
      <c r="K20" s="521"/>
      <c r="L20" s="501"/>
      <c r="M20" s="521"/>
      <c r="N20" s="612"/>
      <c r="O20" s="464"/>
      <c r="P20" s="459"/>
      <c r="Q20" s="552"/>
      <c r="R20" s="501"/>
      <c r="S20" s="521"/>
      <c r="T20" s="612"/>
      <c r="U20" s="464"/>
    </row>
    <row r="21" ht="15.75" customHeight="1">
      <c r="B21" s="615"/>
      <c r="C21" s="450" t="s">
        <v>179</v>
      </c>
      <c r="D21" s="452"/>
      <c r="E21" s="521"/>
      <c r="F21" s="501"/>
      <c r="G21" s="521"/>
      <c r="H21" s="612"/>
      <c r="I21" s="464"/>
      <c r="J21" s="452"/>
      <c r="K21" s="521"/>
      <c r="L21" s="501"/>
      <c r="M21" s="521"/>
      <c r="N21" s="612"/>
      <c r="O21" s="464"/>
      <c r="P21" s="459"/>
      <c r="Q21" s="552"/>
      <c r="R21" s="501"/>
      <c r="S21" s="521"/>
      <c r="T21" s="612"/>
      <c r="U21" s="464"/>
    </row>
    <row r="22" ht="15.75" customHeight="1">
      <c r="B22" s="450"/>
      <c r="C22" s="451" t="s">
        <v>263</v>
      </c>
      <c r="D22" s="452"/>
      <c r="E22" s="538">
        <f>D22/$D$15</f>
        <v>0</v>
      </c>
      <c r="F22" s="501"/>
      <c r="G22" s="538"/>
      <c r="H22" s="501">
        <f>D22-F22</f>
        <v>0</v>
      </c>
      <c r="I22" s="550" t="str">
        <f>IFERROR(H22/F22,"")</f>
        <v/>
      </c>
      <c r="J22" s="452"/>
      <c r="K22" s="538">
        <f>J22/$D$15</f>
        <v>0</v>
      </c>
      <c r="L22" s="501"/>
      <c r="M22" s="538"/>
      <c r="N22" s="501">
        <f>J22-L22</f>
        <v>0</v>
      </c>
      <c r="O22" s="550" t="str">
        <f>IFERROR(N22/L22,"")</f>
        <v/>
      </c>
      <c r="P22" s="459"/>
      <c r="Q22" s="541">
        <f>P22/$D$15</f>
        <v>0</v>
      </c>
      <c r="R22" s="501"/>
      <c r="S22" s="538"/>
      <c r="T22" s="501">
        <f>P22-R22</f>
        <v>0</v>
      </c>
      <c r="U22" s="550" t="str">
        <f>IFERROR(T22/R22,"")</f>
        <v/>
      </c>
    </row>
    <row r="23" ht="15.75" customHeight="1">
      <c r="B23" s="454"/>
      <c r="C23" s="615"/>
      <c r="D23" s="452"/>
      <c r="E23" s="521"/>
      <c r="F23" s="501"/>
      <c r="G23" s="521"/>
      <c r="H23" s="612"/>
      <c r="I23" s="464"/>
      <c r="J23" s="452"/>
      <c r="K23" s="521"/>
      <c r="L23" s="501"/>
      <c r="M23" s="521"/>
      <c r="N23" s="612"/>
      <c r="O23" s="464"/>
      <c r="P23" s="459"/>
      <c r="Q23" s="552"/>
      <c r="R23" s="501"/>
      <c r="S23" s="521"/>
      <c r="T23" s="612"/>
      <c r="U23" s="464"/>
    </row>
    <row r="24" ht="15.75" customHeight="1">
      <c r="B24" s="454" t="s">
        <v>21</v>
      </c>
      <c r="C24" s="615" t="s">
        <v>21</v>
      </c>
      <c r="D24" s="452">
        <v>0.0</v>
      </c>
      <c r="E24" s="521"/>
      <c r="F24" s="501"/>
      <c r="G24" s="521"/>
      <c r="H24" s="612">
        <v>0.0</v>
      </c>
      <c r="I24" s="464"/>
      <c r="J24" s="452">
        <v>0.0</v>
      </c>
      <c r="K24" s="521"/>
      <c r="L24" s="501"/>
      <c r="M24" s="521"/>
      <c r="N24" s="612">
        <v>0.0</v>
      </c>
      <c r="O24" s="464"/>
      <c r="P24" s="459"/>
      <c r="Q24" s="552"/>
      <c r="R24" s="501"/>
      <c r="S24" s="521"/>
      <c r="T24" s="612">
        <v>0.0</v>
      </c>
      <c r="U24" s="464"/>
    </row>
    <row r="25" ht="15.75" customHeight="1">
      <c r="B25" s="454" t="s">
        <v>22</v>
      </c>
      <c r="C25" s="615" t="s">
        <v>22</v>
      </c>
      <c r="D25" s="452">
        <v>0.0</v>
      </c>
      <c r="E25" s="521"/>
      <c r="F25" s="501"/>
      <c r="G25" s="521"/>
      <c r="H25" s="612">
        <v>0.0</v>
      </c>
      <c r="I25" s="464"/>
      <c r="J25" s="470">
        <v>0.0</v>
      </c>
      <c r="K25" s="521"/>
      <c r="L25" s="501"/>
      <c r="M25" s="521"/>
      <c r="N25" s="612">
        <v>0.0</v>
      </c>
      <c r="O25" s="464"/>
      <c r="P25" s="472"/>
      <c r="Q25" s="552"/>
      <c r="R25" s="501"/>
      <c r="S25" s="521"/>
      <c r="T25" s="612">
        <v>0.0</v>
      </c>
      <c r="U25" s="464"/>
    </row>
    <row r="26" ht="15.75" customHeight="1">
      <c r="B26" s="454" t="s">
        <v>23</v>
      </c>
      <c r="C26" s="615" t="s">
        <v>180</v>
      </c>
      <c r="D26" s="460">
        <f>SUM(D16:D22)</f>
        <v>859748</v>
      </c>
      <c r="E26" s="521"/>
      <c r="F26" s="553"/>
      <c r="G26" s="521"/>
      <c r="H26" s="616">
        <f>SUM(H16:H21)</f>
        <v>0</v>
      </c>
      <c r="I26" s="551"/>
      <c r="J26" s="460">
        <f>SUM(J16:J22)</f>
        <v>807500</v>
      </c>
      <c r="K26" s="552"/>
      <c r="L26" s="553"/>
      <c r="M26" s="521"/>
      <c r="N26" s="616">
        <f>SUM(N16:N21)</f>
        <v>0</v>
      </c>
      <c r="O26" s="464"/>
      <c r="P26" s="461"/>
      <c r="Q26" s="552"/>
      <c r="R26" s="553"/>
      <c r="S26" s="521"/>
      <c r="T26" s="616">
        <f>SUM(T16:T21)</f>
        <v>0</v>
      </c>
      <c r="U26" s="464"/>
    </row>
    <row r="27" ht="15.75" customHeight="1">
      <c r="B27" s="450"/>
      <c r="C27" s="615"/>
      <c r="D27" s="452"/>
      <c r="E27" s="521"/>
      <c r="F27" s="501"/>
      <c r="G27" s="521"/>
      <c r="H27" s="521"/>
      <c r="I27" s="464"/>
      <c r="J27" s="448"/>
      <c r="K27" s="521"/>
      <c r="L27" s="501"/>
      <c r="M27" s="521"/>
      <c r="N27" s="521"/>
      <c r="O27" s="464"/>
      <c r="P27" s="482"/>
      <c r="Q27" s="552"/>
      <c r="R27" s="501"/>
      <c r="S27" s="521"/>
      <c r="T27" s="521"/>
      <c r="U27" s="464"/>
    </row>
    <row r="28" ht="15.75" customHeight="1">
      <c r="B28" s="468"/>
      <c r="C28" s="617" t="s">
        <v>181</v>
      </c>
      <c r="D28" s="470"/>
      <c r="E28" s="526"/>
      <c r="F28" s="527">
        <v>0.0</v>
      </c>
      <c r="G28" s="526"/>
      <c r="H28" s="526"/>
      <c r="I28" s="528"/>
      <c r="J28" s="470"/>
      <c r="K28" s="526"/>
      <c r="L28" s="527">
        <v>0.0</v>
      </c>
      <c r="M28" s="526"/>
      <c r="N28" s="526"/>
      <c r="O28" s="528"/>
      <c r="P28" s="472"/>
      <c r="Q28" s="577"/>
      <c r="R28" s="527">
        <v>0.0</v>
      </c>
      <c r="S28" s="526"/>
      <c r="T28" s="526"/>
      <c r="U28" s="528"/>
    </row>
    <row r="29" ht="15.75" customHeight="1">
      <c r="B29" s="474"/>
      <c r="C29" s="474" t="s">
        <v>182</v>
      </c>
      <c r="D29" s="444">
        <f>D24+D25+D26+D28</f>
        <v>859748</v>
      </c>
      <c r="E29" s="555"/>
      <c r="F29" s="530">
        <f>F24+F25+F26+F28</f>
        <v>0</v>
      </c>
      <c r="G29" s="555"/>
      <c r="H29" s="609">
        <f>H24+H25+H26+H28</f>
        <v>0</v>
      </c>
      <c r="I29" s="556"/>
      <c r="J29" s="444">
        <f>J24+J25+J26+J28</f>
        <v>807500</v>
      </c>
      <c r="K29" s="555"/>
      <c r="L29" s="530">
        <f>L24+L25+L26+L28</f>
        <v>0</v>
      </c>
      <c r="M29" s="555"/>
      <c r="N29" s="609">
        <f>N24+N25+N26+N28</f>
        <v>0</v>
      </c>
      <c r="O29" s="556"/>
      <c r="P29" s="475">
        <f>P24+P25+P26+P28</f>
        <v>0</v>
      </c>
      <c r="Q29" s="557"/>
      <c r="R29" s="530">
        <f>R24+R25+R26+R28</f>
        <v>0</v>
      </c>
      <c r="S29" s="555"/>
      <c r="T29" s="609">
        <f>T24+T25+T26+T28</f>
        <v>0</v>
      </c>
      <c r="U29" s="556"/>
    </row>
    <row r="30" ht="15.75" customHeight="1">
      <c r="B30" s="446" t="s">
        <v>183</v>
      </c>
      <c r="C30" s="481"/>
      <c r="D30" s="448"/>
      <c r="E30" s="522"/>
      <c r="F30" s="523"/>
      <c r="G30" s="522"/>
      <c r="H30" s="522"/>
      <c r="I30" s="524"/>
      <c r="J30" s="448"/>
      <c r="K30" s="522"/>
      <c r="L30" s="523"/>
      <c r="M30" s="522"/>
      <c r="N30" s="522"/>
      <c r="O30" s="524"/>
      <c r="P30" s="482"/>
      <c r="Q30" s="574"/>
      <c r="R30" s="523"/>
      <c r="S30" s="522"/>
      <c r="T30" s="522"/>
      <c r="U30" s="524"/>
    </row>
    <row r="31" ht="15.75" customHeight="1">
      <c r="B31" s="454"/>
      <c r="C31" s="454"/>
      <c r="D31" s="452"/>
      <c r="E31" s="521"/>
      <c r="F31" s="501"/>
      <c r="G31" s="521"/>
      <c r="H31" s="521"/>
      <c r="I31" s="464"/>
      <c r="J31" s="452"/>
      <c r="K31" s="521"/>
      <c r="L31" s="501"/>
      <c r="M31" s="521"/>
      <c r="N31" s="521"/>
      <c r="O31" s="464"/>
      <c r="P31" s="459"/>
      <c r="Q31" s="552"/>
      <c r="R31" s="501"/>
      <c r="S31" s="521"/>
      <c r="T31" s="521"/>
      <c r="U31" s="464"/>
    </row>
    <row r="32" ht="15.75" customHeight="1">
      <c r="B32" s="466" t="s">
        <v>186</v>
      </c>
      <c r="C32" s="450"/>
      <c r="D32" s="452"/>
      <c r="E32" s="521"/>
      <c r="F32" s="501"/>
      <c r="G32" s="521"/>
      <c r="H32" s="521"/>
      <c r="I32" s="464"/>
      <c r="J32" s="452"/>
      <c r="K32" s="521"/>
      <c r="L32" s="501"/>
      <c r="M32" s="521"/>
      <c r="N32" s="521"/>
      <c r="O32" s="464"/>
      <c r="P32" s="459"/>
      <c r="Q32" s="552"/>
      <c r="R32" s="501"/>
      <c r="S32" s="521"/>
      <c r="T32" s="521"/>
      <c r="U32" s="464"/>
    </row>
    <row r="33" ht="15.75" customHeight="1">
      <c r="B33" s="454" t="s">
        <v>28</v>
      </c>
      <c r="C33" s="450"/>
      <c r="D33" s="452"/>
      <c r="E33" s="521"/>
      <c r="F33" s="501"/>
      <c r="G33" s="521"/>
      <c r="H33" s="521"/>
      <c r="I33" s="464"/>
      <c r="J33" s="452"/>
      <c r="K33" s="521"/>
      <c r="L33" s="501"/>
      <c r="M33" s="521"/>
      <c r="N33" s="521"/>
      <c r="O33" s="464"/>
      <c r="P33" s="459"/>
      <c r="Q33" s="552"/>
      <c r="R33" s="501"/>
      <c r="S33" s="521"/>
      <c r="T33" s="521"/>
      <c r="U33" s="464"/>
    </row>
    <row r="34" ht="15.75" customHeight="1">
      <c r="B34" s="450"/>
      <c r="C34" s="558" t="s">
        <v>187</v>
      </c>
      <c r="D34" s="452"/>
      <c r="E34" s="521"/>
      <c r="F34" s="501"/>
      <c r="G34" s="521"/>
      <c r="H34" s="521"/>
      <c r="I34" s="464"/>
      <c r="J34" s="452"/>
      <c r="K34" s="521"/>
      <c r="L34" s="501"/>
      <c r="M34" s="521"/>
      <c r="N34" s="521"/>
      <c r="O34" s="464"/>
      <c r="P34" s="459"/>
      <c r="Q34" s="552"/>
      <c r="R34" s="501"/>
      <c r="S34" s="521"/>
      <c r="T34" s="521"/>
      <c r="U34" s="464"/>
    </row>
    <row r="35" ht="15.75" customHeight="1">
      <c r="B35" s="450"/>
      <c r="C35" s="615" t="s">
        <v>188</v>
      </c>
      <c r="D35" s="452">
        <v>0.0</v>
      </c>
      <c r="E35" s="521"/>
      <c r="F35" s="501"/>
      <c r="G35" s="538"/>
      <c r="H35" s="521"/>
      <c r="I35" s="464"/>
      <c r="J35" s="470">
        <v>0.0</v>
      </c>
      <c r="K35" s="521"/>
      <c r="L35" s="501"/>
      <c r="M35" s="538"/>
      <c r="N35" s="521"/>
      <c r="O35" s="464"/>
      <c r="P35" s="472"/>
      <c r="Q35" s="552"/>
      <c r="R35" s="501"/>
      <c r="S35" s="538"/>
      <c r="T35" s="521"/>
      <c r="U35" s="464"/>
    </row>
    <row r="36" ht="15.75" customHeight="1">
      <c r="B36" s="450"/>
      <c r="C36" s="615" t="s">
        <v>189</v>
      </c>
      <c r="D36" s="452">
        <v>274708.3644731338</v>
      </c>
      <c r="E36" s="538"/>
      <c r="F36" s="501"/>
      <c r="G36" s="538"/>
      <c r="H36" s="521"/>
      <c r="I36" s="551"/>
      <c r="J36" s="618">
        <v>275813.01</v>
      </c>
      <c r="K36" s="541"/>
      <c r="L36" s="501"/>
      <c r="M36" s="538"/>
      <c r="N36" s="521"/>
      <c r="O36" s="464"/>
      <c r="P36" s="619"/>
      <c r="Q36" s="541"/>
      <c r="R36" s="501"/>
      <c r="S36" s="538"/>
      <c r="T36" s="521"/>
      <c r="U36" s="464"/>
    </row>
    <row r="37" ht="15.75" customHeight="1">
      <c r="B37" s="450"/>
      <c r="C37" s="615" t="s">
        <v>21</v>
      </c>
      <c r="D37" s="452">
        <v>0.0</v>
      </c>
      <c r="E37" s="521"/>
      <c r="F37" s="501"/>
      <c r="G37" s="538"/>
      <c r="H37" s="521"/>
      <c r="I37" s="464"/>
      <c r="J37" s="448">
        <v>0.0</v>
      </c>
      <c r="K37" s="521"/>
      <c r="L37" s="501"/>
      <c r="M37" s="538"/>
      <c r="N37" s="521"/>
      <c r="O37" s="464"/>
      <c r="P37" s="482"/>
      <c r="Q37" s="552"/>
      <c r="R37" s="501"/>
      <c r="S37" s="538"/>
      <c r="T37" s="521"/>
      <c r="U37" s="464"/>
    </row>
    <row r="38" ht="15.75" customHeight="1">
      <c r="B38" s="450"/>
      <c r="C38" s="615" t="s">
        <v>22</v>
      </c>
      <c r="D38" s="452">
        <v>0.0</v>
      </c>
      <c r="E38" s="521"/>
      <c r="F38" s="501"/>
      <c r="G38" s="538"/>
      <c r="H38" s="521"/>
      <c r="I38" s="464"/>
      <c r="J38" s="452">
        <v>0.0</v>
      </c>
      <c r="K38" s="521"/>
      <c r="L38" s="501"/>
      <c r="M38" s="538"/>
      <c r="N38" s="521"/>
      <c r="O38" s="464"/>
      <c r="P38" s="459"/>
      <c r="Q38" s="552"/>
      <c r="R38" s="501"/>
      <c r="S38" s="538"/>
      <c r="T38" s="521"/>
      <c r="U38" s="464"/>
    </row>
    <row r="39" ht="15.75" customHeight="1">
      <c r="B39" s="468"/>
      <c r="C39" s="468" t="s">
        <v>190</v>
      </c>
      <c r="D39" s="470">
        <f>'Calculation Sheet for GST on Pu'!C22</f>
        <v>11548.06596</v>
      </c>
      <c r="E39" s="545"/>
      <c r="F39" s="527"/>
      <c r="G39" s="545"/>
      <c r="H39" s="526"/>
      <c r="I39" s="528"/>
      <c r="J39" s="470">
        <f>'Calculation Sheet for GST on Pu'!D22</f>
        <v>11344.01292</v>
      </c>
      <c r="K39" s="545"/>
      <c r="L39" s="527"/>
      <c r="M39" s="545"/>
      <c r="N39" s="526"/>
      <c r="O39" s="528"/>
      <c r="P39" s="472"/>
      <c r="Q39" s="554"/>
      <c r="R39" s="527"/>
      <c r="S39" s="545"/>
      <c r="T39" s="526"/>
      <c r="U39" s="528"/>
    </row>
    <row r="40" ht="15.75" customHeight="1">
      <c r="B40" s="474"/>
      <c r="C40" s="474" t="s">
        <v>191</v>
      </c>
      <c r="D40" s="444">
        <f>SUM(D35:D39)</f>
        <v>286256.4304</v>
      </c>
      <c r="E40" s="529">
        <f>D40/D$29</f>
        <v>0.3329538777</v>
      </c>
      <c r="F40" s="530">
        <f>SUM(F35:F39)</f>
        <v>0</v>
      </c>
      <c r="G40" s="529" t="str">
        <f>F40/F$29</f>
        <v>#DIV/0!</v>
      </c>
      <c r="H40" s="555">
        <f>SUM(H35:H39)</f>
        <v>0</v>
      </c>
      <c r="I40" s="556"/>
      <c r="J40" s="444">
        <f>SUM(J35:J39)</f>
        <v>287157.0229</v>
      </c>
      <c r="K40" s="529">
        <f>J40/J$29</f>
        <v>0.3556124123</v>
      </c>
      <c r="L40" s="530">
        <f>SUM(L35:L39)</f>
        <v>0</v>
      </c>
      <c r="M40" s="529" t="str">
        <f>L40/L$29</f>
        <v>#DIV/0!</v>
      </c>
      <c r="N40" s="555">
        <f>SUM(N35:N39)</f>
        <v>0</v>
      </c>
      <c r="O40" s="556"/>
      <c r="P40" s="475">
        <f>SUM(P35:P39)</f>
        <v>0</v>
      </c>
      <c r="Q40" s="532" t="str">
        <f>P40/P$29</f>
        <v>#DIV/0!</v>
      </c>
      <c r="R40" s="530">
        <f>SUM(R35:R39)</f>
        <v>0</v>
      </c>
      <c r="S40" s="529" t="str">
        <f>R40/R$29</f>
        <v>#DIV/0!</v>
      </c>
      <c r="T40" s="555">
        <f>SUM(T35:T39)</f>
        <v>0</v>
      </c>
      <c r="U40" s="556"/>
    </row>
    <row r="41" ht="15.75" customHeight="1">
      <c r="B41" s="508"/>
      <c r="C41" s="508" t="s">
        <v>192</v>
      </c>
      <c r="D41" s="494">
        <v>43654.0</v>
      </c>
      <c r="E41" s="562"/>
      <c r="F41" s="563"/>
      <c r="G41" s="562"/>
      <c r="H41" s="586"/>
      <c r="I41" s="440"/>
      <c r="J41" s="494">
        <v>29560.0</v>
      </c>
      <c r="K41" s="562"/>
      <c r="L41" s="563"/>
      <c r="M41" s="562"/>
      <c r="N41" s="586"/>
      <c r="O41" s="440"/>
      <c r="P41" s="495"/>
      <c r="Q41" s="566"/>
      <c r="R41" s="563"/>
      <c r="S41" s="562"/>
      <c r="T41" s="586"/>
      <c r="U41" s="440"/>
    </row>
    <row r="42" ht="15.75" customHeight="1">
      <c r="B42" s="474"/>
      <c r="C42" s="474" t="s">
        <v>193</v>
      </c>
      <c r="D42" s="444">
        <f>D40+D41</f>
        <v>329910.4304</v>
      </c>
      <c r="E42" s="529">
        <f t="shared" ref="E42:E43" si="4">D42/D$29</f>
        <v>0.3837292212</v>
      </c>
      <c r="F42" s="530">
        <f>F40+F41</f>
        <v>0</v>
      </c>
      <c r="G42" s="529" t="str">
        <f t="shared" ref="G42:G43" si="5">F42/F$29</f>
        <v>#DIV/0!</v>
      </c>
      <c r="H42" s="555">
        <f>H40+H41</f>
        <v>0</v>
      </c>
      <c r="I42" s="556"/>
      <c r="J42" s="444">
        <f>J40+J41</f>
        <v>316717.0229</v>
      </c>
      <c r="K42" s="529">
        <f t="shared" ref="K42:K43" si="6">J42/J$29</f>
        <v>0.3922192234</v>
      </c>
      <c r="L42" s="530">
        <f>L40+L41</f>
        <v>0</v>
      </c>
      <c r="M42" s="529" t="str">
        <f t="shared" ref="M42:M43" si="7">L42/L$29</f>
        <v>#DIV/0!</v>
      </c>
      <c r="N42" s="555">
        <f>N40+N41</f>
        <v>0</v>
      </c>
      <c r="O42" s="556"/>
      <c r="P42" s="475">
        <f>P40+P41</f>
        <v>0</v>
      </c>
      <c r="Q42" s="532" t="str">
        <f t="shared" ref="Q42:Q43" si="8">P42/P$29</f>
        <v>#DIV/0!</v>
      </c>
      <c r="R42" s="530">
        <f>R40+R41</f>
        <v>0</v>
      </c>
      <c r="S42" s="529" t="str">
        <f t="shared" ref="S42:S43" si="9">R42/R$29</f>
        <v>#DIV/0!</v>
      </c>
      <c r="T42" s="555">
        <f>T40+T41</f>
        <v>0</v>
      </c>
      <c r="U42" s="556"/>
    </row>
    <row r="43" ht="15.75" customHeight="1">
      <c r="B43" s="620" t="s">
        <v>32</v>
      </c>
      <c r="C43" s="621" t="s">
        <v>32</v>
      </c>
      <c r="D43" s="444">
        <f>D29-D42</f>
        <v>529837.5696</v>
      </c>
      <c r="E43" s="529">
        <f t="shared" si="4"/>
        <v>0.6162707788</v>
      </c>
      <c r="F43" s="530">
        <f>F29-F42</f>
        <v>0</v>
      </c>
      <c r="G43" s="529" t="str">
        <f t="shared" si="5"/>
        <v>#DIV/0!</v>
      </c>
      <c r="H43" s="530">
        <f>H29-H42</f>
        <v>0</v>
      </c>
      <c r="I43" s="531" t="str">
        <f>H43/H$29</f>
        <v>#DIV/0!</v>
      </c>
      <c r="J43" s="444">
        <f>J29-J42</f>
        <v>490782.9771</v>
      </c>
      <c r="K43" s="529">
        <f t="shared" si="6"/>
        <v>0.6077807766</v>
      </c>
      <c r="L43" s="530">
        <f>L29-L42</f>
        <v>0</v>
      </c>
      <c r="M43" s="529" t="str">
        <f t="shared" si="7"/>
        <v>#DIV/0!</v>
      </c>
      <c r="N43" s="530">
        <f>N29-N42</f>
        <v>0</v>
      </c>
      <c r="O43" s="531" t="str">
        <f>N43/N$29</f>
        <v>#DIV/0!</v>
      </c>
      <c r="P43" s="475">
        <f>P29-P42</f>
        <v>0</v>
      </c>
      <c r="Q43" s="532" t="str">
        <f t="shared" si="8"/>
        <v>#DIV/0!</v>
      </c>
      <c r="R43" s="530">
        <f>R29-R42</f>
        <v>0</v>
      </c>
      <c r="S43" s="529" t="str">
        <f t="shared" si="9"/>
        <v>#DIV/0!</v>
      </c>
      <c r="T43" s="530">
        <f>T29-T42</f>
        <v>0</v>
      </c>
      <c r="U43" s="531" t="str">
        <f>T43/T$29</f>
        <v>#DIV/0!</v>
      </c>
    </row>
    <row r="44" ht="15.75" customHeight="1">
      <c r="B44" s="481"/>
      <c r="C44" s="481"/>
      <c r="D44" s="448"/>
      <c r="E44" s="522"/>
      <c r="F44" s="523"/>
      <c r="G44" s="522"/>
      <c r="H44" s="522"/>
      <c r="I44" s="524"/>
      <c r="J44" s="448"/>
      <c r="K44" s="522"/>
      <c r="L44" s="523"/>
      <c r="M44" s="522"/>
      <c r="N44" s="522"/>
      <c r="O44" s="524"/>
      <c r="P44" s="482"/>
      <c r="Q44" s="574"/>
      <c r="R44" s="523"/>
      <c r="S44" s="522"/>
      <c r="T44" s="522"/>
      <c r="U44" s="524"/>
    </row>
    <row r="45" ht="15.75" customHeight="1">
      <c r="B45" s="450"/>
      <c r="C45" s="622" t="s">
        <v>194</v>
      </c>
      <c r="D45" s="452"/>
      <c r="E45" s="521"/>
      <c r="F45" s="501"/>
      <c r="G45" s="521"/>
      <c r="H45" s="521"/>
      <c r="I45" s="464"/>
      <c r="J45" s="452"/>
      <c r="K45" s="521"/>
      <c r="L45" s="501"/>
      <c r="M45" s="521"/>
      <c r="N45" s="521"/>
      <c r="O45" s="464"/>
      <c r="P45" s="459"/>
      <c r="Q45" s="552"/>
      <c r="R45" s="501"/>
      <c r="S45" s="521"/>
      <c r="T45" s="521"/>
      <c r="U45" s="464"/>
    </row>
    <row r="46" ht="15.75" customHeight="1">
      <c r="B46" s="450"/>
      <c r="C46" s="450" t="s">
        <v>195</v>
      </c>
      <c r="D46" s="452">
        <v>2160.34</v>
      </c>
      <c r="E46" s="538">
        <f t="shared" ref="E46:E52" si="10">D46/D$29</f>
        <v>0.002512759553</v>
      </c>
      <c r="F46" s="501"/>
      <c r="G46" s="538">
        <v>0.0</v>
      </c>
      <c r="H46" s="521"/>
      <c r="I46" s="464"/>
      <c r="J46" s="452">
        <v>4305.0</v>
      </c>
      <c r="K46" s="538">
        <f t="shared" ref="K46:K52" si="11">J46/J$29</f>
        <v>0.00533126935</v>
      </c>
      <c r="L46" s="501"/>
      <c r="M46" s="538">
        <v>0.0</v>
      </c>
      <c r="N46" s="521"/>
      <c r="O46" s="464"/>
      <c r="P46" s="459"/>
      <c r="Q46" s="541" t="str">
        <f t="shared" ref="Q46:Q52" si="12">P46/P$29</f>
        <v>#DIV/0!</v>
      </c>
      <c r="R46" s="501"/>
      <c r="S46" s="538">
        <v>0.0</v>
      </c>
      <c r="T46" s="521"/>
      <c r="U46" s="464"/>
    </row>
    <row r="47" ht="15.75" customHeight="1">
      <c r="B47" s="450"/>
      <c r="C47" s="450" t="s">
        <v>196</v>
      </c>
      <c r="D47" s="452">
        <v>41715.95</v>
      </c>
      <c r="E47" s="538">
        <f t="shared" si="10"/>
        <v>0.04852113643</v>
      </c>
      <c r="F47" s="501"/>
      <c r="G47" s="538">
        <v>0.0</v>
      </c>
      <c r="H47" s="521"/>
      <c r="I47" s="464"/>
      <c r="J47" s="452">
        <v>30814.0</v>
      </c>
      <c r="K47" s="538">
        <f t="shared" si="11"/>
        <v>0.03815975232</v>
      </c>
      <c r="L47" s="501"/>
      <c r="M47" s="538">
        <v>0.0</v>
      </c>
      <c r="N47" s="521"/>
      <c r="O47" s="464"/>
      <c r="P47" s="459"/>
      <c r="Q47" s="541" t="str">
        <f t="shared" si="12"/>
        <v>#DIV/0!</v>
      </c>
      <c r="R47" s="501"/>
      <c r="S47" s="538">
        <v>0.0</v>
      </c>
      <c r="T47" s="521"/>
      <c r="U47" s="464"/>
    </row>
    <row r="48" ht="15.75" customHeight="1">
      <c r="B48" s="450"/>
      <c r="C48" s="450" t="s">
        <v>266</v>
      </c>
      <c r="D48" s="452">
        <v>0.0</v>
      </c>
      <c r="E48" s="538">
        <f t="shared" si="10"/>
        <v>0</v>
      </c>
      <c r="F48" s="501"/>
      <c r="G48" s="538">
        <v>0.0</v>
      </c>
      <c r="H48" s="521"/>
      <c r="I48" s="464"/>
      <c r="J48" s="452">
        <v>0.0</v>
      </c>
      <c r="K48" s="538">
        <f t="shared" si="11"/>
        <v>0</v>
      </c>
      <c r="L48" s="501"/>
      <c r="M48" s="538">
        <v>0.0</v>
      </c>
      <c r="N48" s="521"/>
      <c r="O48" s="464"/>
      <c r="P48" s="459"/>
      <c r="Q48" s="541" t="str">
        <f t="shared" si="12"/>
        <v>#DIV/0!</v>
      </c>
      <c r="R48" s="501"/>
      <c r="S48" s="538">
        <v>0.0</v>
      </c>
      <c r="T48" s="521"/>
      <c r="U48" s="464"/>
    </row>
    <row r="49" ht="15.75" customHeight="1">
      <c r="B49" s="450"/>
      <c r="C49" s="450" t="s">
        <v>197</v>
      </c>
      <c r="D49" s="452">
        <v>788.0</v>
      </c>
      <c r="E49" s="538">
        <f t="shared" si="10"/>
        <v>0.0009165476395</v>
      </c>
      <c r="F49" s="501"/>
      <c r="G49" s="538">
        <v>0.0</v>
      </c>
      <c r="H49" s="521"/>
      <c r="I49" s="464"/>
      <c r="J49" s="452">
        <v>4792.0</v>
      </c>
      <c r="K49" s="538">
        <f t="shared" si="11"/>
        <v>0.005934365325</v>
      </c>
      <c r="L49" s="501"/>
      <c r="M49" s="538">
        <v>0.0</v>
      </c>
      <c r="N49" s="521"/>
      <c r="O49" s="464"/>
      <c r="P49" s="459"/>
      <c r="Q49" s="541" t="str">
        <f t="shared" si="12"/>
        <v>#DIV/0!</v>
      </c>
      <c r="R49" s="501"/>
      <c r="S49" s="538">
        <v>0.0</v>
      </c>
      <c r="T49" s="521"/>
      <c r="U49" s="464"/>
    </row>
    <row r="50" ht="15.75" customHeight="1">
      <c r="B50" s="450"/>
      <c r="C50" s="450" t="s">
        <v>198</v>
      </c>
      <c r="D50" s="452">
        <v>3225.0</v>
      </c>
      <c r="E50" s="538">
        <f t="shared" si="10"/>
        <v>0.003751099159</v>
      </c>
      <c r="F50" s="501"/>
      <c r="G50" s="538">
        <v>0.0</v>
      </c>
      <c r="H50" s="521"/>
      <c r="I50" s="464"/>
      <c r="J50" s="452">
        <v>3480.0</v>
      </c>
      <c r="K50" s="538">
        <f t="shared" si="11"/>
        <v>0.004309597523</v>
      </c>
      <c r="L50" s="501"/>
      <c r="M50" s="538">
        <v>0.0</v>
      </c>
      <c r="N50" s="521"/>
      <c r="O50" s="464"/>
      <c r="P50" s="459"/>
      <c r="Q50" s="541" t="str">
        <f t="shared" si="12"/>
        <v>#DIV/0!</v>
      </c>
      <c r="R50" s="501"/>
      <c r="S50" s="538">
        <v>0.0</v>
      </c>
      <c r="T50" s="521"/>
      <c r="U50" s="464"/>
    </row>
    <row r="51" ht="15.75" customHeight="1">
      <c r="B51" s="468"/>
      <c r="C51" s="468" t="s">
        <v>199</v>
      </c>
      <c r="D51" s="470">
        <v>0.0</v>
      </c>
      <c r="E51" s="545">
        <f t="shared" si="10"/>
        <v>0</v>
      </c>
      <c r="F51" s="527"/>
      <c r="G51" s="545">
        <v>0.0</v>
      </c>
      <c r="H51" s="526"/>
      <c r="I51" s="528"/>
      <c r="J51" s="470">
        <v>0.0</v>
      </c>
      <c r="K51" s="545">
        <f t="shared" si="11"/>
        <v>0</v>
      </c>
      <c r="L51" s="527"/>
      <c r="M51" s="545">
        <v>0.0</v>
      </c>
      <c r="N51" s="526"/>
      <c r="O51" s="528"/>
      <c r="P51" s="472"/>
      <c r="Q51" s="554" t="str">
        <f t="shared" si="12"/>
        <v>#DIV/0!</v>
      </c>
      <c r="R51" s="527"/>
      <c r="S51" s="545">
        <v>0.0</v>
      </c>
      <c r="T51" s="526"/>
      <c r="U51" s="528"/>
    </row>
    <row r="52" ht="15.75" customHeight="1">
      <c r="B52" s="623"/>
      <c r="C52" s="623" t="s">
        <v>200</v>
      </c>
      <c r="D52" s="624">
        <f>SUM(D46:D51)</f>
        <v>47889.29</v>
      </c>
      <c r="E52" s="625">
        <f t="shared" si="10"/>
        <v>0.05570154278</v>
      </c>
      <c r="F52" s="624">
        <f>SUM(F46:F51)</f>
        <v>0</v>
      </c>
      <c r="G52" s="625" t="str">
        <f>F52/F$29</f>
        <v>#DIV/0!</v>
      </c>
      <c r="H52" s="626">
        <f>SUM(H46:H51)</f>
        <v>0</v>
      </c>
      <c r="I52" s="626"/>
      <c r="J52" s="624">
        <f>SUM(J46:J51)</f>
        <v>43391</v>
      </c>
      <c r="K52" s="625">
        <f t="shared" si="11"/>
        <v>0.05373498452</v>
      </c>
      <c r="L52" s="624">
        <f>SUM(L46:L51)</f>
        <v>0</v>
      </c>
      <c r="M52" s="625" t="str">
        <f>L52/L$29</f>
        <v>#DIV/0!</v>
      </c>
      <c r="N52" s="626">
        <f>SUM(N46:N51)</f>
        <v>0</v>
      </c>
      <c r="O52" s="626"/>
      <c r="P52" s="624">
        <f>SUM(P46:P51)</f>
        <v>0</v>
      </c>
      <c r="Q52" s="625" t="str">
        <f t="shared" si="12"/>
        <v>#DIV/0!</v>
      </c>
      <c r="R52" s="624">
        <f>SUM(R46:R51)</f>
        <v>0</v>
      </c>
      <c r="S52" s="625" t="str">
        <f>R52/R$29</f>
        <v>#DIV/0!</v>
      </c>
      <c r="T52" s="626">
        <f>SUM(T46:T51)</f>
        <v>0</v>
      </c>
      <c r="U52" s="626"/>
    </row>
    <row r="53" ht="15.75" customHeight="1">
      <c r="B53" s="481"/>
      <c r="C53" s="481"/>
      <c r="D53" s="448"/>
      <c r="E53" s="522"/>
      <c r="F53" s="523"/>
      <c r="G53" s="522"/>
      <c r="H53" s="522"/>
      <c r="I53" s="524"/>
      <c r="J53" s="448"/>
      <c r="K53" s="522"/>
      <c r="L53" s="523"/>
      <c r="M53" s="522"/>
      <c r="N53" s="522"/>
      <c r="O53" s="524"/>
      <c r="P53" s="482"/>
      <c r="Q53" s="574"/>
      <c r="R53" s="523"/>
      <c r="S53" s="522"/>
      <c r="T53" s="522"/>
      <c r="U53" s="524"/>
    </row>
    <row r="54" ht="15.75" customHeight="1">
      <c r="A54" s="126"/>
      <c r="B54" s="477"/>
      <c r="C54" s="492" t="s">
        <v>205</v>
      </c>
      <c r="D54" s="475">
        <f>SUM(D55:D62)</f>
        <v>89556.69</v>
      </c>
      <c r="E54" s="581">
        <f t="shared" ref="E54:E55" si="13">D54/D$29</f>
        <v>0.1041662092</v>
      </c>
      <c r="F54" s="475">
        <f>SUM(F55:F62)</f>
        <v>0</v>
      </c>
      <c r="G54" s="581" t="str">
        <f t="shared" ref="G54:G55" si="14">F54/F$29</f>
        <v>#DIV/0!</v>
      </c>
      <c r="H54" s="627">
        <f>SUM(H55:H62)</f>
        <v>0</v>
      </c>
      <c r="I54" s="442"/>
      <c r="J54" s="475">
        <f>SUM(J55:J62)</f>
        <v>89697</v>
      </c>
      <c r="K54" s="581">
        <f t="shared" ref="K54:K55" si="15">J54/J$29</f>
        <v>0.1110798762</v>
      </c>
      <c r="L54" s="475">
        <f>SUM(L55:L62)</f>
        <v>0</v>
      </c>
      <c r="M54" s="581" t="str">
        <f t="shared" ref="M54:M55" si="16">L54/L$29</f>
        <v>#DIV/0!</v>
      </c>
      <c r="N54" s="627">
        <f>SUM(N55:N62)</f>
        <v>0</v>
      </c>
      <c r="O54" s="442"/>
      <c r="P54" s="475">
        <f>SUM(P55:P62)</f>
        <v>0</v>
      </c>
      <c r="Q54" s="581" t="str">
        <f t="shared" ref="Q54:Q55" si="17">P54/P$29</f>
        <v>#DIV/0!</v>
      </c>
      <c r="R54" s="475">
        <f>SUM(R55:R62)</f>
        <v>0</v>
      </c>
      <c r="S54" s="581" t="str">
        <f t="shared" ref="S54:S55" si="18">R54/R$29</f>
        <v>#DIV/0!</v>
      </c>
      <c r="T54" s="627">
        <f>SUM(T55:T62)</f>
        <v>0</v>
      </c>
      <c r="U54" s="442"/>
    </row>
    <row r="55" ht="15.75" customHeight="1">
      <c r="B55" s="481"/>
      <c r="C55" s="481" t="s">
        <v>268</v>
      </c>
      <c r="D55" s="448"/>
      <c r="E55" s="533">
        <f t="shared" si="13"/>
        <v>0</v>
      </c>
      <c r="F55" s="523"/>
      <c r="G55" s="533" t="str">
        <f t="shared" si="14"/>
        <v>#DIV/0!</v>
      </c>
      <c r="H55" s="522"/>
      <c r="I55" s="524"/>
      <c r="J55" s="448"/>
      <c r="K55" s="533">
        <f t="shared" si="15"/>
        <v>0</v>
      </c>
      <c r="L55" s="523"/>
      <c r="M55" s="533" t="str">
        <f t="shared" si="16"/>
        <v>#DIV/0!</v>
      </c>
      <c r="N55" s="522"/>
      <c r="O55" s="524"/>
      <c r="P55" s="482"/>
      <c r="Q55" s="535" t="str">
        <f t="shared" si="17"/>
        <v>#DIV/0!</v>
      </c>
      <c r="R55" s="523"/>
      <c r="S55" s="533" t="str">
        <f t="shared" si="18"/>
        <v>#DIV/0!</v>
      </c>
      <c r="T55" s="522"/>
      <c r="U55" s="524"/>
    </row>
    <row r="56" ht="15.75" customHeight="1">
      <c r="B56" s="450"/>
      <c r="C56" s="508" t="s">
        <v>269</v>
      </c>
      <c r="D56" s="452"/>
      <c r="E56" s="538"/>
      <c r="F56" s="501"/>
      <c r="G56" s="538"/>
      <c r="H56" s="521"/>
      <c r="I56" s="464"/>
      <c r="J56" s="452"/>
      <c r="K56" s="538"/>
      <c r="L56" s="501"/>
      <c r="M56" s="538"/>
      <c r="N56" s="521"/>
      <c r="O56" s="464"/>
      <c r="P56" s="459"/>
      <c r="Q56" s="541"/>
      <c r="R56" s="501"/>
      <c r="S56" s="538"/>
      <c r="T56" s="521"/>
      <c r="U56" s="464"/>
    </row>
    <row r="57" ht="15.75" customHeight="1">
      <c r="B57" s="450"/>
      <c r="C57" s="450" t="s">
        <v>212</v>
      </c>
      <c r="D57" s="452"/>
      <c r="E57" s="538">
        <f t="shared" ref="E57:E62" si="19">D57/D$29</f>
        <v>0</v>
      </c>
      <c r="F57" s="501"/>
      <c r="G57" s="538" t="str">
        <f t="shared" ref="G57:G61" si="20">F57/F$29</f>
        <v>#DIV/0!</v>
      </c>
      <c r="H57" s="521"/>
      <c r="I57" s="464"/>
      <c r="J57" s="452"/>
      <c r="K57" s="538">
        <f t="shared" ref="K57:K62" si="21">J57/J$29</f>
        <v>0</v>
      </c>
      <c r="L57" s="501"/>
      <c r="M57" s="538" t="str">
        <f t="shared" ref="M57:M61" si="22">L57/L$29</f>
        <v>#DIV/0!</v>
      </c>
      <c r="N57" s="521"/>
      <c r="O57" s="464"/>
      <c r="P57" s="459"/>
      <c r="Q57" s="541" t="str">
        <f t="shared" ref="Q57:Q62" si="23">P57/P$29</f>
        <v>#DIV/0!</v>
      </c>
      <c r="R57" s="501"/>
      <c r="S57" s="538" t="str">
        <f t="shared" ref="S57:S61" si="24">R57/R$29</f>
        <v>#DIV/0!</v>
      </c>
      <c r="T57" s="521"/>
      <c r="U57" s="464"/>
    </row>
    <row r="58" ht="15.75" customHeight="1">
      <c r="B58" s="450"/>
      <c r="C58" s="508" t="s">
        <v>213</v>
      </c>
      <c r="D58" s="452"/>
      <c r="E58" s="538">
        <f t="shared" si="19"/>
        <v>0</v>
      </c>
      <c r="F58" s="501"/>
      <c r="G58" s="538" t="str">
        <f t="shared" si="20"/>
        <v>#DIV/0!</v>
      </c>
      <c r="H58" s="521"/>
      <c r="I58" s="464"/>
      <c r="J58" s="452"/>
      <c r="K58" s="538">
        <f t="shared" si="21"/>
        <v>0</v>
      </c>
      <c r="L58" s="501"/>
      <c r="M58" s="538" t="str">
        <f t="shared" si="22"/>
        <v>#DIV/0!</v>
      </c>
      <c r="N58" s="521"/>
      <c r="O58" s="464"/>
      <c r="P58" s="459"/>
      <c r="Q58" s="541" t="str">
        <f t="shared" si="23"/>
        <v>#DIV/0!</v>
      </c>
      <c r="R58" s="501"/>
      <c r="S58" s="538" t="str">
        <f t="shared" si="24"/>
        <v>#DIV/0!</v>
      </c>
      <c r="T58" s="521"/>
      <c r="U58" s="464"/>
    </row>
    <row r="59" ht="15.75" customHeight="1">
      <c r="B59" s="450"/>
      <c r="C59" s="450" t="s">
        <v>285</v>
      </c>
      <c r="D59" s="452"/>
      <c r="E59" s="538">
        <f t="shared" si="19"/>
        <v>0</v>
      </c>
      <c r="F59" s="501"/>
      <c r="G59" s="538" t="str">
        <f t="shared" si="20"/>
        <v>#DIV/0!</v>
      </c>
      <c r="H59" s="521"/>
      <c r="I59" s="464"/>
      <c r="J59" s="452"/>
      <c r="K59" s="538">
        <f t="shared" si="21"/>
        <v>0</v>
      </c>
      <c r="L59" s="501"/>
      <c r="M59" s="538" t="str">
        <f t="shared" si="22"/>
        <v>#DIV/0!</v>
      </c>
      <c r="N59" s="521"/>
      <c r="O59" s="464"/>
      <c r="P59" s="459"/>
      <c r="Q59" s="541" t="str">
        <f t="shared" si="23"/>
        <v>#DIV/0!</v>
      </c>
      <c r="R59" s="501"/>
      <c r="S59" s="538" t="str">
        <f t="shared" si="24"/>
        <v>#DIV/0!</v>
      </c>
      <c r="T59" s="521"/>
      <c r="U59" s="464"/>
    </row>
    <row r="60" ht="15.75" customHeight="1">
      <c r="A60" s="126"/>
      <c r="B60" s="450"/>
      <c r="C60" s="450" t="s">
        <v>286</v>
      </c>
      <c r="D60" s="452"/>
      <c r="E60" s="538">
        <f t="shared" si="19"/>
        <v>0</v>
      </c>
      <c r="F60" s="501"/>
      <c r="G60" s="538" t="str">
        <f t="shared" si="20"/>
        <v>#DIV/0!</v>
      </c>
      <c r="H60" s="521"/>
      <c r="I60" s="464"/>
      <c r="J60" s="452"/>
      <c r="K60" s="538">
        <f t="shared" si="21"/>
        <v>0</v>
      </c>
      <c r="L60" s="501"/>
      <c r="M60" s="538" t="str">
        <f t="shared" si="22"/>
        <v>#DIV/0!</v>
      </c>
      <c r="N60" s="521"/>
      <c r="O60" s="464"/>
      <c r="P60" s="459"/>
      <c r="Q60" s="541" t="str">
        <f t="shared" si="23"/>
        <v>#DIV/0!</v>
      </c>
      <c r="R60" s="501"/>
      <c r="S60" s="538" t="str">
        <f t="shared" si="24"/>
        <v>#DIV/0!</v>
      </c>
      <c r="T60" s="521"/>
      <c r="U60" s="464"/>
    </row>
    <row r="61" ht="15.75" customHeight="1">
      <c r="A61" s="126"/>
      <c r="B61" s="450"/>
      <c r="C61" s="450" t="s">
        <v>207</v>
      </c>
      <c r="D61" s="452"/>
      <c r="E61" s="538">
        <f t="shared" si="19"/>
        <v>0</v>
      </c>
      <c r="F61" s="501"/>
      <c r="G61" s="538" t="str">
        <f t="shared" si="20"/>
        <v>#DIV/0!</v>
      </c>
      <c r="H61" s="521"/>
      <c r="I61" s="464"/>
      <c r="J61" s="452"/>
      <c r="K61" s="538">
        <f t="shared" si="21"/>
        <v>0</v>
      </c>
      <c r="L61" s="501"/>
      <c r="M61" s="538" t="str">
        <f t="shared" si="22"/>
        <v>#DIV/0!</v>
      </c>
      <c r="N61" s="521"/>
      <c r="O61" s="464"/>
      <c r="P61" s="459"/>
      <c r="Q61" s="541" t="str">
        <f t="shared" si="23"/>
        <v>#DIV/0!</v>
      </c>
      <c r="R61" s="501"/>
      <c r="S61" s="538" t="str">
        <f t="shared" si="24"/>
        <v>#DIV/0!</v>
      </c>
      <c r="T61" s="521"/>
      <c r="U61" s="464"/>
    </row>
    <row r="62" ht="15.75" customHeight="1">
      <c r="B62" s="450"/>
      <c r="C62" s="450" t="s">
        <v>271</v>
      </c>
      <c r="D62" s="452">
        <v>89556.69</v>
      </c>
      <c r="E62" s="538">
        <f t="shared" si="19"/>
        <v>0.1041662092</v>
      </c>
      <c r="F62" s="501"/>
      <c r="G62" s="538"/>
      <c r="H62" s="521"/>
      <c r="I62" s="464"/>
      <c r="J62" s="452">
        <v>89697.0</v>
      </c>
      <c r="K62" s="538">
        <f t="shared" si="21"/>
        <v>0.1110798762</v>
      </c>
      <c r="L62" s="501"/>
      <c r="M62" s="538"/>
      <c r="N62" s="521"/>
      <c r="O62" s="464"/>
      <c r="P62" s="459"/>
      <c r="Q62" s="541" t="str">
        <f t="shared" si="23"/>
        <v>#DIV/0!</v>
      </c>
      <c r="R62" s="501"/>
      <c r="S62" s="538"/>
      <c r="T62" s="521"/>
      <c r="U62" s="464"/>
    </row>
    <row r="63" ht="15.75" customHeight="1">
      <c r="A63" s="126"/>
      <c r="B63" s="468"/>
      <c r="C63" s="468"/>
      <c r="D63" s="470"/>
      <c r="E63" s="545"/>
      <c r="F63" s="527"/>
      <c r="G63" s="545"/>
      <c r="H63" s="526"/>
      <c r="I63" s="528"/>
      <c r="J63" s="470"/>
      <c r="K63" s="545"/>
      <c r="L63" s="527"/>
      <c r="M63" s="545"/>
      <c r="N63" s="526"/>
      <c r="O63" s="528"/>
      <c r="P63" s="472"/>
      <c r="Q63" s="554"/>
      <c r="R63" s="527"/>
      <c r="S63" s="545"/>
      <c r="T63" s="526"/>
      <c r="U63" s="528"/>
    </row>
    <row r="64" ht="15.75" customHeight="1">
      <c r="A64" s="126"/>
      <c r="B64" s="477"/>
      <c r="C64" s="492" t="s">
        <v>35</v>
      </c>
      <c r="D64" s="475">
        <f>SUM(D65:D67)</f>
        <v>112186.48</v>
      </c>
      <c r="E64" s="628">
        <f t="shared" ref="E64:E67" si="25">D64/D$29</f>
        <v>0.1304876313</v>
      </c>
      <c r="F64" s="493"/>
      <c r="G64" s="628" t="str">
        <f t="shared" ref="G64:G67" si="26">F64/F$29</f>
        <v>#DIV/0!</v>
      </c>
      <c r="H64" s="629">
        <f>SUM(H65:H67)</f>
        <v>0</v>
      </c>
      <c r="I64" s="629"/>
      <c r="J64" s="475">
        <f>SUM(J65:J67)</f>
        <v>116787.55</v>
      </c>
      <c r="K64" s="628">
        <f t="shared" ref="K64:K67" si="27">J64/J$29</f>
        <v>0.1446285449</v>
      </c>
      <c r="L64" s="493"/>
      <c r="M64" s="628" t="str">
        <f t="shared" ref="M64:M67" si="28">L64/L$29</f>
        <v>#DIV/0!</v>
      </c>
      <c r="N64" s="629">
        <f>SUM(N65:N67)</f>
        <v>0</v>
      </c>
      <c r="O64" s="629"/>
      <c r="P64" s="475">
        <f>SUM(P65:P67)</f>
        <v>0</v>
      </c>
      <c r="Q64" s="628" t="str">
        <f t="shared" ref="Q64:Q67" si="29">P64/P$29</f>
        <v>#DIV/0!</v>
      </c>
      <c r="R64" s="493"/>
      <c r="S64" s="628" t="str">
        <f t="shared" ref="S64:S67" si="30">R64/R$29</f>
        <v>#DIV/0!</v>
      </c>
      <c r="T64" s="629">
        <f>SUM(T65:T67)</f>
        <v>0</v>
      </c>
      <c r="U64" s="629"/>
    </row>
    <row r="65" ht="15.75" customHeight="1">
      <c r="B65" s="481"/>
      <c r="C65" s="481" t="s">
        <v>216</v>
      </c>
      <c r="D65" s="448"/>
      <c r="E65" s="533">
        <f t="shared" si="25"/>
        <v>0</v>
      </c>
      <c r="F65" s="523"/>
      <c r="G65" s="533" t="str">
        <f t="shared" si="26"/>
        <v>#DIV/0!</v>
      </c>
      <c r="H65" s="630"/>
      <c r="I65" s="631"/>
      <c r="J65" s="494"/>
      <c r="K65" s="533">
        <f t="shared" si="27"/>
        <v>0</v>
      </c>
      <c r="L65" s="523"/>
      <c r="M65" s="533" t="str">
        <f t="shared" si="28"/>
        <v>#DIV/0!</v>
      </c>
      <c r="N65" s="630"/>
      <c r="O65" s="631"/>
      <c r="P65" s="495"/>
      <c r="Q65" s="535" t="str">
        <f t="shared" si="29"/>
        <v>#DIV/0!</v>
      </c>
      <c r="R65" s="523"/>
      <c r="S65" s="533" t="str">
        <f t="shared" si="30"/>
        <v>#DIV/0!</v>
      </c>
      <c r="T65" s="630"/>
      <c r="U65" s="631"/>
    </row>
    <row r="66" ht="15.75" customHeight="1">
      <c r="B66" s="450"/>
      <c r="C66" s="450" t="s">
        <v>287</v>
      </c>
      <c r="D66" s="452">
        <v>68579.86</v>
      </c>
      <c r="E66" s="538">
        <f t="shared" si="25"/>
        <v>0.07976739696</v>
      </c>
      <c r="F66" s="501"/>
      <c r="G66" s="538" t="str">
        <f t="shared" si="26"/>
        <v>#DIV/0!</v>
      </c>
      <c r="H66" s="242"/>
      <c r="I66" s="632"/>
      <c r="J66" s="613">
        <v>64635.78</v>
      </c>
      <c r="K66" s="541">
        <f t="shared" si="27"/>
        <v>0.0800443096</v>
      </c>
      <c r="L66" s="501"/>
      <c r="M66" s="538" t="str">
        <f t="shared" si="28"/>
        <v>#DIV/0!</v>
      </c>
      <c r="N66" s="242"/>
      <c r="O66" s="633"/>
      <c r="P66" s="498"/>
      <c r="Q66" s="541" t="str">
        <f t="shared" si="29"/>
        <v>#DIV/0!</v>
      </c>
      <c r="R66" s="501"/>
      <c r="S66" s="538" t="str">
        <f t="shared" si="30"/>
        <v>#DIV/0!</v>
      </c>
      <c r="T66" s="242"/>
      <c r="U66" s="633"/>
    </row>
    <row r="67" ht="15.75" customHeight="1">
      <c r="B67" s="450"/>
      <c r="C67" s="450" t="s">
        <v>288</v>
      </c>
      <c r="D67" s="452">
        <v>43606.62</v>
      </c>
      <c r="E67" s="538">
        <f t="shared" si="25"/>
        <v>0.0507202343</v>
      </c>
      <c r="F67" s="501"/>
      <c r="G67" s="538" t="str">
        <f t="shared" si="26"/>
        <v>#DIV/0!</v>
      </c>
      <c r="H67" s="242"/>
      <c r="I67" s="632"/>
      <c r="J67" s="613">
        <v>52151.77</v>
      </c>
      <c r="K67" s="541">
        <f t="shared" si="27"/>
        <v>0.06458423529</v>
      </c>
      <c r="L67" s="501"/>
      <c r="M67" s="538" t="str">
        <f t="shared" si="28"/>
        <v>#DIV/0!</v>
      </c>
      <c r="N67" s="242"/>
      <c r="O67" s="633"/>
      <c r="P67" s="498"/>
      <c r="Q67" s="541" t="str">
        <f t="shared" si="29"/>
        <v>#DIV/0!</v>
      </c>
      <c r="R67" s="501"/>
      <c r="S67" s="538" t="str">
        <f t="shared" si="30"/>
        <v>#DIV/0!</v>
      </c>
      <c r="T67" s="242"/>
      <c r="U67" s="633"/>
    </row>
    <row r="68" ht="15.75" customHeight="1">
      <c r="B68" s="450"/>
      <c r="C68" s="450"/>
      <c r="D68" s="452"/>
      <c r="E68" s="242"/>
      <c r="F68" s="634"/>
      <c r="G68" s="242"/>
      <c r="H68" s="242"/>
      <c r="I68" s="633"/>
      <c r="J68" s="448"/>
      <c r="K68" s="242"/>
      <c r="L68" s="634"/>
      <c r="M68" s="242"/>
      <c r="N68" s="242"/>
      <c r="O68" s="633"/>
      <c r="P68" s="482"/>
      <c r="Q68" s="635"/>
      <c r="R68" s="634"/>
      <c r="S68" s="242"/>
      <c r="T68" s="242"/>
      <c r="U68" s="633"/>
    </row>
    <row r="69" ht="15.75" customHeight="1">
      <c r="B69" s="468"/>
      <c r="C69" s="468"/>
      <c r="D69" s="470"/>
      <c r="E69" s="636"/>
      <c r="F69" s="637"/>
      <c r="G69" s="636"/>
      <c r="H69" s="636"/>
      <c r="I69" s="638"/>
      <c r="J69" s="470"/>
      <c r="K69" s="636"/>
      <c r="L69" s="637"/>
      <c r="M69" s="636"/>
      <c r="N69" s="636"/>
      <c r="O69" s="638"/>
      <c r="P69" s="472"/>
      <c r="Q69" s="639"/>
      <c r="R69" s="637"/>
      <c r="S69" s="636"/>
      <c r="T69" s="636"/>
      <c r="U69" s="638"/>
    </row>
    <row r="70" ht="15.75" customHeight="1">
      <c r="A70" s="126"/>
      <c r="B70" s="477"/>
      <c r="C70" s="492" t="s">
        <v>219</v>
      </c>
      <c r="D70" s="475">
        <f t="shared" ref="D70:J70" si="31">SUM(D71:D74)</f>
        <v>103623</v>
      </c>
      <c r="E70" s="493">
        <f t="shared" si="31"/>
        <v>76212.03188</v>
      </c>
      <c r="F70" s="493">
        <f t="shared" si="31"/>
        <v>76212</v>
      </c>
      <c r="G70" s="493" t="str">
        <f t="shared" si="31"/>
        <v>#DIV/0!</v>
      </c>
      <c r="H70" s="493">
        <f t="shared" si="31"/>
        <v>76212</v>
      </c>
      <c r="I70" s="493">
        <f t="shared" si="31"/>
        <v>76212</v>
      </c>
      <c r="J70" s="475">
        <f t="shared" si="31"/>
        <v>109552</v>
      </c>
      <c r="K70" s="628">
        <f t="shared" ref="K70:K74" si="32">J70/J$29</f>
        <v>0.1356681115</v>
      </c>
      <c r="L70" s="493"/>
      <c r="M70" s="628" t="str">
        <f t="shared" ref="M70:M74" si="33">L70/L$29</f>
        <v>#DIV/0!</v>
      </c>
      <c r="N70" s="477">
        <f>SUM(N71:N74)</f>
        <v>0</v>
      </c>
      <c r="O70" s="477"/>
      <c r="P70" s="475">
        <f>SUM(P71:P74)</f>
        <v>0</v>
      </c>
      <c r="Q70" s="628" t="str">
        <f t="shared" ref="Q70:Q74" si="34">P70/P$29</f>
        <v>#DIV/0!</v>
      </c>
      <c r="R70" s="493"/>
      <c r="S70" s="628" t="str">
        <f t="shared" ref="S70:S74" si="35">R70/R$29</f>
        <v>#DIV/0!</v>
      </c>
      <c r="T70" s="477">
        <f>SUM(T71:T74)</f>
        <v>0</v>
      </c>
      <c r="U70" s="477"/>
    </row>
    <row r="71" ht="15.75" customHeight="1">
      <c r="B71" s="481"/>
      <c r="C71" s="481" t="s">
        <v>220</v>
      </c>
      <c r="D71" s="448">
        <v>75332.0</v>
      </c>
      <c r="E71" s="448">
        <v>75332.0</v>
      </c>
      <c r="F71" s="448">
        <v>75332.0</v>
      </c>
      <c r="G71" s="448">
        <v>75332.0</v>
      </c>
      <c r="H71" s="448">
        <v>75332.0</v>
      </c>
      <c r="I71" s="580">
        <v>75332.0</v>
      </c>
      <c r="J71" s="448">
        <v>86582.0</v>
      </c>
      <c r="K71" s="533">
        <f t="shared" si="32"/>
        <v>0.107222291</v>
      </c>
      <c r="L71" s="523"/>
      <c r="M71" s="533" t="str">
        <f t="shared" si="33"/>
        <v>#DIV/0!</v>
      </c>
      <c r="N71" s="630"/>
      <c r="O71" s="631"/>
      <c r="P71" s="482"/>
      <c r="Q71" s="535" t="str">
        <f t="shared" si="34"/>
        <v>#DIV/0!</v>
      </c>
      <c r="R71" s="523"/>
      <c r="S71" s="533" t="str">
        <f t="shared" si="35"/>
        <v>#DIV/0!</v>
      </c>
      <c r="T71" s="630"/>
      <c r="U71" s="631"/>
    </row>
    <row r="72" ht="15.75" customHeight="1">
      <c r="B72" s="450"/>
      <c r="C72" s="450" t="s">
        <v>221</v>
      </c>
      <c r="D72" s="452">
        <v>27411.0</v>
      </c>
      <c r="E72" s="538">
        <f>D72/D$29</f>
        <v>0.03188259816</v>
      </c>
      <c r="F72" s="501"/>
      <c r="G72" s="538" t="str">
        <f>F72/F$29</f>
        <v>#DIV/0!</v>
      </c>
      <c r="H72" s="242"/>
      <c r="I72" s="633"/>
      <c r="J72" s="452">
        <v>22090.0</v>
      </c>
      <c r="K72" s="538">
        <f t="shared" si="32"/>
        <v>0.02735603715</v>
      </c>
      <c r="L72" s="501"/>
      <c r="M72" s="538" t="str">
        <f t="shared" si="33"/>
        <v>#DIV/0!</v>
      </c>
      <c r="N72" s="242"/>
      <c r="O72" s="633"/>
      <c r="P72" s="459"/>
      <c r="Q72" s="541" t="str">
        <f t="shared" si="34"/>
        <v>#DIV/0!</v>
      </c>
      <c r="R72" s="501"/>
      <c r="S72" s="538" t="str">
        <f t="shared" si="35"/>
        <v>#DIV/0!</v>
      </c>
      <c r="T72" s="242"/>
      <c r="U72" s="633"/>
    </row>
    <row r="73" ht="15.75" customHeight="1">
      <c r="B73" s="450"/>
      <c r="C73" s="450" t="s">
        <v>222</v>
      </c>
      <c r="D73" s="452">
        <v>380.0</v>
      </c>
      <c r="E73" s="452">
        <v>380.0</v>
      </c>
      <c r="F73" s="452">
        <v>380.0</v>
      </c>
      <c r="G73" s="452">
        <v>380.0</v>
      </c>
      <c r="H73" s="452">
        <v>380.0</v>
      </c>
      <c r="I73" s="584">
        <v>380.0</v>
      </c>
      <c r="J73" s="452">
        <v>380.0</v>
      </c>
      <c r="K73" s="538">
        <f t="shared" si="32"/>
        <v>0.0004705882353</v>
      </c>
      <c r="L73" s="501"/>
      <c r="M73" s="538" t="str">
        <f t="shared" si="33"/>
        <v>#DIV/0!</v>
      </c>
      <c r="N73" s="242"/>
      <c r="O73" s="633"/>
      <c r="P73" s="459"/>
      <c r="Q73" s="541" t="str">
        <f t="shared" si="34"/>
        <v>#DIV/0!</v>
      </c>
      <c r="R73" s="501"/>
      <c r="S73" s="538" t="str">
        <f t="shared" si="35"/>
        <v>#DIV/0!</v>
      </c>
      <c r="T73" s="242"/>
      <c r="U73" s="633"/>
    </row>
    <row r="74" ht="15.75" customHeight="1">
      <c r="B74" s="450"/>
      <c r="C74" s="450" t="s">
        <v>223</v>
      </c>
      <c r="D74" s="452">
        <v>500.0</v>
      </c>
      <c r="E74" s="452">
        <v>500.0</v>
      </c>
      <c r="F74" s="452">
        <v>500.0</v>
      </c>
      <c r="G74" s="452">
        <v>500.0</v>
      </c>
      <c r="H74" s="452">
        <v>500.0</v>
      </c>
      <c r="I74" s="584">
        <v>500.0</v>
      </c>
      <c r="J74" s="452">
        <v>500.0</v>
      </c>
      <c r="K74" s="538">
        <f t="shared" si="32"/>
        <v>0.0006191950464</v>
      </c>
      <c r="L74" s="634"/>
      <c r="M74" s="538" t="str">
        <f t="shared" si="33"/>
        <v>#DIV/0!</v>
      </c>
      <c r="N74" s="242"/>
      <c r="O74" s="633"/>
      <c r="P74" s="459"/>
      <c r="Q74" s="541" t="str">
        <f t="shared" si="34"/>
        <v>#DIV/0!</v>
      </c>
      <c r="R74" s="634"/>
      <c r="S74" s="538" t="str">
        <f t="shared" si="35"/>
        <v>#DIV/0!</v>
      </c>
      <c r="T74" s="242"/>
      <c r="U74" s="633"/>
    </row>
    <row r="75" ht="15.75" customHeight="1">
      <c r="B75" s="468"/>
      <c r="C75" s="578"/>
      <c r="D75" s="470"/>
      <c r="E75" s="636"/>
      <c r="F75" s="637"/>
      <c r="G75" s="636"/>
      <c r="H75" s="636"/>
      <c r="I75" s="638"/>
      <c r="J75" s="470"/>
      <c r="K75" s="636"/>
      <c r="L75" s="637"/>
      <c r="M75" s="636"/>
      <c r="N75" s="636"/>
      <c r="O75" s="638"/>
      <c r="P75" s="472"/>
      <c r="Q75" s="639"/>
      <c r="R75" s="637"/>
      <c r="S75" s="636"/>
      <c r="T75" s="636"/>
      <c r="U75" s="638"/>
    </row>
    <row r="76" ht="15.75" customHeight="1">
      <c r="A76" s="640"/>
      <c r="B76" s="474"/>
      <c r="C76" s="492" t="s">
        <v>37</v>
      </c>
      <c r="D76" s="475">
        <f>SUM(D77:D83)</f>
        <v>343104.24</v>
      </c>
      <c r="E76" s="581">
        <f t="shared" ref="E76:E83" si="36">D76/D$29</f>
        <v>0.399075357</v>
      </c>
      <c r="F76" s="475">
        <f>SUM(F77:F83)</f>
        <v>0</v>
      </c>
      <c r="G76" s="581" t="str">
        <f t="shared" ref="G76:G83" si="37">F76/F$29</f>
        <v>#DIV/0!</v>
      </c>
      <c r="H76" s="474">
        <f>SUM(H77:H83)</f>
        <v>0</v>
      </c>
      <c r="I76" s="474"/>
      <c r="J76" s="475">
        <f>SUM(J77:J83)</f>
        <v>336606.49</v>
      </c>
      <c r="K76" s="581">
        <f t="shared" ref="K76:K83" si="38">J76/J$29</f>
        <v>0.4168501424</v>
      </c>
      <c r="L76" s="475">
        <f>SUM(L77:L83)</f>
        <v>0</v>
      </c>
      <c r="M76" s="581" t="str">
        <f t="shared" ref="M76:M83" si="39">L76/L$29</f>
        <v>#DIV/0!</v>
      </c>
      <c r="N76" s="474">
        <f>SUM(N77:N83)</f>
        <v>0</v>
      </c>
      <c r="O76" s="474"/>
      <c r="P76" s="475">
        <f>SUM(P77:P83)</f>
        <v>0</v>
      </c>
      <c r="Q76" s="581" t="str">
        <f t="shared" ref="Q76:Q83" si="40">P76/P$29</f>
        <v>#DIV/0!</v>
      </c>
      <c r="R76" s="475">
        <f>SUM(R77:R83)</f>
        <v>0</v>
      </c>
      <c r="S76" s="581" t="str">
        <f t="shared" ref="S76:S83" si="41">R76/R$29</f>
        <v>#DIV/0!</v>
      </c>
      <c r="T76" s="474">
        <f>SUM(T77:T83)</f>
        <v>0</v>
      </c>
      <c r="U76" s="474"/>
    </row>
    <row r="77" ht="15.75" customHeight="1">
      <c r="B77" s="481"/>
      <c r="C77" s="481" t="s">
        <v>224</v>
      </c>
      <c r="D77" s="448">
        <v>0.0</v>
      </c>
      <c r="E77" s="533">
        <f t="shared" si="36"/>
        <v>0</v>
      </c>
      <c r="F77" s="523"/>
      <c r="G77" s="533" t="str">
        <f t="shared" si="37"/>
        <v>#DIV/0!</v>
      </c>
      <c r="H77" s="630"/>
      <c r="I77" s="631"/>
      <c r="J77" s="494">
        <v>0.0</v>
      </c>
      <c r="K77" s="533">
        <f t="shared" si="38"/>
        <v>0</v>
      </c>
      <c r="L77" s="523"/>
      <c r="M77" s="533" t="str">
        <f t="shared" si="39"/>
        <v>#DIV/0!</v>
      </c>
      <c r="N77" s="630"/>
      <c r="O77" s="631"/>
      <c r="P77" s="495"/>
      <c r="Q77" s="535" t="str">
        <f t="shared" si="40"/>
        <v>#DIV/0!</v>
      </c>
      <c r="R77" s="523"/>
      <c r="S77" s="533" t="str">
        <f t="shared" si="41"/>
        <v>#DIV/0!</v>
      </c>
      <c r="T77" s="630"/>
      <c r="U77" s="631"/>
    </row>
    <row r="78" ht="15.75" customHeight="1">
      <c r="B78" s="450"/>
      <c r="C78" s="450" t="s">
        <v>225</v>
      </c>
      <c r="D78" s="452">
        <v>310967.0</v>
      </c>
      <c r="E78" s="538">
        <f t="shared" si="36"/>
        <v>0.3616955201</v>
      </c>
      <c r="F78" s="501"/>
      <c r="G78" s="538" t="str">
        <f t="shared" si="37"/>
        <v>#DIV/0!</v>
      </c>
      <c r="H78" s="242"/>
      <c r="I78" s="632"/>
      <c r="J78" s="613">
        <v>301951.0</v>
      </c>
      <c r="K78" s="541">
        <f t="shared" si="38"/>
        <v>0.3739331269</v>
      </c>
      <c r="L78" s="501"/>
      <c r="M78" s="538" t="str">
        <f t="shared" si="39"/>
        <v>#DIV/0!</v>
      </c>
      <c r="N78" s="242"/>
      <c r="O78" s="633"/>
      <c r="P78" s="498"/>
      <c r="Q78" s="541" t="str">
        <f t="shared" si="40"/>
        <v>#DIV/0!</v>
      </c>
      <c r="R78" s="501"/>
      <c r="S78" s="538" t="str">
        <f t="shared" si="41"/>
        <v>#DIV/0!</v>
      </c>
      <c r="T78" s="242"/>
      <c r="U78" s="633"/>
    </row>
    <row r="79" ht="15.75" customHeight="1">
      <c r="B79" s="450"/>
      <c r="C79" s="450" t="s">
        <v>226</v>
      </c>
      <c r="D79" s="452">
        <v>0.0</v>
      </c>
      <c r="E79" s="538">
        <f t="shared" si="36"/>
        <v>0</v>
      </c>
      <c r="F79" s="501"/>
      <c r="G79" s="538" t="str">
        <f t="shared" si="37"/>
        <v>#DIV/0!</v>
      </c>
      <c r="H79" s="242"/>
      <c r="I79" s="633"/>
      <c r="J79" s="494">
        <v>0.0</v>
      </c>
      <c r="K79" s="538">
        <f t="shared" si="38"/>
        <v>0</v>
      </c>
      <c r="L79" s="501"/>
      <c r="M79" s="538" t="str">
        <f t="shared" si="39"/>
        <v>#DIV/0!</v>
      </c>
      <c r="N79" s="242"/>
      <c r="O79" s="633"/>
      <c r="P79" s="495"/>
      <c r="Q79" s="541" t="str">
        <f t="shared" si="40"/>
        <v>#DIV/0!</v>
      </c>
      <c r="R79" s="501"/>
      <c r="S79" s="538" t="str">
        <f t="shared" si="41"/>
        <v>#DIV/0!</v>
      </c>
      <c r="T79" s="242"/>
      <c r="U79" s="633"/>
    </row>
    <row r="80" ht="15.75" customHeight="1">
      <c r="A80" s="126"/>
      <c r="B80" s="450"/>
      <c r="C80" s="450" t="s">
        <v>228</v>
      </c>
      <c r="D80" s="452">
        <v>10137.24</v>
      </c>
      <c r="E80" s="538">
        <f t="shared" si="36"/>
        <v>0.01179094339</v>
      </c>
      <c r="F80" s="501"/>
      <c r="G80" s="538" t="str">
        <f t="shared" si="37"/>
        <v>#DIV/0!</v>
      </c>
      <c r="H80" s="242"/>
      <c r="I80" s="632"/>
      <c r="J80" s="613">
        <v>11822.49</v>
      </c>
      <c r="K80" s="541">
        <f t="shared" si="38"/>
        <v>0.01464085449</v>
      </c>
      <c r="L80" s="501"/>
      <c r="M80" s="538" t="str">
        <f t="shared" si="39"/>
        <v>#DIV/0!</v>
      </c>
      <c r="N80" s="242"/>
      <c r="O80" s="633"/>
      <c r="P80" s="498"/>
      <c r="Q80" s="541" t="str">
        <f t="shared" si="40"/>
        <v>#DIV/0!</v>
      </c>
      <c r="R80" s="501"/>
      <c r="S80" s="538" t="str">
        <f t="shared" si="41"/>
        <v>#DIV/0!</v>
      </c>
      <c r="T80" s="242"/>
      <c r="U80" s="633"/>
    </row>
    <row r="81" ht="15.75" customHeight="1">
      <c r="B81" s="450"/>
      <c r="C81" s="450" t="s">
        <v>229</v>
      </c>
      <c r="D81" s="452">
        <v>22000.0</v>
      </c>
      <c r="E81" s="538">
        <f t="shared" si="36"/>
        <v>0.02558889349</v>
      </c>
      <c r="F81" s="501"/>
      <c r="G81" s="538" t="str">
        <f t="shared" si="37"/>
        <v>#DIV/0!</v>
      </c>
      <c r="H81" s="242"/>
      <c r="I81" s="632"/>
      <c r="J81" s="613">
        <f>22000+833</f>
        <v>22833</v>
      </c>
      <c r="K81" s="541">
        <f t="shared" si="38"/>
        <v>0.02827616099</v>
      </c>
      <c r="L81" s="501"/>
      <c r="M81" s="538" t="str">
        <f t="shared" si="39"/>
        <v>#DIV/0!</v>
      </c>
      <c r="N81" s="242"/>
      <c r="O81" s="633"/>
      <c r="P81" s="498"/>
      <c r="Q81" s="541" t="str">
        <f t="shared" si="40"/>
        <v>#DIV/0!</v>
      </c>
      <c r="R81" s="501"/>
      <c r="S81" s="538" t="str">
        <f t="shared" si="41"/>
        <v>#DIV/0!</v>
      </c>
      <c r="T81" s="242"/>
      <c r="U81" s="633"/>
    </row>
    <row r="82" ht="15.75" customHeight="1">
      <c r="B82" s="450"/>
      <c r="C82" s="450" t="s">
        <v>230</v>
      </c>
      <c r="D82" s="452">
        <v>0.0</v>
      </c>
      <c r="E82" s="538">
        <f t="shared" si="36"/>
        <v>0</v>
      </c>
      <c r="F82" s="501"/>
      <c r="G82" s="538" t="str">
        <f t="shared" si="37"/>
        <v>#DIV/0!</v>
      </c>
      <c r="H82" s="242"/>
      <c r="I82" s="633"/>
      <c r="J82" s="448">
        <v>0.0</v>
      </c>
      <c r="K82" s="538">
        <f t="shared" si="38"/>
        <v>0</v>
      </c>
      <c r="L82" s="501"/>
      <c r="M82" s="538" t="str">
        <f t="shared" si="39"/>
        <v>#DIV/0!</v>
      </c>
      <c r="N82" s="242"/>
      <c r="O82" s="633"/>
      <c r="P82" s="482"/>
      <c r="Q82" s="541" t="str">
        <f t="shared" si="40"/>
        <v>#DIV/0!</v>
      </c>
      <c r="R82" s="501"/>
      <c r="S82" s="538" t="str">
        <f t="shared" si="41"/>
        <v>#DIV/0!</v>
      </c>
      <c r="T82" s="242"/>
      <c r="U82" s="633"/>
    </row>
    <row r="83" ht="15.75" customHeight="1">
      <c r="B83" s="450"/>
      <c r="C83" s="450" t="s">
        <v>231</v>
      </c>
      <c r="D83" s="452">
        <v>0.0</v>
      </c>
      <c r="E83" s="538">
        <f t="shared" si="36"/>
        <v>0</v>
      </c>
      <c r="F83" s="501"/>
      <c r="G83" s="538" t="str">
        <f t="shared" si="37"/>
        <v>#DIV/0!</v>
      </c>
      <c r="H83" s="242"/>
      <c r="I83" s="633"/>
      <c r="J83" s="452">
        <v>0.0</v>
      </c>
      <c r="K83" s="538">
        <f t="shared" si="38"/>
        <v>0</v>
      </c>
      <c r="L83" s="501"/>
      <c r="M83" s="538" t="str">
        <f t="shared" si="39"/>
        <v>#DIV/0!</v>
      </c>
      <c r="N83" s="242"/>
      <c r="O83" s="633"/>
      <c r="P83" s="459"/>
      <c r="Q83" s="541" t="str">
        <f t="shared" si="40"/>
        <v>#DIV/0!</v>
      </c>
      <c r="R83" s="501"/>
      <c r="S83" s="538" t="str">
        <f t="shared" si="41"/>
        <v>#DIV/0!</v>
      </c>
      <c r="T83" s="242"/>
      <c r="U83" s="633"/>
    </row>
    <row r="84" ht="15.75" customHeight="1">
      <c r="B84" s="450"/>
      <c r="C84" s="450" t="s">
        <v>232</v>
      </c>
      <c r="D84" s="452"/>
      <c r="E84" s="242"/>
      <c r="F84" s="634"/>
      <c r="G84" s="242"/>
      <c r="H84" s="242"/>
      <c r="I84" s="633"/>
      <c r="J84" s="452"/>
      <c r="K84" s="242"/>
      <c r="L84" s="634"/>
      <c r="M84" s="242"/>
      <c r="N84" s="242"/>
      <c r="O84" s="633"/>
      <c r="P84" s="459"/>
      <c r="Q84" s="635"/>
      <c r="R84" s="634"/>
      <c r="S84" s="242"/>
      <c r="T84" s="242"/>
      <c r="U84" s="633"/>
    </row>
    <row r="85" ht="15.75" customHeight="1">
      <c r="B85" s="468"/>
      <c r="C85" s="578"/>
      <c r="D85" s="470"/>
      <c r="E85" s="636"/>
      <c r="F85" s="637"/>
      <c r="G85" s="636"/>
      <c r="H85" s="636"/>
      <c r="I85" s="638"/>
      <c r="J85" s="470"/>
      <c r="K85" s="636"/>
      <c r="L85" s="637"/>
      <c r="M85" s="636"/>
      <c r="N85" s="636"/>
      <c r="O85" s="638"/>
      <c r="P85" s="472"/>
      <c r="Q85" s="639"/>
      <c r="R85" s="637"/>
      <c r="S85" s="636"/>
      <c r="T85" s="636"/>
      <c r="U85" s="638"/>
    </row>
    <row r="86" ht="15.75" customHeight="1">
      <c r="A86" s="126"/>
      <c r="B86" s="477"/>
      <c r="C86" s="492" t="s">
        <v>38</v>
      </c>
      <c r="D86" s="493">
        <f>SUM(D87)</f>
        <v>0</v>
      </c>
      <c r="E86" s="628">
        <f>D86/D$29</f>
        <v>0</v>
      </c>
      <c r="F86" s="641">
        <f>SUM(F87)</f>
        <v>0</v>
      </c>
      <c r="G86" s="477"/>
      <c r="H86" s="477">
        <f>SUM(H87)</f>
        <v>0</v>
      </c>
      <c r="I86" s="477"/>
      <c r="J86" s="493">
        <f>SUM(J87)</f>
        <v>0</v>
      </c>
      <c r="K86" s="628">
        <f>J86/J$29</f>
        <v>0</v>
      </c>
      <c r="L86" s="641">
        <f>SUM(L87)</f>
        <v>0</v>
      </c>
      <c r="M86" s="477"/>
      <c r="N86" s="477">
        <f>SUM(N87)</f>
        <v>0</v>
      </c>
      <c r="O86" s="477"/>
      <c r="P86" s="493">
        <f>SUM(P87)</f>
        <v>0</v>
      </c>
      <c r="Q86" s="628" t="str">
        <f>P86/P$29</f>
        <v>#DIV/0!</v>
      </c>
      <c r="R86" s="641">
        <f>SUM(R87)</f>
        <v>0</v>
      </c>
      <c r="S86" s="477"/>
      <c r="T86" s="477">
        <f>SUM(T87)</f>
        <v>0</v>
      </c>
      <c r="U86" s="477"/>
    </row>
    <row r="87" ht="15.75" customHeight="1">
      <c r="B87" s="481"/>
      <c r="C87" s="481" t="s">
        <v>276</v>
      </c>
      <c r="D87" s="448">
        <v>0.0</v>
      </c>
      <c r="E87" s="630"/>
      <c r="F87" s="642"/>
      <c r="G87" s="630"/>
      <c r="H87" s="630"/>
      <c r="I87" s="631"/>
      <c r="J87" s="448">
        <v>0.0</v>
      </c>
      <c r="K87" s="630"/>
      <c r="L87" s="642"/>
      <c r="M87" s="630"/>
      <c r="N87" s="630"/>
      <c r="O87" s="631"/>
      <c r="P87" s="482">
        <v>0.0</v>
      </c>
      <c r="Q87" s="643"/>
      <c r="R87" s="642"/>
      <c r="S87" s="630"/>
      <c r="T87" s="630"/>
      <c r="U87" s="631"/>
    </row>
    <row r="88" ht="15.75" customHeight="1">
      <c r="B88" s="468"/>
      <c r="C88" s="468"/>
      <c r="D88" s="470"/>
      <c r="E88" s="636"/>
      <c r="F88" s="637"/>
      <c r="G88" s="636"/>
      <c r="H88" s="636"/>
      <c r="I88" s="638"/>
      <c r="J88" s="470"/>
      <c r="K88" s="636"/>
      <c r="L88" s="637"/>
      <c r="M88" s="636"/>
      <c r="N88" s="636"/>
      <c r="O88" s="638"/>
      <c r="P88" s="472"/>
      <c r="Q88" s="639"/>
      <c r="R88" s="637"/>
      <c r="S88" s="636"/>
      <c r="T88" s="636"/>
      <c r="U88" s="638"/>
    </row>
    <row r="89" ht="15.75" customHeight="1">
      <c r="A89" s="126"/>
      <c r="B89" s="477"/>
      <c r="C89" s="492" t="s">
        <v>238</v>
      </c>
      <c r="D89" s="475">
        <f t="shared" ref="D89:J89" si="42">SUM(D90:D91)</f>
        <v>23091</v>
      </c>
      <c r="E89" s="493">
        <f t="shared" si="42"/>
        <v>0</v>
      </c>
      <c r="F89" s="493">
        <f t="shared" si="42"/>
        <v>0</v>
      </c>
      <c r="G89" s="493">
        <f t="shared" si="42"/>
        <v>0</v>
      </c>
      <c r="H89" s="493">
        <f t="shared" si="42"/>
        <v>0</v>
      </c>
      <c r="I89" s="493">
        <f t="shared" si="42"/>
        <v>0</v>
      </c>
      <c r="J89" s="475">
        <f t="shared" si="42"/>
        <v>23090</v>
      </c>
      <c r="K89" s="628">
        <f>J89/J$29</f>
        <v>0.02859442724</v>
      </c>
      <c r="L89" s="641">
        <f>SUM(L90:L91)</f>
        <v>0</v>
      </c>
      <c r="M89" s="477"/>
      <c r="N89" s="477">
        <f>SUM(N90:N91)</f>
        <v>0</v>
      </c>
      <c r="O89" s="477"/>
      <c r="P89" s="475">
        <f>SUM(P90:P91)</f>
        <v>0</v>
      </c>
      <c r="Q89" s="628" t="str">
        <f>P89/P$29</f>
        <v>#DIV/0!</v>
      </c>
      <c r="R89" s="641">
        <f>SUM(R90:R91)</f>
        <v>0</v>
      </c>
      <c r="S89" s="477"/>
      <c r="T89" s="477">
        <f>SUM(T90:T91)</f>
        <v>0</v>
      </c>
      <c r="U89" s="477"/>
    </row>
    <row r="90" ht="15.75" customHeight="1">
      <c r="B90" s="481"/>
      <c r="C90" s="481" t="s">
        <v>239</v>
      </c>
      <c r="D90" s="448"/>
      <c r="E90" s="630"/>
      <c r="F90" s="642"/>
      <c r="G90" s="630"/>
      <c r="H90" s="630"/>
      <c r="I90" s="631"/>
      <c r="J90" s="448"/>
      <c r="K90" s="630"/>
      <c r="L90" s="642"/>
      <c r="M90" s="630"/>
      <c r="N90" s="630"/>
      <c r="O90" s="631"/>
      <c r="P90" s="482"/>
      <c r="Q90" s="643"/>
      <c r="R90" s="642"/>
      <c r="S90" s="630"/>
      <c r="T90" s="630"/>
      <c r="U90" s="631"/>
    </row>
    <row r="91" ht="15.75" customHeight="1">
      <c r="B91" s="450"/>
      <c r="C91" s="450" t="s">
        <v>289</v>
      </c>
      <c r="D91" s="452">
        <v>23091.0</v>
      </c>
      <c r="E91" s="242"/>
      <c r="F91" s="634"/>
      <c r="G91" s="242"/>
      <c r="H91" s="242"/>
      <c r="I91" s="633"/>
      <c r="J91" s="452">
        <v>23090.0</v>
      </c>
      <c r="K91" s="242"/>
      <c r="L91" s="634"/>
      <c r="M91" s="242"/>
      <c r="N91" s="242"/>
      <c r="O91" s="633"/>
      <c r="P91" s="459"/>
      <c r="Q91" s="635"/>
      <c r="R91" s="634"/>
      <c r="S91" s="242"/>
      <c r="T91" s="242"/>
      <c r="U91" s="633"/>
    </row>
    <row r="92" ht="15.75" customHeight="1">
      <c r="B92" s="468"/>
      <c r="C92" s="468"/>
      <c r="D92" s="470"/>
      <c r="E92" s="636"/>
      <c r="F92" s="637"/>
      <c r="G92" s="636"/>
      <c r="H92" s="636"/>
      <c r="I92" s="638"/>
      <c r="J92" s="470"/>
      <c r="K92" s="636"/>
      <c r="L92" s="637"/>
      <c r="M92" s="636"/>
      <c r="N92" s="636"/>
      <c r="O92" s="638"/>
      <c r="P92" s="472"/>
      <c r="Q92" s="639"/>
      <c r="R92" s="637"/>
      <c r="S92" s="636"/>
      <c r="T92" s="636"/>
      <c r="U92" s="638"/>
    </row>
    <row r="93" ht="15.75" customHeight="1">
      <c r="A93" s="126"/>
      <c r="B93" s="477"/>
      <c r="C93" s="492" t="s">
        <v>40</v>
      </c>
      <c r="D93" s="475">
        <f>SUM(D94:D103)</f>
        <v>125277</v>
      </c>
      <c r="E93" s="581">
        <f t="shared" ref="E93:E104" si="43">D93/D$29</f>
        <v>0.1457136277</v>
      </c>
      <c r="F93" s="644">
        <f>SUM(F94:F103)</f>
        <v>0</v>
      </c>
      <c r="G93" s="474"/>
      <c r="H93" s="474">
        <f>SUM(H94:H103)</f>
        <v>0</v>
      </c>
      <c r="I93" s="474"/>
      <c r="J93" s="475">
        <f>SUM(J94:J103)</f>
        <v>30642</v>
      </c>
      <c r="K93" s="581">
        <f t="shared" ref="K93:K104" si="44">J93/J$29</f>
        <v>0.03794674923</v>
      </c>
      <c r="L93" s="644">
        <f>SUM(L94:L103)</f>
        <v>0</v>
      </c>
      <c r="M93" s="474"/>
      <c r="N93" s="474">
        <f>SUM(N94:N103)</f>
        <v>0</v>
      </c>
      <c r="O93" s="474"/>
      <c r="P93" s="475">
        <f>SUM(P94:P103)</f>
        <v>0</v>
      </c>
      <c r="Q93" s="581" t="str">
        <f t="shared" ref="Q93:Q104" si="45">P93/P$29</f>
        <v>#DIV/0!</v>
      </c>
      <c r="R93" s="644">
        <f>SUM(R94:R103)</f>
        <v>0</v>
      </c>
      <c r="S93" s="474"/>
      <c r="T93" s="474">
        <f>SUM(T94:T103)</f>
        <v>0</v>
      </c>
      <c r="U93" s="474"/>
    </row>
    <row r="94" ht="15.75" customHeight="1">
      <c r="B94" s="481"/>
      <c r="C94" s="481" t="s">
        <v>241</v>
      </c>
      <c r="D94" s="448">
        <v>0.0</v>
      </c>
      <c r="E94" s="533">
        <f t="shared" si="43"/>
        <v>0</v>
      </c>
      <c r="F94" s="642"/>
      <c r="G94" s="630"/>
      <c r="H94" s="630"/>
      <c r="I94" s="631"/>
      <c r="J94" s="448">
        <v>0.0</v>
      </c>
      <c r="K94" s="533">
        <f t="shared" si="44"/>
        <v>0</v>
      </c>
      <c r="L94" s="642"/>
      <c r="M94" s="630"/>
      <c r="N94" s="630"/>
      <c r="O94" s="631"/>
      <c r="P94" s="482"/>
      <c r="Q94" s="535" t="str">
        <f t="shared" si="45"/>
        <v>#DIV/0!</v>
      </c>
      <c r="R94" s="642"/>
      <c r="S94" s="630"/>
      <c r="T94" s="630"/>
      <c r="U94" s="631"/>
    </row>
    <row r="95" ht="15.75" customHeight="1">
      <c r="B95" s="450"/>
      <c r="C95" s="450" t="s">
        <v>242</v>
      </c>
      <c r="D95" s="452">
        <v>1449.0</v>
      </c>
      <c r="E95" s="538">
        <f t="shared" si="43"/>
        <v>0.001685377576</v>
      </c>
      <c r="F95" s="634"/>
      <c r="G95" s="242"/>
      <c r="H95" s="242"/>
      <c r="I95" s="633"/>
      <c r="J95" s="452">
        <v>0.0</v>
      </c>
      <c r="K95" s="538">
        <f t="shared" si="44"/>
        <v>0</v>
      </c>
      <c r="L95" s="634"/>
      <c r="M95" s="242"/>
      <c r="N95" s="242"/>
      <c r="O95" s="633"/>
      <c r="P95" s="459"/>
      <c r="Q95" s="541" t="str">
        <f t="shared" si="45"/>
        <v>#DIV/0!</v>
      </c>
      <c r="R95" s="634"/>
      <c r="S95" s="242"/>
      <c r="T95" s="242"/>
      <c r="U95" s="633"/>
    </row>
    <row r="96" ht="15.75" customHeight="1">
      <c r="B96" s="450"/>
      <c r="C96" s="450" t="s">
        <v>243</v>
      </c>
      <c r="D96" s="452">
        <v>0.0</v>
      </c>
      <c r="E96" s="538">
        <f t="shared" si="43"/>
        <v>0</v>
      </c>
      <c r="F96" s="634"/>
      <c r="G96" s="242"/>
      <c r="H96" s="242"/>
      <c r="I96" s="633"/>
      <c r="J96" s="452">
        <v>0.0</v>
      </c>
      <c r="K96" s="538">
        <f t="shared" si="44"/>
        <v>0</v>
      </c>
      <c r="L96" s="634"/>
      <c r="M96" s="242"/>
      <c r="N96" s="242"/>
      <c r="O96" s="633"/>
      <c r="P96" s="459"/>
      <c r="Q96" s="541" t="str">
        <f t="shared" si="45"/>
        <v>#DIV/0!</v>
      </c>
      <c r="R96" s="634"/>
      <c r="S96" s="242"/>
      <c r="T96" s="242"/>
      <c r="U96" s="633"/>
    </row>
    <row r="97" ht="15.75" customHeight="1">
      <c r="B97" s="450"/>
      <c r="C97" s="450" t="s">
        <v>244</v>
      </c>
      <c r="D97" s="452">
        <v>0.0</v>
      </c>
      <c r="E97" s="538">
        <f t="shared" si="43"/>
        <v>0</v>
      </c>
      <c r="F97" s="634"/>
      <c r="G97" s="242"/>
      <c r="H97" s="242"/>
      <c r="I97" s="633"/>
      <c r="J97" s="452">
        <v>0.0</v>
      </c>
      <c r="K97" s="538">
        <f t="shared" si="44"/>
        <v>0</v>
      </c>
      <c r="L97" s="634"/>
      <c r="M97" s="242"/>
      <c r="N97" s="242"/>
      <c r="O97" s="633"/>
      <c r="P97" s="459"/>
      <c r="Q97" s="541" t="str">
        <f t="shared" si="45"/>
        <v>#DIV/0!</v>
      </c>
      <c r="R97" s="634"/>
      <c r="S97" s="242"/>
      <c r="T97" s="242"/>
      <c r="U97" s="633"/>
    </row>
    <row r="98" ht="15.75" customHeight="1">
      <c r="B98" s="450"/>
      <c r="C98" s="450" t="s">
        <v>290</v>
      </c>
      <c r="D98" s="452">
        <v>0.0</v>
      </c>
      <c r="E98" s="538">
        <f t="shared" si="43"/>
        <v>0</v>
      </c>
      <c r="F98" s="634"/>
      <c r="G98" s="242"/>
      <c r="H98" s="242"/>
      <c r="I98" s="633"/>
      <c r="J98" s="452">
        <v>0.0</v>
      </c>
      <c r="K98" s="538">
        <f t="shared" si="44"/>
        <v>0</v>
      </c>
      <c r="L98" s="634"/>
      <c r="M98" s="242"/>
      <c r="N98" s="242"/>
      <c r="O98" s="633"/>
      <c r="P98" s="459"/>
      <c r="Q98" s="541" t="str">
        <f t="shared" si="45"/>
        <v>#DIV/0!</v>
      </c>
      <c r="R98" s="634"/>
      <c r="S98" s="242"/>
      <c r="T98" s="242"/>
      <c r="U98" s="633"/>
    </row>
    <row r="99" ht="15.75" customHeight="1">
      <c r="B99" s="450"/>
      <c r="C99" s="450" t="s">
        <v>247</v>
      </c>
      <c r="D99" s="452">
        <v>115741.0</v>
      </c>
      <c r="E99" s="538">
        <f t="shared" si="43"/>
        <v>0.1346220055</v>
      </c>
      <c r="F99" s="634"/>
      <c r="G99" s="242"/>
      <c r="H99" s="242"/>
      <c r="I99" s="633"/>
      <c r="J99" s="452">
        <v>22000.0</v>
      </c>
      <c r="K99" s="538">
        <f t="shared" si="44"/>
        <v>0.02724458204</v>
      </c>
      <c r="L99" s="634"/>
      <c r="M99" s="242"/>
      <c r="N99" s="242"/>
      <c r="O99" s="633"/>
      <c r="P99" s="459"/>
      <c r="Q99" s="541" t="str">
        <f t="shared" si="45"/>
        <v>#DIV/0!</v>
      </c>
      <c r="R99" s="634"/>
      <c r="S99" s="242"/>
      <c r="T99" s="242"/>
      <c r="U99" s="633"/>
    </row>
    <row r="100" ht="15.75" customHeight="1">
      <c r="B100" s="450"/>
      <c r="C100" s="450" t="s">
        <v>249</v>
      </c>
      <c r="D100" s="452">
        <v>0.0</v>
      </c>
      <c r="E100" s="538">
        <f t="shared" si="43"/>
        <v>0</v>
      </c>
      <c r="F100" s="634"/>
      <c r="G100" s="242"/>
      <c r="H100" s="242"/>
      <c r="I100" s="633"/>
      <c r="J100" s="452">
        <v>0.0</v>
      </c>
      <c r="K100" s="538">
        <f t="shared" si="44"/>
        <v>0</v>
      </c>
      <c r="L100" s="634"/>
      <c r="M100" s="242"/>
      <c r="N100" s="242"/>
      <c r="O100" s="633"/>
      <c r="P100" s="459"/>
      <c r="Q100" s="541" t="str">
        <f t="shared" si="45"/>
        <v>#DIV/0!</v>
      </c>
      <c r="R100" s="634"/>
      <c r="S100" s="242"/>
      <c r="T100" s="242"/>
      <c r="U100" s="633"/>
    </row>
    <row r="101" ht="15.75" customHeight="1">
      <c r="A101" s="126"/>
      <c r="B101" s="450"/>
      <c r="C101" s="450" t="s">
        <v>250</v>
      </c>
      <c r="D101" s="452">
        <v>8087.0</v>
      </c>
      <c r="E101" s="538">
        <f t="shared" si="43"/>
        <v>0.009406244621</v>
      </c>
      <c r="F101" s="634"/>
      <c r="G101" s="242"/>
      <c r="H101" s="242"/>
      <c r="I101" s="633"/>
      <c r="J101" s="452">
        <v>8642.0</v>
      </c>
      <c r="K101" s="538">
        <f t="shared" si="44"/>
        <v>0.01070216718</v>
      </c>
      <c r="L101" s="634"/>
      <c r="M101" s="242"/>
      <c r="N101" s="242"/>
      <c r="O101" s="633"/>
      <c r="P101" s="459"/>
      <c r="Q101" s="541" t="str">
        <f t="shared" si="45"/>
        <v>#DIV/0!</v>
      </c>
      <c r="R101" s="634"/>
      <c r="S101" s="242"/>
      <c r="T101" s="242"/>
      <c r="U101" s="633"/>
    </row>
    <row r="102" ht="15.75" customHeight="1">
      <c r="B102" s="450"/>
      <c r="C102" s="450" t="s">
        <v>291</v>
      </c>
      <c r="D102" s="452">
        <v>0.0</v>
      </c>
      <c r="E102" s="538">
        <f t="shared" si="43"/>
        <v>0</v>
      </c>
      <c r="F102" s="634"/>
      <c r="G102" s="242"/>
      <c r="H102" s="242"/>
      <c r="I102" s="633"/>
      <c r="J102" s="452">
        <v>0.0</v>
      </c>
      <c r="K102" s="538">
        <f t="shared" si="44"/>
        <v>0</v>
      </c>
      <c r="L102" s="634"/>
      <c r="M102" s="242"/>
      <c r="N102" s="242"/>
      <c r="O102" s="633"/>
      <c r="P102" s="459"/>
      <c r="Q102" s="541" t="str">
        <f t="shared" si="45"/>
        <v>#DIV/0!</v>
      </c>
      <c r="R102" s="634"/>
      <c r="S102" s="242"/>
      <c r="T102" s="242"/>
      <c r="U102" s="633"/>
    </row>
    <row r="103" ht="15.75" customHeight="1">
      <c r="B103" s="450"/>
      <c r="C103" s="450" t="s">
        <v>251</v>
      </c>
      <c r="D103" s="452">
        <v>0.0</v>
      </c>
      <c r="E103" s="538">
        <f t="shared" si="43"/>
        <v>0</v>
      </c>
      <c r="F103" s="634"/>
      <c r="G103" s="242"/>
      <c r="H103" s="242"/>
      <c r="I103" s="633"/>
      <c r="J103" s="452">
        <v>0.0</v>
      </c>
      <c r="K103" s="538">
        <f t="shared" si="44"/>
        <v>0</v>
      </c>
      <c r="L103" s="634"/>
      <c r="M103" s="242"/>
      <c r="N103" s="242"/>
      <c r="O103" s="633"/>
      <c r="P103" s="459"/>
      <c r="Q103" s="541" t="str">
        <f t="shared" si="45"/>
        <v>#DIV/0!</v>
      </c>
      <c r="R103" s="634"/>
      <c r="S103" s="242"/>
      <c r="T103" s="242"/>
      <c r="U103" s="633"/>
    </row>
    <row r="104" ht="15.75" customHeight="1">
      <c r="B104" s="450"/>
      <c r="C104" s="450"/>
      <c r="D104" s="452"/>
      <c r="E104" s="538">
        <f t="shared" si="43"/>
        <v>0</v>
      </c>
      <c r="F104" s="634"/>
      <c r="G104" s="242"/>
      <c r="H104" s="242"/>
      <c r="I104" s="633"/>
      <c r="J104" s="452"/>
      <c r="K104" s="538">
        <f t="shared" si="44"/>
        <v>0</v>
      </c>
      <c r="L104" s="634"/>
      <c r="M104" s="242"/>
      <c r="N104" s="242"/>
      <c r="O104" s="633"/>
      <c r="P104" s="459"/>
      <c r="Q104" s="541" t="str">
        <f t="shared" si="45"/>
        <v>#DIV/0!</v>
      </c>
      <c r="R104" s="634"/>
      <c r="S104" s="242"/>
      <c r="T104" s="242"/>
      <c r="U104" s="633"/>
    </row>
    <row r="105" ht="15.75" customHeight="1">
      <c r="B105" s="468"/>
      <c r="C105" s="645"/>
      <c r="D105" s="470"/>
      <c r="E105" s="636"/>
      <c r="F105" s="637"/>
      <c r="G105" s="636"/>
      <c r="H105" s="636"/>
      <c r="I105" s="638"/>
      <c r="J105" s="470"/>
      <c r="K105" s="636"/>
      <c r="L105" s="637"/>
      <c r="M105" s="636"/>
      <c r="N105" s="636"/>
      <c r="O105" s="638"/>
      <c r="P105" s="472"/>
      <c r="Q105" s="639"/>
      <c r="R105" s="637"/>
      <c r="S105" s="636"/>
      <c r="T105" s="636"/>
      <c r="U105" s="638"/>
    </row>
    <row r="106" ht="15.75" customHeight="1">
      <c r="A106" s="126"/>
      <c r="B106" s="477"/>
      <c r="C106" s="492" t="s">
        <v>41</v>
      </c>
      <c r="D106" s="475">
        <f>SUM(D107:D108)</f>
        <v>0</v>
      </c>
      <c r="E106" s="581">
        <f>D106/D$29</f>
        <v>0</v>
      </c>
      <c r="F106" s="644">
        <f>SUM(F107)</f>
        <v>0</v>
      </c>
      <c r="G106" s="581" t="str">
        <f>F106/F$29</f>
        <v>#DIV/0!</v>
      </c>
      <c r="H106" s="474">
        <f>SUM(H107)</f>
        <v>0</v>
      </c>
      <c r="I106" s="474"/>
      <c r="J106" s="475">
        <f>SUM(J107:J108)</f>
        <v>0</v>
      </c>
      <c r="K106" s="581">
        <f>J106/J$29</f>
        <v>0</v>
      </c>
      <c r="L106" s="644">
        <f>SUM(L107)</f>
        <v>0</v>
      </c>
      <c r="M106" s="581" t="str">
        <f>L106/L$29</f>
        <v>#DIV/0!</v>
      </c>
      <c r="N106" s="474">
        <f>SUM(N107)</f>
        <v>0</v>
      </c>
      <c r="O106" s="474"/>
      <c r="P106" s="475">
        <f>SUM(P107:P108)</f>
        <v>0</v>
      </c>
      <c r="Q106" s="581" t="str">
        <f>P106/P$29</f>
        <v>#DIV/0!</v>
      </c>
      <c r="R106" s="644">
        <f>SUM(R107)</f>
        <v>0</v>
      </c>
      <c r="S106" s="581" t="str">
        <f>R106/R$29</f>
        <v>#DIV/0!</v>
      </c>
      <c r="T106" s="474">
        <f>SUM(T107)</f>
        <v>0</v>
      </c>
      <c r="U106" s="474"/>
    </row>
    <row r="107" ht="15.75" customHeight="1">
      <c r="B107" s="481"/>
      <c r="C107" s="481" t="s">
        <v>253</v>
      </c>
      <c r="D107" s="448">
        <v>0.0</v>
      </c>
      <c r="E107" s="630"/>
      <c r="F107" s="642"/>
      <c r="G107" s="630"/>
      <c r="H107" s="630"/>
      <c r="I107" s="631"/>
      <c r="J107" s="448">
        <v>0.0</v>
      </c>
      <c r="K107" s="630"/>
      <c r="L107" s="642"/>
      <c r="M107" s="630"/>
      <c r="N107" s="630"/>
      <c r="O107" s="631"/>
      <c r="P107" s="482">
        <v>0.0</v>
      </c>
      <c r="Q107" s="643"/>
      <c r="R107" s="642"/>
      <c r="S107" s="630"/>
      <c r="T107" s="630"/>
      <c r="U107" s="631"/>
    </row>
    <row r="108" ht="15.75" customHeight="1">
      <c r="B108" s="450"/>
      <c r="C108" s="450" t="s">
        <v>292</v>
      </c>
      <c r="D108" s="452">
        <v>0.0</v>
      </c>
      <c r="E108" s="242"/>
      <c r="F108" s="634"/>
      <c r="G108" s="242"/>
      <c r="H108" s="242"/>
      <c r="I108" s="633"/>
      <c r="J108" s="452">
        <v>0.0</v>
      </c>
      <c r="K108" s="242"/>
      <c r="L108" s="634"/>
      <c r="M108" s="242"/>
      <c r="N108" s="242"/>
      <c r="O108" s="633"/>
      <c r="P108" s="459">
        <v>0.0</v>
      </c>
      <c r="Q108" s="635"/>
      <c r="R108" s="634"/>
      <c r="S108" s="242"/>
      <c r="T108" s="242"/>
      <c r="U108" s="633"/>
    </row>
    <row r="109" ht="15.75" customHeight="1">
      <c r="B109" s="468"/>
      <c r="C109" s="468"/>
      <c r="D109" s="470"/>
      <c r="E109" s="636"/>
      <c r="F109" s="637"/>
      <c r="G109" s="636"/>
      <c r="H109" s="636"/>
      <c r="I109" s="638"/>
      <c r="J109" s="470"/>
      <c r="K109" s="636"/>
      <c r="L109" s="637"/>
      <c r="M109" s="636"/>
      <c r="N109" s="636"/>
      <c r="O109" s="638"/>
      <c r="P109" s="472"/>
      <c r="Q109" s="639"/>
      <c r="R109" s="637"/>
      <c r="S109" s="636"/>
      <c r="T109" s="636"/>
      <c r="U109" s="638"/>
    </row>
    <row r="110" ht="15.75" customHeight="1">
      <c r="A110" s="126"/>
      <c r="B110" s="477"/>
      <c r="C110" s="492" t="s">
        <v>42</v>
      </c>
      <c r="D110" s="475">
        <f>SUM(D111:D112)</f>
        <v>0</v>
      </c>
      <c r="E110" s="581">
        <f>D110/D$29</f>
        <v>0</v>
      </c>
      <c r="F110" s="475">
        <f>SUM(F111:F112)</f>
        <v>0</v>
      </c>
      <c r="G110" s="581" t="str">
        <f>F110/F$29</f>
        <v>#DIV/0!</v>
      </c>
      <c r="H110" s="474">
        <f>SUM(H111:H112)</f>
        <v>0</v>
      </c>
      <c r="I110" s="474"/>
      <c r="J110" s="475">
        <f>SUM(J111:J112)</f>
        <v>0</v>
      </c>
      <c r="K110" s="581">
        <f>J110/J$29</f>
        <v>0</v>
      </c>
      <c r="L110" s="475">
        <f>SUM(L111:L112)</f>
        <v>0</v>
      </c>
      <c r="M110" s="581" t="str">
        <f>L110/L$29</f>
        <v>#DIV/0!</v>
      </c>
      <c r="N110" s="474">
        <f>SUM(N111:N112)</f>
        <v>0</v>
      </c>
      <c r="O110" s="474"/>
      <c r="P110" s="475">
        <f>SUM(P111:P112)</f>
        <v>0</v>
      </c>
      <c r="Q110" s="581" t="str">
        <f>P110/P$29</f>
        <v>#DIV/0!</v>
      </c>
      <c r="R110" s="475">
        <f>SUM(R111:R112)</f>
        <v>0</v>
      </c>
      <c r="S110" s="581" t="str">
        <f>R110/R$29</f>
        <v>#DIV/0!</v>
      </c>
      <c r="T110" s="474">
        <f>SUM(T111:T112)</f>
        <v>0</v>
      </c>
      <c r="U110" s="474"/>
    </row>
    <row r="111" ht="15.75" customHeight="1">
      <c r="B111" s="481"/>
      <c r="C111" s="481" t="s">
        <v>283</v>
      </c>
      <c r="D111" s="448">
        <v>0.0</v>
      </c>
      <c r="E111" s="630"/>
      <c r="F111" s="523"/>
      <c r="G111" s="533"/>
      <c r="H111" s="630"/>
      <c r="I111" s="631"/>
      <c r="J111" s="448">
        <v>0.0</v>
      </c>
      <c r="K111" s="630"/>
      <c r="L111" s="523"/>
      <c r="M111" s="533"/>
      <c r="N111" s="630"/>
      <c r="O111" s="631"/>
      <c r="P111" s="482">
        <v>0.0</v>
      </c>
      <c r="Q111" s="643"/>
      <c r="R111" s="523"/>
      <c r="S111" s="533"/>
      <c r="T111" s="630"/>
      <c r="U111" s="631"/>
    </row>
    <row r="112" ht="15.75" customHeight="1">
      <c r="B112" s="450"/>
      <c r="C112" s="450" t="s">
        <v>256</v>
      </c>
      <c r="D112" s="452">
        <v>0.0</v>
      </c>
      <c r="E112" s="242"/>
      <c r="F112" s="501"/>
      <c r="G112" s="538"/>
      <c r="H112" s="242"/>
      <c r="I112" s="633"/>
      <c r="J112" s="452">
        <v>0.0</v>
      </c>
      <c r="K112" s="242"/>
      <c r="L112" s="501"/>
      <c r="M112" s="538"/>
      <c r="N112" s="242"/>
      <c r="O112" s="633"/>
      <c r="P112" s="459">
        <v>0.0</v>
      </c>
      <c r="Q112" s="635"/>
      <c r="R112" s="501"/>
      <c r="S112" s="538"/>
      <c r="T112" s="242"/>
      <c r="U112" s="633"/>
    </row>
    <row r="113" ht="15.75" customHeight="1">
      <c r="B113" s="450"/>
      <c r="C113" s="450"/>
      <c r="D113" s="452"/>
      <c r="E113" s="242"/>
      <c r="F113" s="634"/>
      <c r="G113" s="242"/>
      <c r="H113" s="242"/>
      <c r="I113" s="633"/>
      <c r="J113" s="452"/>
      <c r="K113" s="242"/>
      <c r="L113" s="634"/>
      <c r="M113" s="242"/>
      <c r="N113" s="242"/>
      <c r="O113" s="633"/>
      <c r="P113" s="459"/>
      <c r="Q113" s="635"/>
      <c r="R113" s="634"/>
      <c r="S113" s="242"/>
      <c r="T113" s="242"/>
      <c r="U113" s="633"/>
    </row>
    <row r="114" ht="15.75" customHeight="1">
      <c r="B114" s="468"/>
      <c r="C114" s="468"/>
      <c r="D114" s="470"/>
      <c r="E114" s="636"/>
      <c r="F114" s="637"/>
      <c r="G114" s="636"/>
      <c r="H114" s="636"/>
      <c r="I114" s="638"/>
      <c r="J114" s="470"/>
      <c r="K114" s="636"/>
      <c r="L114" s="637"/>
      <c r="M114" s="636"/>
      <c r="N114" s="636"/>
      <c r="O114" s="638"/>
      <c r="P114" s="472"/>
      <c r="Q114" s="639"/>
      <c r="R114" s="637"/>
      <c r="S114" s="636"/>
      <c r="T114" s="636"/>
      <c r="U114" s="638"/>
    </row>
    <row r="115" ht="15.75" customHeight="1">
      <c r="A115" s="126"/>
      <c r="B115" s="474"/>
      <c r="C115" s="474" t="s">
        <v>257</v>
      </c>
      <c r="D115" s="475">
        <f>D52+D54+D64+D70+D76+D86+D89+D93+D106+D110</f>
        <v>844727.7</v>
      </c>
      <c r="E115" s="581">
        <f>D115/D$29</f>
        <v>0.9825294156</v>
      </c>
      <c r="F115" s="475">
        <f>F52+F54+F64+F70+F76+F86+F89+F93+F106+F110</f>
        <v>76212</v>
      </c>
      <c r="G115" s="581" t="str">
        <f>F115/F$29</f>
        <v>#DIV/0!</v>
      </c>
      <c r="H115" s="474"/>
      <c r="I115" s="474"/>
      <c r="J115" s="475">
        <f>J52+J54+J64+J70+J76+J86+J89+J93+J106+J110</f>
        <v>749766.04</v>
      </c>
      <c r="K115" s="581">
        <f>J115/J$29</f>
        <v>0.9285028359</v>
      </c>
      <c r="L115" s="475">
        <f>L52+L54+L64+L70+L76+L86+L89+L93+L106+L110</f>
        <v>0</v>
      </c>
      <c r="M115" s="581" t="str">
        <f>L115/L$29</f>
        <v>#DIV/0!</v>
      </c>
      <c r="N115" s="474"/>
      <c r="O115" s="474"/>
      <c r="P115" s="475">
        <f>P52+P54+P64+P70+P76+P86+P89+P93+P106+P110</f>
        <v>0</v>
      </c>
      <c r="Q115" s="581" t="str">
        <f>P115/P$29</f>
        <v>#DIV/0!</v>
      </c>
      <c r="R115" s="475">
        <f>R52+R54+R64+R70+R76+R86+R89+R93+R106+R110</f>
        <v>0</v>
      </c>
      <c r="S115" s="581" t="str">
        <f>R115/R$29</f>
        <v>#DIV/0!</v>
      </c>
      <c r="T115" s="474"/>
      <c r="U115" s="474"/>
    </row>
    <row r="116" ht="15.75" customHeight="1">
      <c r="A116" s="126"/>
      <c r="B116" s="508"/>
      <c r="C116" s="508"/>
      <c r="D116" s="494"/>
      <c r="E116" s="646"/>
      <c r="F116" s="563"/>
      <c r="G116" s="586"/>
      <c r="H116" s="646"/>
      <c r="I116" s="647"/>
      <c r="J116" s="494"/>
      <c r="K116" s="646"/>
      <c r="L116" s="563"/>
      <c r="M116" s="586"/>
      <c r="N116" s="646"/>
      <c r="O116" s="647"/>
      <c r="P116" s="495"/>
      <c r="Q116" s="648"/>
      <c r="R116" s="563"/>
      <c r="S116" s="586"/>
      <c r="T116" s="646"/>
      <c r="U116" s="647"/>
    </row>
    <row r="117" ht="15.75" customHeight="1">
      <c r="A117" s="126"/>
      <c r="B117" s="474"/>
      <c r="C117" s="474" t="s">
        <v>258</v>
      </c>
      <c r="D117" s="444">
        <f>D43-D115</f>
        <v>-314890.1304</v>
      </c>
      <c r="E117" s="529">
        <f>D117/D$29</f>
        <v>-0.3662586368</v>
      </c>
      <c r="F117" s="444">
        <f>F43-F115</f>
        <v>-76212</v>
      </c>
      <c r="G117" s="529" t="str">
        <f>F117/F$29</f>
        <v>#DIV/0!</v>
      </c>
      <c r="H117" s="649"/>
      <c r="I117" s="650"/>
      <c r="J117" s="444">
        <f>J43-J115</f>
        <v>-258983.0629</v>
      </c>
      <c r="K117" s="529">
        <f>J117/J$29</f>
        <v>-0.3207220593</v>
      </c>
      <c r="L117" s="444">
        <f>L43-L115</f>
        <v>0</v>
      </c>
      <c r="M117" s="529" t="str">
        <f>L117/L$29</f>
        <v>#DIV/0!</v>
      </c>
      <c r="N117" s="649"/>
      <c r="O117" s="650"/>
      <c r="P117" s="475">
        <f>P43-P115</f>
        <v>0</v>
      </c>
      <c r="Q117" s="532" t="str">
        <f>P117/P$29</f>
        <v>#DIV/0!</v>
      </c>
      <c r="R117" s="444">
        <f>R43-R115</f>
        <v>0</v>
      </c>
      <c r="S117" s="529" t="str">
        <f>R117/R$29</f>
        <v>#DIV/0!</v>
      </c>
      <c r="T117" s="649"/>
      <c r="U117" s="650"/>
    </row>
    <row r="118" ht="15.75" customHeight="1">
      <c r="D118" s="121"/>
      <c r="F118" s="121"/>
      <c r="J118" s="121"/>
      <c r="L118" s="121"/>
      <c r="P118" s="121"/>
      <c r="R118" s="121"/>
    </row>
    <row r="119" ht="15.75" customHeight="1">
      <c r="D119" s="121"/>
      <c r="F119" s="121"/>
      <c r="J119" s="121"/>
      <c r="L119" s="121"/>
      <c r="P119" s="121"/>
      <c r="R119" s="121"/>
    </row>
    <row r="120" ht="15.75" customHeight="1">
      <c r="D120" s="121"/>
      <c r="F120" s="121"/>
      <c r="J120" s="121"/>
      <c r="L120" s="121"/>
      <c r="P120" s="121"/>
      <c r="R120" s="121"/>
    </row>
    <row r="121" ht="15.75" customHeight="1">
      <c r="D121" s="121"/>
      <c r="F121" s="121"/>
      <c r="J121" s="121"/>
      <c r="L121" s="121"/>
      <c r="P121" s="121"/>
      <c r="R121" s="121"/>
    </row>
    <row r="122" ht="15.75" customHeight="1">
      <c r="D122" s="121"/>
      <c r="F122" s="121"/>
      <c r="J122" s="121"/>
      <c r="L122" s="121"/>
      <c r="P122" s="121"/>
      <c r="R122" s="121"/>
    </row>
    <row r="123" ht="15.75" customHeight="1">
      <c r="D123" s="121"/>
      <c r="F123" s="121"/>
      <c r="J123" s="121"/>
      <c r="L123" s="121"/>
      <c r="P123" s="121"/>
      <c r="R123" s="121"/>
    </row>
    <row r="124" ht="15.75" customHeight="1">
      <c r="D124" s="121"/>
      <c r="F124" s="121"/>
      <c r="J124" s="121"/>
      <c r="L124" s="121"/>
      <c r="P124" s="121"/>
      <c r="R124" s="121"/>
    </row>
    <row r="125" ht="15.75" customHeight="1">
      <c r="D125" s="121"/>
      <c r="F125" s="121"/>
      <c r="J125" s="121"/>
      <c r="L125" s="121"/>
      <c r="P125" s="121"/>
      <c r="R125" s="121"/>
    </row>
    <row r="126" ht="15.75" customHeight="1">
      <c r="D126" s="121"/>
      <c r="F126" s="121"/>
      <c r="J126" s="121"/>
      <c r="L126" s="121"/>
      <c r="P126" s="121"/>
      <c r="R126" s="121"/>
    </row>
    <row r="127" ht="15.75" customHeight="1">
      <c r="D127" s="121"/>
      <c r="F127" s="121"/>
      <c r="J127" s="121"/>
      <c r="L127" s="121"/>
      <c r="P127" s="121"/>
      <c r="R127" s="121"/>
    </row>
    <row r="128" ht="15.75" customHeight="1">
      <c r="D128" s="121"/>
      <c r="F128" s="121"/>
      <c r="J128" s="121"/>
      <c r="L128" s="121"/>
      <c r="P128" s="121"/>
      <c r="R128" s="121"/>
    </row>
    <row r="129" ht="15.75" customHeight="1">
      <c r="D129" s="121"/>
      <c r="F129" s="121"/>
      <c r="J129" s="121"/>
      <c r="L129" s="121"/>
      <c r="P129" s="121"/>
      <c r="R129" s="121"/>
    </row>
    <row r="130" ht="15.75" customHeight="1">
      <c r="D130" s="121"/>
      <c r="F130" s="121"/>
      <c r="J130" s="121"/>
      <c r="L130" s="121"/>
      <c r="P130" s="121"/>
      <c r="R130" s="121"/>
    </row>
    <row r="131" ht="15.75" customHeight="1">
      <c r="D131" s="121"/>
      <c r="F131" s="121"/>
      <c r="J131" s="121"/>
      <c r="L131" s="121"/>
      <c r="P131" s="121"/>
      <c r="R131" s="121"/>
    </row>
    <row r="132" ht="15.75" customHeight="1">
      <c r="D132" s="121"/>
      <c r="F132" s="121"/>
      <c r="J132" s="121"/>
      <c r="L132" s="121"/>
      <c r="P132" s="121"/>
      <c r="R132" s="121"/>
    </row>
    <row r="133" ht="15.75" customHeight="1">
      <c r="D133" s="121"/>
      <c r="F133" s="121"/>
      <c r="J133" s="121"/>
      <c r="L133" s="121"/>
      <c r="P133" s="121"/>
      <c r="R133" s="121"/>
    </row>
    <row r="134" ht="15.75" customHeight="1">
      <c r="D134" s="121"/>
      <c r="F134" s="121"/>
      <c r="J134" s="121"/>
      <c r="L134" s="121"/>
      <c r="P134" s="121"/>
      <c r="R134" s="121"/>
    </row>
    <row r="135" ht="15.75" customHeight="1">
      <c r="D135" s="121"/>
      <c r="F135" s="121"/>
      <c r="J135" s="121"/>
      <c r="L135" s="121"/>
      <c r="P135" s="121"/>
      <c r="R135" s="121"/>
    </row>
    <row r="136" ht="15.75" customHeight="1">
      <c r="D136" s="121"/>
      <c r="F136" s="121"/>
      <c r="J136" s="121"/>
      <c r="L136" s="121"/>
      <c r="P136" s="121"/>
      <c r="R136" s="121"/>
    </row>
    <row r="137" ht="15.75" customHeight="1">
      <c r="D137" s="121"/>
      <c r="F137" s="121"/>
      <c r="J137" s="121"/>
      <c r="L137" s="121"/>
      <c r="P137" s="121"/>
      <c r="R137" s="121"/>
    </row>
    <row r="138" ht="15.75" customHeight="1">
      <c r="D138" s="121"/>
      <c r="F138" s="121"/>
      <c r="J138" s="121"/>
      <c r="L138" s="121"/>
      <c r="P138" s="121"/>
      <c r="R138" s="121"/>
    </row>
    <row r="139" ht="15.75" customHeight="1">
      <c r="D139" s="121"/>
      <c r="F139" s="121"/>
      <c r="J139" s="121"/>
      <c r="L139" s="121"/>
      <c r="P139" s="121"/>
      <c r="R139" s="121"/>
    </row>
    <row r="140" ht="15.75" customHeight="1">
      <c r="D140" s="121"/>
      <c r="F140" s="121"/>
      <c r="J140" s="121"/>
      <c r="L140" s="121"/>
      <c r="P140" s="121"/>
      <c r="R140" s="121"/>
    </row>
    <row r="141" ht="15.75" customHeight="1">
      <c r="D141" s="121"/>
      <c r="F141" s="121"/>
      <c r="J141" s="121"/>
      <c r="L141" s="121"/>
      <c r="P141" s="121"/>
      <c r="R141" s="121"/>
    </row>
    <row r="142" ht="15.75" customHeight="1">
      <c r="D142" s="121"/>
      <c r="F142" s="121"/>
      <c r="J142" s="121"/>
      <c r="L142" s="121"/>
      <c r="P142" s="121"/>
      <c r="R142" s="121"/>
    </row>
    <row r="143" ht="15.75" customHeight="1">
      <c r="D143" s="121"/>
      <c r="F143" s="121"/>
      <c r="J143" s="121"/>
      <c r="L143" s="121"/>
      <c r="P143" s="121"/>
      <c r="R143" s="121"/>
    </row>
    <row r="144" ht="15.75" customHeight="1">
      <c r="D144" s="121"/>
      <c r="F144" s="121"/>
      <c r="J144" s="121"/>
      <c r="L144" s="121"/>
      <c r="P144" s="121"/>
      <c r="R144" s="121"/>
    </row>
    <row r="145" ht="15.75" customHeight="1">
      <c r="D145" s="121"/>
      <c r="F145" s="121"/>
      <c r="J145" s="121"/>
      <c r="L145" s="121"/>
      <c r="P145" s="121"/>
      <c r="R145" s="121"/>
    </row>
    <row r="146" ht="15.75" customHeight="1">
      <c r="D146" s="121"/>
      <c r="F146" s="121"/>
      <c r="J146" s="121"/>
      <c r="L146" s="121"/>
      <c r="P146" s="121"/>
      <c r="R146" s="121"/>
    </row>
    <row r="147" ht="15.75" customHeight="1">
      <c r="D147" s="121"/>
      <c r="F147" s="121"/>
      <c r="J147" s="121"/>
      <c r="L147" s="121"/>
      <c r="P147" s="121"/>
      <c r="R147" s="121"/>
    </row>
    <row r="148" ht="15.75" customHeight="1">
      <c r="D148" s="121"/>
      <c r="F148" s="121"/>
      <c r="J148" s="121"/>
      <c r="L148" s="121"/>
      <c r="P148" s="121"/>
      <c r="R148" s="121"/>
    </row>
    <row r="149" ht="15.75" customHeight="1">
      <c r="D149" s="121"/>
      <c r="F149" s="121"/>
      <c r="J149" s="121"/>
      <c r="L149" s="121"/>
      <c r="P149" s="121"/>
      <c r="R149" s="121"/>
    </row>
    <row r="150" ht="15.75" customHeight="1">
      <c r="D150" s="121"/>
      <c r="F150" s="121"/>
      <c r="J150" s="121"/>
      <c r="L150" s="121"/>
      <c r="P150" s="121"/>
      <c r="R150" s="121"/>
    </row>
    <row r="151" ht="15.75" customHeight="1">
      <c r="D151" s="121"/>
      <c r="F151" s="121"/>
      <c r="J151" s="121"/>
      <c r="L151" s="121"/>
      <c r="P151" s="121"/>
      <c r="R151" s="121"/>
    </row>
    <row r="152" ht="15.75" customHeight="1">
      <c r="D152" s="121"/>
      <c r="F152" s="121"/>
      <c r="J152" s="121"/>
      <c r="L152" s="121"/>
      <c r="P152" s="121"/>
      <c r="R152" s="121"/>
    </row>
    <row r="153" ht="15.75" customHeight="1">
      <c r="D153" s="121"/>
      <c r="F153" s="121"/>
      <c r="J153" s="121"/>
      <c r="L153" s="121"/>
      <c r="P153" s="121"/>
      <c r="R153" s="121"/>
    </row>
    <row r="154" ht="15.75" customHeight="1">
      <c r="D154" s="121"/>
      <c r="F154" s="121"/>
      <c r="J154" s="121"/>
      <c r="L154" s="121"/>
      <c r="P154" s="121"/>
      <c r="R154" s="121"/>
    </row>
    <row r="155" ht="15.75" customHeight="1">
      <c r="D155" s="121"/>
      <c r="F155" s="121"/>
      <c r="J155" s="121"/>
      <c r="L155" s="121"/>
      <c r="P155" s="121"/>
      <c r="R155" s="121"/>
    </row>
    <row r="156" ht="15.75" customHeight="1">
      <c r="D156" s="121"/>
      <c r="F156" s="121"/>
      <c r="J156" s="121"/>
      <c r="L156" s="121"/>
      <c r="P156" s="121"/>
      <c r="R156" s="121"/>
    </row>
    <row r="157" ht="15.75" customHeight="1">
      <c r="D157" s="121"/>
      <c r="F157" s="121"/>
      <c r="J157" s="121"/>
      <c r="L157" s="121"/>
      <c r="P157" s="121"/>
      <c r="R157" s="121"/>
    </row>
    <row r="158" ht="15.75" customHeight="1">
      <c r="D158" s="121"/>
      <c r="F158" s="121"/>
      <c r="J158" s="121"/>
      <c r="L158" s="121"/>
      <c r="P158" s="121"/>
      <c r="R158" s="121"/>
    </row>
    <row r="159" ht="15.75" customHeight="1">
      <c r="D159" s="121"/>
      <c r="F159" s="121"/>
      <c r="J159" s="121"/>
      <c r="L159" s="121"/>
      <c r="P159" s="121"/>
      <c r="R159" s="121"/>
    </row>
    <row r="160" ht="15.75" customHeight="1">
      <c r="D160" s="121"/>
      <c r="F160" s="121"/>
      <c r="J160" s="121"/>
      <c r="L160" s="121"/>
      <c r="P160" s="121"/>
      <c r="R160" s="121"/>
    </row>
    <row r="161" ht="15.75" customHeight="1">
      <c r="D161" s="121"/>
      <c r="F161" s="121"/>
      <c r="J161" s="121"/>
      <c r="L161" s="121"/>
      <c r="P161" s="121"/>
      <c r="R161" s="121"/>
    </row>
    <row r="162" ht="15.75" customHeight="1">
      <c r="D162" s="121"/>
      <c r="F162" s="121"/>
      <c r="J162" s="121"/>
      <c r="L162" s="121"/>
      <c r="P162" s="121"/>
      <c r="R162" s="121"/>
    </row>
    <row r="163" ht="15.75" customHeight="1">
      <c r="D163" s="121"/>
      <c r="F163" s="121"/>
      <c r="J163" s="121"/>
      <c r="L163" s="121"/>
      <c r="P163" s="121"/>
      <c r="R163" s="121"/>
    </row>
    <row r="164" ht="15.75" customHeight="1">
      <c r="D164" s="121"/>
      <c r="F164" s="121"/>
      <c r="J164" s="121"/>
      <c r="L164" s="121"/>
      <c r="P164" s="121"/>
      <c r="R164" s="121"/>
    </row>
    <row r="165" ht="15.75" customHeight="1">
      <c r="D165" s="121"/>
      <c r="F165" s="121"/>
      <c r="J165" s="121"/>
      <c r="L165" s="121"/>
      <c r="P165" s="121"/>
      <c r="R165" s="121"/>
    </row>
    <row r="166" ht="15.75" customHeight="1">
      <c r="D166" s="121"/>
      <c r="F166" s="121"/>
      <c r="J166" s="121"/>
      <c r="L166" s="121"/>
      <c r="P166" s="121"/>
      <c r="R166" s="121"/>
    </row>
    <row r="167" ht="15.75" customHeight="1">
      <c r="D167" s="121"/>
      <c r="F167" s="121"/>
      <c r="J167" s="121"/>
      <c r="L167" s="121"/>
      <c r="P167" s="121"/>
      <c r="R167" s="121"/>
    </row>
    <row r="168" ht="15.75" customHeight="1">
      <c r="D168" s="121"/>
      <c r="F168" s="121"/>
      <c r="J168" s="121"/>
      <c r="L168" s="121"/>
      <c r="P168" s="121"/>
      <c r="R168" s="121"/>
    </row>
    <row r="169" ht="15.75" customHeight="1">
      <c r="D169" s="121"/>
      <c r="F169" s="121"/>
      <c r="J169" s="121"/>
      <c r="L169" s="121"/>
      <c r="P169" s="121"/>
      <c r="R169" s="121"/>
    </row>
    <row r="170" ht="15.75" customHeight="1">
      <c r="D170" s="121"/>
      <c r="F170" s="121"/>
      <c r="J170" s="121"/>
      <c r="L170" s="121"/>
      <c r="P170" s="121"/>
      <c r="R170" s="121"/>
    </row>
    <row r="171" ht="15.75" customHeight="1">
      <c r="D171" s="121"/>
      <c r="F171" s="121"/>
      <c r="J171" s="121"/>
      <c r="L171" s="121"/>
      <c r="P171" s="121"/>
      <c r="R171" s="121"/>
    </row>
    <row r="172" ht="15.75" customHeight="1">
      <c r="D172" s="121"/>
      <c r="F172" s="121"/>
      <c r="J172" s="121"/>
      <c r="L172" s="121"/>
      <c r="P172" s="121"/>
      <c r="R172" s="121"/>
    </row>
    <row r="173" ht="15.75" customHeight="1">
      <c r="D173" s="121"/>
      <c r="F173" s="121"/>
      <c r="J173" s="121"/>
      <c r="L173" s="121"/>
      <c r="P173" s="121"/>
      <c r="R173" s="121"/>
    </row>
    <row r="174" ht="15.75" customHeight="1">
      <c r="D174" s="121"/>
      <c r="F174" s="121"/>
      <c r="J174" s="121"/>
      <c r="L174" s="121"/>
      <c r="P174" s="121"/>
      <c r="R174" s="121"/>
    </row>
    <row r="175" ht="15.75" customHeight="1">
      <c r="D175" s="121"/>
      <c r="F175" s="121"/>
      <c r="J175" s="121"/>
      <c r="L175" s="121"/>
      <c r="P175" s="121"/>
      <c r="R175" s="121"/>
    </row>
    <row r="176" ht="15.75" customHeight="1">
      <c r="D176" s="121"/>
      <c r="F176" s="121"/>
      <c r="J176" s="121"/>
      <c r="L176" s="121"/>
      <c r="P176" s="121"/>
      <c r="R176" s="121"/>
    </row>
    <row r="177" ht="15.75" customHeight="1">
      <c r="D177" s="121"/>
      <c r="F177" s="121"/>
      <c r="J177" s="121"/>
      <c r="L177" s="121"/>
      <c r="P177" s="121"/>
      <c r="R177" s="121"/>
    </row>
    <row r="178" ht="15.75" customHeight="1">
      <c r="D178" s="121"/>
      <c r="F178" s="121"/>
      <c r="J178" s="121"/>
      <c r="L178" s="121"/>
      <c r="P178" s="121"/>
      <c r="R178" s="121"/>
    </row>
    <row r="179" ht="15.75" customHeight="1">
      <c r="D179" s="121"/>
      <c r="F179" s="121"/>
      <c r="J179" s="121"/>
      <c r="L179" s="121"/>
      <c r="P179" s="121"/>
      <c r="R179" s="121"/>
    </row>
    <row r="180" ht="15.75" customHeight="1">
      <c r="D180" s="121"/>
      <c r="F180" s="121"/>
      <c r="J180" s="121"/>
      <c r="L180" s="121"/>
      <c r="P180" s="121"/>
      <c r="R180" s="121"/>
    </row>
    <row r="181" ht="15.75" customHeight="1">
      <c r="D181" s="121"/>
      <c r="F181" s="121"/>
      <c r="J181" s="121"/>
      <c r="L181" s="121"/>
      <c r="P181" s="121"/>
      <c r="R181" s="121"/>
    </row>
    <row r="182" ht="15.75" customHeight="1">
      <c r="D182" s="121"/>
      <c r="F182" s="121"/>
      <c r="J182" s="121"/>
      <c r="L182" s="121"/>
      <c r="P182" s="121"/>
      <c r="R182" s="121"/>
    </row>
    <row r="183" ht="15.75" customHeight="1">
      <c r="D183" s="121"/>
      <c r="F183" s="121"/>
      <c r="J183" s="121"/>
      <c r="L183" s="121"/>
      <c r="P183" s="121"/>
      <c r="R183" s="121"/>
    </row>
    <row r="184" ht="15.75" customHeight="1">
      <c r="D184" s="121"/>
      <c r="F184" s="121"/>
      <c r="J184" s="121"/>
      <c r="L184" s="121"/>
      <c r="P184" s="121"/>
      <c r="R184" s="121"/>
    </row>
    <row r="185" ht="15.75" customHeight="1">
      <c r="D185" s="121"/>
      <c r="F185" s="121"/>
      <c r="J185" s="121"/>
      <c r="L185" s="121"/>
      <c r="P185" s="121"/>
      <c r="R185" s="121"/>
    </row>
    <row r="186" ht="15.75" customHeight="1">
      <c r="D186" s="121"/>
      <c r="F186" s="121"/>
      <c r="J186" s="121"/>
      <c r="L186" s="121"/>
      <c r="P186" s="121"/>
      <c r="R186" s="121"/>
    </row>
    <row r="187" ht="15.75" customHeight="1">
      <c r="D187" s="121"/>
      <c r="F187" s="121"/>
      <c r="J187" s="121"/>
      <c r="L187" s="121"/>
      <c r="P187" s="121"/>
      <c r="R187" s="121"/>
    </row>
    <row r="188" ht="15.75" customHeight="1">
      <c r="D188" s="121"/>
      <c r="F188" s="121"/>
      <c r="J188" s="121"/>
      <c r="L188" s="121"/>
      <c r="P188" s="121"/>
      <c r="R188" s="121"/>
    </row>
    <row r="189" ht="15.75" customHeight="1">
      <c r="D189" s="121"/>
      <c r="F189" s="121"/>
      <c r="J189" s="121"/>
      <c r="L189" s="121"/>
      <c r="P189" s="121"/>
      <c r="R189" s="121"/>
    </row>
    <row r="190" ht="15.75" customHeight="1">
      <c r="D190" s="121"/>
      <c r="F190" s="121"/>
      <c r="J190" s="121"/>
      <c r="L190" s="121"/>
      <c r="P190" s="121"/>
      <c r="R190" s="121"/>
    </row>
    <row r="191" ht="15.75" customHeight="1">
      <c r="D191" s="121"/>
      <c r="F191" s="121"/>
      <c r="J191" s="121"/>
      <c r="L191" s="121"/>
      <c r="P191" s="121"/>
      <c r="R191" s="121"/>
    </row>
    <row r="192" ht="15.75" customHeight="1">
      <c r="D192" s="121"/>
      <c r="F192" s="121"/>
      <c r="J192" s="121"/>
      <c r="L192" s="121"/>
      <c r="P192" s="121"/>
      <c r="R192" s="121"/>
    </row>
    <row r="193" ht="15.75" customHeight="1">
      <c r="D193" s="121"/>
      <c r="F193" s="121"/>
      <c r="J193" s="121"/>
      <c r="L193" s="121"/>
      <c r="P193" s="121"/>
      <c r="R193" s="121"/>
    </row>
    <row r="194" ht="15.75" customHeight="1">
      <c r="D194" s="121"/>
      <c r="F194" s="121"/>
      <c r="J194" s="121"/>
      <c r="L194" s="121"/>
      <c r="P194" s="121"/>
      <c r="R194" s="121"/>
    </row>
    <row r="195" ht="15.75" customHeight="1">
      <c r="D195" s="121"/>
      <c r="F195" s="121"/>
      <c r="J195" s="121"/>
      <c r="L195" s="121"/>
      <c r="P195" s="121"/>
      <c r="R195" s="121"/>
    </row>
    <row r="196" ht="15.75" customHeight="1">
      <c r="D196" s="121"/>
      <c r="F196" s="121"/>
      <c r="J196" s="121"/>
      <c r="L196" s="121"/>
      <c r="P196" s="121"/>
      <c r="R196" s="121"/>
    </row>
    <row r="197" ht="15.75" customHeight="1">
      <c r="D197" s="121"/>
      <c r="F197" s="121"/>
      <c r="J197" s="121"/>
      <c r="L197" s="121"/>
      <c r="P197" s="121"/>
      <c r="R197" s="121"/>
    </row>
    <row r="198" ht="15.75" customHeight="1">
      <c r="D198" s="121"/>
      <c r="F198" s="121"/>
      <c r="J198" s="121"/>
      <c r="L198" s="121"/>
      <c r="P198" s="121"/>
      <c r="R198" s="121"/>
    </row>
    <row r="199" ht="15.75" customHeight="1">
      <c r="D199" s="121"/>
      <c r="F199" s="121"/>
      <c r="J199" s="121"/>
      <c r="L199" s="121"/>
      <c r="P199" s="121"/>
      <c r="R199" s="121"/>
    </row>
    <row r="200" ht="15.75" customHeight="1">
      <c r="D200" s="121"/>
      <c r="F200" s="121"/>
      <c r="J200" s="121"/>
      <c r="L200" s="121"/>
      <c r="P200" s="121"/>
      <c r="R200" s="121"/>
    </row>
    <row r="201" ht="15.75" customHeight="1">
      <c r="D201" s="121"/>
      <c r="F201" s="121"/>
      <c r="J201" s="121"/>
      <c r="L201" s="121"/>
      <c r="P201" s="121"/>
      <c r="R201" s="121"/>
    </row>
    <row r="202" ht="15.75" customHeight="1">
      <c r="D202" s="121"/>
      <c r="F202" s="121"/>
      <c r="J202" s="121"/>
      <c r="L202" s="121"/>
      <c r="P202" s="121"/>
      <c r="R202" s="121"/>
    </row>
    <row r="203" ht="15.75" customHeight="1">
      <c r="D203" s="121"/>
      <c r="F203" s="121"/>
      <c r="J203" s="121"/>
      <c r="L203" s="121"/>
      <c r="P203" s="121"/>
      <c r="R203" s="121"/>
    </row>
    <row r="204" ht="15.75" customHeight="1">
      <c r="D204" s="121"/>
      <c r="F204" s="121"/>
      <c r="J204" s="121"/>
      <c r="L204" s="121"/>
      <c r="P204" s="121"/>
      <c r="R204" s="121"/>
    </row>
    <row r="205" ht="15.75" customHeight="1">
      <c r="D205" s="121"/>
      <c r="F205" s="121"/>
      <c r="J205" s="121"/>
      <c r="L205" s="121"/>
      <c r="P205" s="121"/>
      <c r="R205" s="121"/>
    </row>
    <row r="206" ht="15.75" customHeight="1">
      <c r="D206" s="121"/>
      <c r="F206" s="121"/>
      <c r="J206" s="121"/>
      <c r="L206" s="121"/>
      <c r="P206" s="121"/>
      <c r="R206" s="121"/>
    </row>
    <row r="207" ht="15.75" customHeight="1">
      <c r="D207" s="121"/>
      <c r="F207" s="121"/>
      <c r="J207" s="121"/>
      <c r="L207" s="121"/>
      <c r="P207" s="121"/>
      <c r="R207" s="121"/>
    </row>
    <row r="208" ht="15.75" customHeight="1">
      <c r="D208" s="121"/>
      <c r="F208" s="121"/>
      <c r="J208" s="121"/>
      <c r="L208" s="121"/>
      <c r="P208" s="121"/>
      <c r="R208" s="121"/>
    </row>
    <row r="209" ht="15.75" customHeight="1">
      <c r="D209" s="121"/>
      <c r="F209" s="121"/>
      <c r="J209" s="121"/>
      <c r="L209" s="121"/>
      <c r="P209" s="121"/>
      <c r="R209" s="121"/>
    </row>
    <row r="210" ht="15.75" customHeight="1">
      <c r="D210" s="121"/>
      <c r="F210" s="121"/>
      <c r="J210" s="121"/>
      <c r="L210" s="121"/>
      <c r="P210" s="121"/>
      <c r="R210" s="121"/>
    </row>
    <row r="211" ht="15.75" customHeight="1">
      <c r="D211" s="121"/>
      <c r="F211" s="121"/>
      <c r="J211" s="121"/>
      <c r="L211" s="121"/>
      <c r="P211" s="121"/>
      <c r="R211" s="121"/>
    </row>
    <row r="212" ht="15.75" customHeight="1">
      <c r="D212" s="121"/>
      <c r="F212" s="121"/>
      <c r="J212" s="121"/>
      <c r="L212" s="121"/>
      <c r="P212" s="121"/>
      <c r="R212" s="121"/>
    </row>
    <row r="213" ht="15.75" customHeight="1">
      <c r="D213" s="121"/>
      <c r="F213" s="121"/>
      <c r="J213" s="121"/>
      <c r="L213" s="121"/>
      <c r="P213" s="121"/>
      <c r="R213" s="121"/>
    </row>
    <row r="214" ht="15.75" customHeight="1">
      <c r="D214" s="121"/>
      <c r="F214" s="121"/>
      <c r="J214" s="121"/>
      <c r="L214" s="121"/>
      <c r="P214" s="121"/>
      <c r="R214" s="121"/>
    </row>
    <row r="215" ht="15.75" customHeight="1">
      <c r="D215" s="121"/>
      <c r="F215" s="121"/>
      <c r="J215" s="121"/>
      <c r="L215" s="121"/>
      <c r="P215" s="121"/>
      <c r="R215" s="121"/>
    </row>
    <row r="216" ht="15.75" customHeight="1">
      <c r="D216" s="121"/>
      <c r="F216" s="121"/>
      <c r="J216" s="121"/>
      <c r="L216" s="121"/>
      <c r="P216" s="121"/>
      <c r="R216" s="121"/>
    </row>
    <row r="217" ht="15.75" customHeight="1">
      <c r="D217" s="121"/>
      <c r="F217" s="121"/>
      <c r="J217" s="121"/>
      <c r="L217" s="121"/>
      <c r="P217" s="121"/>
      <c r="R217" s="121"/>
    </row>
    <row r="218" ht="15.75" customHeight="1">
      <c r="D218" s="121"/>
      <c r="F218" s="121"/>
      <c r="J218" s="121"/>
      <c r="L218" s="121"/>
      <c r="P218" s="121"/>
      <c r="R218" s="121"/>
    </row>
    <row r="219" ht="15.75" customHeight="1">
      <c r="D219" s="121"/>
      <c r="F219" s="121"/>
      <c r="J219" s="121"/>
      <c r="L219" s="121"/>
      <c r="P219" s="121"/>
      <c r="R219" s="121"/>
    </row>
    <row r="220" ht="15.75" customHeight="1">
      <c r="D220" s="121"/>
      <c r="F220" s="121"/>
      <c r="J220" s="121"/>
      <c r="L220" s="121"/>
      <c r="P220" s="121"/>
      <c r="R220" s="121"/>
    </row>
    <row r="221" ht="15.75" customHeight="1">
      <c r="D221" s="121"/>
      <c r="F221" s="121"/>
      <c r="J221" s="121"/>
      <c r="L221" s="121"/>
      <c r="P221" s="121"/>
      <c r="R221" s="121"/>
    </row>
    <row r="222" ht="15.75" customHeight="1">
      <c r="D222" s="121"/>
      <c r="F222" s="121"/>
      <c r="J222" s="121"/>
      <c r="L222" s="121"/>
      <c r="P222" s="121"/>
      <c r="R222" s="121"/>
    </row>
    <row r="223" ht="15.75" customHeight="1">
      <c r="D223" s="121"/>
      <c r="F223" s="121"/>
      <c r="J223" s="121"/>
      <c r="L223" s="121"/>
      <c r="P223" s="121"/>
      <c r="R223" s="121"/>
    </row>
    <row r="224" ht="15.75" customHeight="1">
      <c r="D224" s="121"/>
      <c r="F224" s="121"/>
      <c r="J224" s="121"/>
      <c r="L224" s="121"/>
      <c r="P224" s="121"/>
      <c r="R224" s="121"/>
    </row>
    <row r="225" ht="15.75" customHeight="1">
      <c r="D225" s="121"/>
      <c r="F225" s="121"/>
      <c r="J225" s="121"/>
      <c r="L225" s="121"/>
      <c r="P225" s="121"/>
      <c r="R225" s="121"/>
    </row>
    <row r="226" ht="15.75" customHeight="1">
      <c r="D226" s="121"/>
      <c r="F226" s="121"/>
      <c r="J226" s="121"/>
      <c r="L226" s="121"/>
      <c r="P226" s="121"/>
      <c r="R226" s="121"/>
    </row>
    <row r="227" ht="15.75" customHeight="1">
      <c r="D227" s="121"/>
      <c r="F227" s="121"/>
      <c r="J227" s="121"/>
      <c r="L227" s="121"/>
      <c r="P227" s="121"/>
      <c r="R227" s="121"/>
    </row>
    <row r="228" ht="15.75" customHeight="1">
      <c r="D228" s="121"/>
      <c r="F228" s="121"/>
      <c r="J228" s="121"/>
      <c r="L228" s="121"/>
      <c r="P228" s="121"/>
      <c r="R228" s="121"/>
    </row>
    <row r="229" ht="15.75" customHeight="1">
      <c r="D229" s="121"/>
      <c r="F229" s="121"/>
      <c r="J229" s="121"/>
      <c r="L229" s="121"/>
      <c r="P229" s="121"/>
      <c r="R229" s="121"/>
    </row>
    <row r="230" ht="15.75" customHeight="1">
      <c r="D230" s="121"/>
      <c r="F230" s="121"/>
      <c r="J230" s="121"/>
      <c r="L230" s="121"/>
      <c r="P230" s="121"/>
      <c r="R230" s="121"/>
    </row>
    <row r="231" ht="15.75" customHeight="1">
      <c r="D231" s="121"/>
      <c r="F231" s="121"/>
      <c r="J231" s="121"/>
      <c r="L231" s="121"/>
      <c r="P231" s="121"/>
      <c r="R231" s="121"/>
    </row>
    <row r="232" ht="15.75" customHeight="1">
      <c r="D232" s="121"/>
      <c r="F232" s="121"/>
      <c r="J232" s="121"/>
      <c r="L232" s="121"/>
      <c r="P232" s="121"/>
      <c r="R232" s="121"/>
    </row>
    <row r="233" ht="15.75" customHeight="1">
      <c r="D233" s="121"/>
      <c r="F233" s="121"/>
      <c r="J233" s="121"/>
      <c r="L233" s="121"/>
      <c r="P233" s="121"/>
      <c r="R233" s="121"/>
    </row>
    <row r="234" ht="15.75" customHeight="1">
      <c r="D234" s="121"/>
      <c r="F234" s="121"/>
      <c r="J234" s="121"/>
      <c r="L234" s="121"/>
      <c r="P234" s="121"/>
      <c r="R234" s="121"/>
    </row>
    <row r="235" ht="15.75" customHeight="1">
      <c r="D235" s="121"/>
      <c r="F235" s="121"/>
      <c r="J235" s="121"/>
      <c r="L235" s="121"/>
      <c r="P235" s="121"/>
      <c r="R235" s="121"/>
    </row>
    <row r="236" ht="15.75" customHeight="1">
      <c r="D236" s="121"/>
      <c r="F236" s="121"/>
      <c r="J236" s="121"/>
      <c r="L236" s="121"/>
      <c r="P236" s="121"/>
      <c r="R236" s="121"/>
    </row>
    <row r="237" ht="15.75" customHeight="1">
      <c r="D237" s="121"/>
      <c r="F237" s="121"/>
      <c r="J237" s="121"/>
      <c r="L237" s="121"/>
      <c r="P237" s="121"/>
      <c r="R237" s="121"/>
    </row>
    <row r="238" ht="15.75" customHeight="1">
      <c r="D238" s="121"/>
      <c r="F238" s="121"/>
      <c r="J238" s="121"/>
      <c r="L238" s="121"/>
      <c r="P238" s="121"/>
      <c r="R238" s="121"/>
    </row>
    <row r="239" ht="15.75" customHeight="1">
      <c r="D239" s="121"/>
      <c r="F239" s="121"/>
      <c r="J239" s="121"/>
      <c r="L239" s="121"/>
      <c r="P239" s="121"/>
      <c r="R239" s="121"/>
    </row>
    <row r="240" ht="15.75" customHeight="1">
      <c r="D240" s="121"/>
      <c r="F240" s="121"/>
      <c r="J240" s="121"/>
      <c r="L240" s="121"/>
      <c r="P240" s="121"/>
      <c r="R240" s="121"/>
    </row>
    <row r="241" ht="15.75" customHeight="1">
      <c r="D241" s="121"/>
      <c r="F241" s="121"/>
      <c r="J241" s="121"/>
      <c r="L241" s="121"/>
      <c r="P241" s="121"/>
      <c r="R241" s="121"/>
    </row>
    <row r="242" ht="15.75" customHeight="1">
      <c r="D242" s="121"/>
      <c r="F242" s="121"/>
      <c r="J242" s="121"/>
      <c r="L242" s="121"/>
      <c r="P242" s="121"/>
      <c r="R242" s="121"/>
    </row>
    <row r="243" ht="15.75" customHeight="1">
      <c r="D243" s="121"/>
      <c r="F243" s="121"/>
      <c r="J243" s="121"/>
      <c r="L243" s="121"/>
      <c r="P243" s="121"/>
      <c r="R243" s="121"/>
    </row>
    <row r="244" ht="15.75" customHeight="1">
      <c r="D244" s="121"/>
      <c r="F244" s="121"/>
      <c r="J244" s="121"/>
      <c r="L244" s="121"/>
      <c r="P244" s="121"/>
      <c r="R244" s="121"/>
    </row>
    <row r="245" ht="15.75" customHeight="1">
      <c r="D245" s="121"/>
      <c r="F245" s="121"/>
      <c r="J245" s="121"/>
      <c r="L245" s="121"/>
      <c r="P245" s="121"/>
      <c r="R245" s="121"/>
    </row>
    <row r="246" ht="15.75" customHeight="1">
      <c r="D246" s="121"/>
      <c r="F246" s="121"/>
      <c r="J246" s="121"/>
      <c r="L246" s="121"/>
      <c r="P246" s="121"/>
      <c r="R246" s="121"/>
    </row>
    <row r="247" ht="15.75" customHeight="1">
      <c r="D247" s="121"/>
      <c r="F247" s="121"/>
      <c r="J247" s="121"/>
      <c r="L247" s="121"/>
      <c r="P247" s="121"/>
      <c r="R247" s="121"/>
    </row>
    <row r="248" ht="15.75" customHeight="1">
      <c r="D248" s="121"/>
      <c r="F248" s="121"/>
      <c r="J248" s="121"/>
      <c r="L248" s="121"/>
      <c r="P248" s="121"/>
      <c r="R248" s="121"/>
    </row>
    <row r="249" ht="15.75" customHeight="1">
      <c r="D249" s="121"/>
      <c r="F249" s="121"/>
      <c r="J249" s="121"/>
      <c r="L249" s="121"/>
      <c r="P249" s="121"/>
      <c r="R249" s="121"/>
    </row>
    <row r="250" ht="15.75" customHeight="1">
      <c r="D250" s="121"/>
      <c r="F250" s="121"/>
      <c r="J250" s="121"/>
      <c r="L250" s="121"/>
      <c r="P250" s="121"/>
      <c r="R250" s="121"/>
    </row>
    <row r="251" ht="15.75" customHeight="1">
      <c r="D251" s="121"/>
      <c r="F251" s="121"/>
      <c r="J251" s="121"/>
      <c r="L251" s="121"/>
      <c r="P251" s="121"/>
      <c r="R251" s="121"/>
    </row>
    <row r="252" ht="15.75" customHeight="1">
      <c r="D252" s="121"/>
      <c r="F252" s="121"/>
      <c r="J252" s="121"/>
      <c r="L252" s="121"/>
      <c r="P252" s="121"/>
      <c r="R252" s="121"/>
    </row>
    <row r="253" ht="15.75" customHeight="1">
      <c r="D253" s="121"/>
      <c r="F253" s="121"/>
      <c r="J253" s="121"/>
      <c r="L253" s="121"/>
      <c r="P253" s="121"/>
      <c r="R253" s="121"/>
    </row>
    <row r="254" ht="15.75" customHeight="1">
      <c r="D254" s="121"/>
      <c r="F254" s="121"/>
      <c r="J254" s="121"/>
      <c r="L254" s="121"/>
      <c r="P254" s="121"/>
      <c r="R254" s="121"/>
    </row>
    <row r="255" ht="15.75" customHeight="1">
      <c r="D255" s="121"/>
      <c r="F255" s="121"/>
      <c r="J255" s="121"/>
      <c r="L255" s="121"/>
      <c r="P255" s="121"/>
      <c r="R255" s="121"/>
    </row>
    <row r="256" ht="15.75" customHeight="1">
      <c r="D256" s="121"/>
      <c r="F256" s="121"/>
      <c r="J256" s="121"/>
      <c r="L256" s="121"/>
      <c r="P256" s="121"/>
      <c r="R256" s="121"/>
    </row>
    <row r="257" ht="15.75" customHeight="1">
      <c r="D257" s="121"/>
      <c r="F257" s="121"/>
      <c r="J257" s="121"/>
      <c r="L257" s="121"/>
      <c r="P257" s="121"/>
      <c r="R257" s="121"/>
    </row>
    <row r="258" ht="15.75" customHeight="1">
      <c r="D258" s="121"/>
      <c r="F258" s="121"/>
      <c r="J258" s="121"/>
      <c r="L258" s="121"/>
      <c r="P258" s="121"/>
      <c r="R258" s="121"/>
    </row>
    <row r="259" ht="15.75" customHeight="1">
      <c r="D259" s="121"/>
      <c r="F259" s="121"/>
      <c r="J259" s="121"/>
      <c r="L259" s="121"/>
      <c r="P259" s="121"/>
      <c r="R259" s="121"/>
    </row>
    <row r="260" ht="15.75" customHeight="1">
      <c r="D260" s="121"/>
      <c r="F260" s="121"/>
      <c r="J260" s="121"/>
      <c r="L260" s="121"/>
      <c r="P260" s="121"/>
      <c r="R260" s="121"/>
    </row>
    <row r="261" ht="15.75" customHeight="1">
      <c r="D261" s="121"/>
      <c r="F261" s="121"/>
      <c r="J261" s="121"/>
      <c r="L261" s="121"/>
      <c r="P261" s="121"/>
      <c r="R261" s="121"/>
    </row>
    <row r="262" ht="15.75" customHeight="1">
      <c r="D262" s="121"/>
      <c r="F262" s="121"/>
      <c r="J262" s="121"/>
      <c r="L262" s="121"/>
      <c r="P262" s="121"/>
      <c r="R262" s="121"/>
    </row>
    <row r="263" ht="15.75" customHeight="1">
      <c r="D263" s="121"/>
      <c r="F263" s="121"/>
      <c r="J263" s="121"/>
      <c r="L263" s="121"/>
      <c r="P263" s="121"/>
      <c r="R263" s="121"/>
    </row>
    <row r="264" ht="15.75" customHeight="1">
      <c r="D264" s="121"/>
      <c r="F264" s="121"/>
      <c r="J264" s="121"/>
      <c r="L264" s="121"/>
      <c r="P264" s="121"/>
      <c r="R264" s="121"/>
    </row>
    <row r="265" ht="15.75" customHeight="1">
      <c r="D265" s="121"/>
      <c r="F265" s="121"/>
      <c r="J265" s="121"/>
      <c r="L265" s="121"/>
      <c r="P265" s="121"/>
      <c r="R265" s="121"/>
    </row>
    <row r="266" ht="15.75" customHeight="1">
      <c r="D266" s="121"/>
      <c r="F266" s="121"/>
      <c r="J266" s="121"/>
      <c r="L266" s="121"/>
      <c r="P266" s="121"/>
      <c r="R266" s="121"/>
    </row>
    <row r="267" ht="15.75" customHeight="1">
      <c r="D267" s="121"/>
      <c r="F267" s="121"/>
      <c r="J267" s="121"/>
      <c r="L267" s="121"/>
      <c r="P267" s="121"/>
      <c r="R267" s="121"/>
    </row>
    <row r="268" ht="15.75" customHeight="1">
      <c r="D268" s="121"/>
      <c r="F268" s="121"/>
      <c r="J268" s="121"/>
      <c r="L268" s="121"/>
      <c r="P268" s="121"/>
      <c r="R268" s="121"/>
    </row>
    <row r="269" ht="15.75" customHeight="1">
      <c r="D269" s="121"/>
      <c r="F269" s="121"/>
      <c r="J269" s="121"/>
      <c r="L269" s="121"/>
      <c r="P269" s="121"/>
      <c r="R269" s="121"/>
    </row>
    <row r="270" ht="15.75" customHeight="1">
      <c r="D270" s="121"/>
      <c r="F270" s="121"/>
      <c r="J270" s="121"/>
      <c r="L270" s="121"/>
      <c r="P270" s="121"/>
      <c r="R270" s="121"/>
    </row>
    <row r="271" ht="15.75" customHeight="1">
      <c r="D271" s="121"/>
      <c r="F271" s="121"/>
      <c r="J271" s="121"/>
      <c r="L271" s="121"/>
      <c r="P271" s="121"/>
      <c r="R271" s="121"/>
    </row>
    <row r="272" ht="15.75" customHeight="1">
      <c r="D272" s="121"/>
      <c r="F272" s="121"/>
      <c r="J272" s="121"/>
      <c r="L272" s="121"/>
      <c r="P272" s="121"/>
      <c r="R272" s="121"/>
    </row>
    <row r="273" ht="15.75" customHeight="1">
      <c r="D273" s="121"/>
      <c r="F273" s="121"/>
      <c r="J273" s="121"/>
      <c r="L273" s="121"/>
      <c r="P273" s="121"/>
      <c r="R273" s="121"/>
    </row>
    <row r="274" ht="15.75" customHeight="1">
      <c r="D274" s="121"/>
      <c r="F274" s="121"/>
      <c r="J274" s="121"/>
      <c r="L274" s="121"/>
      <c r="P274" s="121"/>
      <c r="R274" s="121"/>
    </row>
    <row r="275" ht="15.75" customHeight="1">
      <c r="D275" s="121"/>
      <c r="F275" s="121"/>
      <c r="J275" s="121"/>
      <c r="L275" s="121"/>
      <c r="P275" s="121"/>
      <c r="R275" s="121"/>
    </row>
    <row r="276" ht="15.75" customHeight="1">
      <c r="D276" s="121"/>
      <c r="F276" s="121"/>
      <c r="J276" s="121"/>
      <c r="L276" s="121"/>
      <c r="P276" s="121"/>
      <c r="R276" s="121"/>
    </row>
    <row r="277" ht="15.75" customHeight="1">
      <c r="D277" s="121"/>
      <c r="F277" s="121"/>
      <c r="J277" s="121"/>
      <c r="L277" s="121"/>
      <c r="P277" s="121"/>
      <c r="R277" s="121"/>
    </row>
    <row r="278" ht="15.75" customHeight="1">
      <c r="D278" s="121"/>
      <c r="F278" s="121"/>
      <c r="J278" s="121"/>
      <c r="L278" s="121"/>
      <c r="P278" s="121"/>
      <c r="R278" s="121"/>
    </row>
    <row r="279" ht="15.75" customHeight="1">
      <c r="D279" s="121"/>
      <c r="F279" s="121"/>
      <c r="J279" s="121"/>
      <c r="L279" s="121"/>
      <c r="P279" s="121"/>
      <c r="R279" s="121"/>
    </row>
    <row r="280" ht="15.75" customHeight="1">
      <c r="D280" s="121"/>
      <c r="F280" s="121"/>
      <c r="J280" s="121"/>
      <c r="L280" s="121"/>
      <c r="P280" s="121"/>
      <c r="R280" s="121"/>
    </row>
    <row r="281" ht="15.75" customHeight="1">
      <c r="D281" s="121"/>
      <c r="F281" s="121"/>
      <c r="J281" s="121"/>
      <c r="L281" s="121"/>
      <c r="P281" s="121"/>
      <c r="R281" s="121"/>
    </row>
    <row r="282" ht="15.75" customHeight="1">
      <c r="D282" s="121"/>
      <c r="F282" s="121"/>
      <c r="J282" s="121"/>
      <c r="L282" s="121"/>
      <c r="P282" s="121"/>
      <c r="R282" s="121"/>
    </row>
    <row r="283" ht="15.75" customHeight="1">
      <c r="D283" s="121"/>
      <c r="F283" s="121"/>
      <c r="J283" s="121"/>
      <c r="L283" s="121"/>
      <c r="P283" s="121"/>
      <c r="R283" s="121"/>
    </row>
    <row r="284" ht="15.75" customHeight="1">
      <c r="D284" s="121"/>
      <c r="F284" s="121"/>
      <c r="J284" s="121"/>
      <c r="L284" s="121"/>
      <c r="P284" s="121"/>
      <c r="R284" s="121"/>
    </row>
    <row r="285" ht="15.75" customHeight="1">
      <c r="D285" s="121"/>
      <c r="F285" s="121"/>
      <c r="J285" s="121"/>
      <c r="L285" s="121"/>
      <c r="P285" s="121"/>
      <c r="R285" s="121"/>
    </row>
    <row r="286" ht="15.75" customHeight="1">
      <c r="D286" s="121"/>
      <c r="F286" s="121"/>
      <c r="J286" s="121"/>
      <c r="L286" s="121"/>
      <c r="P286" s="121"/>
      <c r="R286" s="121"/>
    </row>
    <row r="287" ht="15.75" customHeight="1">
      <c r="D287" s="121"/>
      <c r="F287" s="121"/>
      <c r="J287" s="121"/>
      <c r="L287" s="121"/>
      <c r="P287" s="121"/>
      <c r="R287" s="121"/>
    </row>
    <row r="288" ht="15.75" customHeight="1">
      <c r="D288" s="121"/>
      <c r="F288" s="121"/>
      <c r="J288" s="121"/>
      <c r="L288" s="121"/>
      <c r="P288" s="121"/>
      <c r="R288" s="121"/>
    </row>
    <row r="289" ht="15.75" customHeight="1">
      <c r="D289" s="121"/>
      <c r="F289" s="121"/>
      <c r="J289" s="121"/>
      <c r="L289" s="121"/>
      <c r="P289" s="121"/>
      <c r="R289" s="121"/>
    </row>
    <row r="290" ht="15.75" customHeight="1">
      <c r="D290" s="121"/>
      <c r="F290" s="121"/>
      <c r="J290" s="121"/>
      <c r="L290" s="121"/>
      <c r="P290" s="121"/>
      <c r="R290" s="121"/>
    </row>
    <row r="291" ht="15.75" customHeight="1">
      <c r="D291" s="121"/>
      <c r="F291" s="121"/>
      <c r="J291" s="121"/>
      <c r="L291" s="121"/>
      <c r="P291" s="121"/>
      <c r="R291" s="121"/>
    </row>
    <row r="292" ht="15.75" customHeight="1">
      <c r="D292" s="121"/>
      <c r="F292" s="121"/>
      <c r="J292" s="121"/>
      <c r="L292" s="121"/>
      <c r="P292" s="121"/>
      <c r="R292" s="121"/>
    </row>
    <row r="293" ht="15.75" customHeight="1">
      <c r="D293" s="121"/>
      <c r="F293" s="121"/>
      <c r="J293" s="121"/>
      <c r="L293" s="121"/>
      <c r="P293" s="121"/>
      <c r="R293" s="121"/>
    </row>
    <row r="294" ht="15.75" customHeight="1">
      <c r="D294" s="121"/>
      <c r="F294" s="121"/>
      <c r="J294" s="121"/>
      <c r="L294" s="121"/>
      <c r="P294" s="121"/>
      <c r="R294" s="121"/>
    </row>
    <row r="295" ht="15.75" customHeight="1">
      <c r="D295" s="121"/>
      <c r="F295" s="121"/>
      <c r="J295" s="121"/>
      <c r="L295" s="121"/>
      <c r="P295" s="121"/>
      <c r="R295" s="121"/>
    </row>
    <row r="296" ht="15.75" customHeight="1">
      <c r="D296" s="121"/>
      <c r="F296" s="121"/>
      <c r="J296" s="121"/>
      <c r="L296" s="121"/>
      <c r="P296" s="121"/>
      <c r="R296" s="121"/>
    </row>
    <row r="297" ht="15.75" customHeight="1">
      <c r="D297" s="121"/>
      <c r="F297" s="121"/>
      <c r="J297" s="121"/>
      <c r="L297" s="121"/>
      <c r="P297" s="121"/>
      <c r="R297" s="121"/>
    </row>
    <row r="298" ht="15.75" customHeight="1">
      <c r="D298" s="121"/>
      <c r="F298" s="121"/>
      <c r="J298" s="121"/>
      <c r="L298" s="121"/>
      <c r="P298" s="121"/>
      <c r="R298" s="121"/>
    </row>
    <row r="299" ht="15.75" customHeight="1">
      <c r="D299" s="121"/>
      <c r="F299" s="121"/>
      <c r="J299" s="121"/>
      <c r="L299" s="121"/>
      <c r="P299" s="121"/>
      <c r="R299" s="121"/>
    </row>
    <row r="300" ht="15.75" customHeight="1">
      <c r="D300" s="121"/>
      <c r="F300" s="121"/>
      <c r="J300" s="121"/>
      <c r="L300" s="121"/>
      <c r="P300" s="121"/>
      <c r="R300" s="121"/>
    </row>
    <row r="301" ht="15.75" customHeight="1">
      <c r="D301" s="121"/>
      <c r="F301" s="121"/>
      <c r="J301" s="121"/>
      <c r="L301" s="121"/>
      <c r="P301" s="121"/>
      <c r="R301" s="121"/>
    </row>
    <row r="302" ht="15.75" customHeight="1">
      <c r="D302" s="121"/>
      <c r="F302" s="121"/>
      <c r="J302" s="121"/>
      <c r="L302" s="121"/>
      <c r="P302" s="121"/>
      <c r="R302" s="121"/>
    </row>
    <row r="303" ht="15.75" customHeight="1">
      <c r="D303" s="121"/>
      <c r="F303" s="121"/>
      <c r="J303" s="121"/>
      <c r="L303" s="121"/>
      <c r="P303" s="121"/>
      <c r="R303" s="121"/>
    </row>
    <row r="304" ht="15.75" customHeight="1">
      <c r="D304" s="121"/>
      <c r="F304" s="121"/>
      <c r="J304" s="121"/>
      <c r="L304" s="121"/>
      <c r="P304" s="121"/>
      <c r="R304" s="121"/>
    </row>
    <row r="305" ht="15.75" customHeight="1">
      <c r="D305" s="121"/>
      <c r="F305" s="121"/>
      <c r="J305" s="121"/>
      <c r="L305" s="121"/>
      <c r="P305" s="121"/>
      <c r="R305" s="121"/>
    </row>
    <row r="306" ht="15.75" customHeight="1">
      <c r="D306" s="121"/>
      <c r="F306" s="121"/>
      <c r="J306" s="121"/>
      <c r="L306" s="121"/>
      <c r="P306" s="121"/>
      <c r="R306" s="121"/>
    </row>
    <row r="307" ht="15.75" customHeight="1">
      <c r="D307" s="121"/>
      <c r="F307" s="121"/>
      <c r="J307" s="121"/>
      <c r="L307" s="121"/>
      <c r="P307" s="121"/>
      <c r="R307" s="121"/>
    </row>
    <row r="308" ht="15.75" customHeight="1">
      <c r="D308" s="121"/>
      <c r="F308" s="121"/>
      <c r="J308" s="121"/>
      <c r="L308" s="121"/>
      <c r="P308" s="121"/>
      <c r="R308" s="121"/>
    </row>
    <row r="309" ht="15.75" customHeight="1">
      <c r="D309" s="121"/>
      <c r="F309" s="121"/>
      <c r="J309" s="121"/>
      <c r="L309" s="121"/>
      <c r="P309" s="121"/>
      <c r="R309" s="121"/>
    </row>
    <row r="310" ht="15.75" customHeight="1">
      <c r="D310" s="121"/>
      <c r="F310" s="121"/>
      <c r="J310" s="121"/>
      <c r="L310" s="121"/>
      <c r="P310" s="121"/>
      <c r="R310" s="121"/>
    </row>
    <row r="311" ht="15.75" customHeight="1">
      <c r="D311" s="121"/>
      <c r="F311" s="121"/>
      <c r="J311" s="121"/>
      <c r="L311" s="121"/>
      <c r="P311" s="121"/>
      <c r="R311" s="121"/>
    </row>
    <row r="312" ht="15.75" customHeight="1">
      <c r="D312" s="121"/>
      <c r="F312" s="121"/>
      <c r="J312" s="121"/>
      <c r="L312" s="121"/>
      <c r="P312" s="121"/>
      <c r="R312" s="121"/>
    </row>
    <row r="313" ht="15.75" customHeight="1">
      <c r="D313" s="121"/>
      <c r="F313" s="121"/>
      <c r="J313" s="121"/>
      <c r="L313" s="121"/>
      <c r="P313" s="121"/>
      <c r="R313" s="121"/>
    </row>
    <row r="314" ht="15.75" customHeight="1">
      <c r="D314" s="121"/>
      <c r="F314" s="121"/>
      <c r="J314" s="121"/>
      <c r="L314" s="121"/>
      <c r="P314" s="121"/>
      <c r="R314" s="121"/>
    </row>
    <row r="315" ht="15.75" customHeight="1">
      <c r="D315" s="121"/>
      <c r="F315" s="121"/>
      <c r="J315" s="121"/>
      <c r="L315" s="121"/>
      <c r="P315" s="121"/>
      <c r="R315" s="121"/>
    </row>
    <row r="316" ht="15.75" customHeight="1">
      <c r="D316" s="121"/>
      <c r="F316" s="121"/>
      <c r="J316" s="121"/>
      <c r="L316" s="121"/>
      <c r="P316" s="121"/>
      <c r="R316" s="121"/>
    </row>
    <row r="317" ht="15.75" customHeight="1">
      <c r="D317" s="121"/>
      <c r="F317" s="121"/>
      <c r="J317" s="121"/>
      <c r="L317" s="121"/>
      <c r="P317" s="121"/>
      <c r="R317" s="121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2.13"/>
    <col customWidth="1" min="4" max="4" width="12.0"/>
    <col customWidth="1" hidden="1" min="5" max="5" width="12.63"/>
    <col customWidth="1" hidden="1" min="6" max="6" width="12.38"/>
    <col customWidth="1" hidden="1" min="7" max="9" width="12.63"/>
    <col customWidth="1" min="10" max="10" width="12.0"/>
    <col customWidth="1" hidden="1" min="11" max="11" width="12.63"/>
    <col customWidth="1" hidden="1" min="12" max="12" width="12.38"/>
    <col customWidth="1" hidden="1" min="13" max="15" width="12.63"/>
    <col customWidth="1" min="16" max="16" width="12.5"/>
    <col customWidth="1" hidden="1" min="17" max="17" width="12.63"/>
    <col customWidth="1" hidden="1" min="18" max="18" width="12.38"/>
    <col customWidth="1" hidden="1" min="19" max="21" width="12.63"/>
    <col customWidth="1" min="22" max="33" width="12.63"/>
  </cols>
  <sheetData>
    <row r="1" ht="15.75" customHeight="1">
      <c r="A1" s="425"/>
      <c r="B1" s="426" t="s">
        <v>0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E1" s="425"/>
      <c r="AF1" s="425"/>
      <c r="AG1" s="425"/>
    </row>
    <row r="2" ht="15.75" customHeight="1">
      <c r="A2" s="427"/>
      <c r="B2" s="512" t="s">
        <v>293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F2" s="425"/>
      <c r="AG2" s="425"/>
    </row>
    <row r="3" ht="15.75" customHeight="1">
      <c r="A3" s="425"/>
      <c r="B3" s="425"/>
      <c r="C3" s="425"/>
      <c r="D3" s="425"/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  <c r="AD3" s="425"/>
      <c r="AE3" s="425"/>
      <c r="AF3" s="425"/>
      <c r="AG3" s="425"/>
    </row>
    <row r="4" ht="15.75" customHeight="1">
      <c r="A4" s="425"/>
      <c r="B4" s="428" t="s">
        <v>165</v>
      </c>
      <c r="C4" s="428" t="s">
        <v>166</v>
      </c>
      <c r="D4" s="651" t="s">
        <v>167</v>
      </c>
      <c r="E4" s="6"/>
      <c r="F4" s="6"/>
      <c r="G4" s="6"/>
      <c r="H4" s="6"/>
      <c r="I4" s="7"/>
      <c r="J4" s="652" t="s">
        <v>168</v>
      </c>
      <c r="K4" s="10"/>
      <c r="L4" s="10"/>
      <c r="M4" s="10"/>
      <c r="N4" s="10"/>
      <c r="O4" s="12"/>
      <c r="P4" s="653" t="s">
        <v>169</v>
      </c>
      <c r="Q4" s="10"/>
      <c r="R4" s="10"/>
      <c r="S4" s="10"/>
      <c r="T4" s="10"/>
      <c r="U4" s="12"/>
      <c r="V4" s="654"/>
      <c r="W4" s="654"/>
      <c r="X4" s="654"/>
      <c r="Y4" s="654"/>
      <c r="Z4" s="654"/>
      <c r="AA4" s="654"/>
      <c r="AB4" s="654"/>
      <c r="AC4" s="654"/>
      <c r="AD4" s="654"/>
      <c r="AE4" s="654"/>
      <c r="AF4" s="654"/>
      <c r="AG4" s="654"/>
    </row>
    <row r="5" ht="18.0" customHeight="1">
      <c r="A5" s="655"/>
      <c r="B5" s="433"/>
      <c r="C5" s="433"/>
      <c r="D5" s="656" t="s">
        <v>170</v>
      </c>
      <c r="E5" s="657" t="s">
        <v>18</v>
      </c>
      <c r="F5" s="657" t="s">
        <v>171</v>
      </c>
      <c r="G5" s="657" t="s">
        <v>18</v>
      </c>
      <c r="H5" s="657" t="s">
        <v>172</v>
      </c>
      <c r="I5" s="658" t="s">
        <v>260</v>
      </c>
      <c r="J5" s="659" t="s">
        <v>170</v>
      </c>
      <c r="K5" s="659" t="s">
        <v>18</v>
      </c>
      <c r="L5" s="659" t="s">
        <v>171</v>
      </c>
      <c r="M5" s="659" t="s">
        <v>18</v>
      </c>
      <c r="N5" s="657" t="s">
        <v>172</v>
      </c>
      <c r="O5" s="658" t="s">
        <v>260</v>
      </c>
      <c r="P5" s="659" t="s">
        <v>170</v>
      </c>
      <c r="Q5" s="659" t="s">
        <v>18</v>
      </c>
      <c r="R5" s="659" t="s">
        <v>171</v>
      </c>
      <c r="S5" s="659" t="s">
        <v>18</v>
      </c>
      <c r="T5" s="657" t="s">
        <v>172</v>
      </c>
      <c r="U5" s="658" t="s">
        <v>260</v>
      </c>
      <c r="V5" s="660"/>
      <c r="W5" s="660"/>
      <c r="X5" s="660"/>
      <c r="Y5" s="660"/>
      <c r="Z5" s="660"/>
      <c r="AA5" s="660"/>
      <c r="AB5" s="660"/>
      <c r="AC5" s="660"/>
      <c r="AD5" s="660"/>
      <c r="AE5" s="660"/>
      <c r="AF5" s="660"/>
      <c r="AG5" s="660"/>
    </row>
    <row r="6" ht="15.75" hidden="1" customHeight="1">
      <c r="A6" s="425"/>
      <c r="B6" s="446"/>
      <c r="C6" s="481" t="s">
        <v>76</v>
      </c>
      <c r="D6" s="661">
        <v>5434.0</v>
      </c>
      <c r="E6" s="522"/>
      <c r="F6" s="610"/>
      <c r="G6" s="522"/>
      <c r="H6" s="610"/>
      <c r="I6" s="524"/>
      <c r="J6" s="661">
        <v>5434.0</v>
      </c>
      <c r="K6" s="522"/>
      <c r="L6" s="610"/>
      <c r="M6" s="524"/>
      <c r="N6" s="610"/>
      <c r="O6" s="524"/>
      <c r="P6" s="661">
        <v>5434.0</v>
      </c>
      <c r="Q6" s="522"/>
      <c r="R6" s="610"/>
      <c r="S6" s="524"/>
      <c r="T6" s="610"/>
      <c r="U6" s="524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</row>
    <row r="7" ht="15.75" hidden="1" customHeight="1">
      <c r="A7" s="425"/>
      <c r="B7" s="454"/>
      <c r="C7" s="450" t="s">
        <v>83</v>
      </c>
      <c r="D7" s="662">
        <v>1706.0</v>
      </c>
      <c r="E7" s="521"/>
      <c r="F7" s="612"/>
      <c r="G7" s="521"/>
      <c r="H7" s="612"/>
      <c r="I7" s="464"/>
      <c r="J7" s="662">
        <v>1706.0</v>
      </c>
      <c r="K7" s="521"/>
      <c r="L7" s="612"/>
      <c r="M7" s="464"/>
      <c r="N7" s="612"/>
      <c r="O7" s="464"/>
      <c r="P7" s="662">
        <v>1706.0</v>
      </c>
      <c r="Q7" s="521"/>
      <c r="R7" s="612"/>
      <c r="S7" s="464"/>
      <c r="T7" s="612"/>
      <c r="U7" s="464"/>
      <c r="V7" s="425"/>
      <c r="W7" s="425"/>
      <c r="X7" s="425"/>
      <c r="Y7" s="425"/>
      <c r="Z7" s="425"/>
      <c r="AA7" s="425"/>
      <c r="AB7" s="425"/>
      <c r="AC7" s="425"/>
      <c r="AD7" s="425"/>
      <c r="AE7" s="425"/>
      <c r="AF7" s="425"/>
      <c r="AG7" s="425"/>
    </row>
    <row r="8" ht="15.75" hidden="1" customHeight="1">
      <c r="A8" s="425"/>
      <c r="B8" s="454"/>
      <c r="C8" s="450" t="s">
        <v>90</v>
      </c>
      <c r="D8" s="662">
        <f>D24+D25+D28+D16</f>
        <v>8713619.25</v>
      </c>
      <c r="E8" s="521"/>
      <c r="F8" s="612"/>
      <c r="G8" s="521"/>
      <c r="H8" s="612"/>
      <c r="I8" s="464"/>
      <c r="J8" s="662">
        <f>J24+J25+J28+J16</f>
        <v>8429743</v>
      </c>
      <c r="K8" s="521"/>
      <c r="L8" s="612"/>
      <c r="M8" s="464"/>
      <c r="N8" s="612"/>
      <c r="O8" s="464"/>
      <c r="P8" s="662">
        <f>P24+P25+P28+P16</f>
        <v>0</v>
      </c>
      <c r="Q8" s="521"/>
      <c r="R8" s="612"/>
      <c r="S8" s="464"/>
      <c r="T8" s="612"/>
      <c r="U8" s="464"/>
      <c r="V8" s="425"/>
      <c r="W8" s="425"/>
      <c r="X8" s="425"/>
      <c r="Y8" s="425"/>
      <c r="Z8" s="425"/>
      <c r="AA8" s="425"/>
      <c r="AB8" s="425"/>
      <c r="AC8" s="425"/>
      <c r="AD8" s="425"/>
      <c r="AE8" s="425"/>
      <c r="AF8" s="425"/>
      <c r="AG8" s="425"/>
    </row>
    <row r="9" ht="15.75" hidden="1" customHeight="1">
      <c r="A9" s="425"/>
      <c r="B9" s="454"/>
      <c r="C9" s="450" t="s">
        <v>97</v>
      </c>
      <c r="D9" s="662">
        <f>D17+D21+D19+D20</f>
        <v>4136581.24</v>
      </c>
      <c r="E9" s="521"/>
      <c r="F9" s="612"/>
      <c r="G9" s="521"/>
      <c r="H9" s="612"/>
      <c r="I9" s="464"/>
      <c r="J9" s="662">
        <f>J17+J21+J19+J20</f>
        <v>3986558</v>
      </c>
      <c r="K9" s="521"/>
      <c r="L9" s="612"/>
      <c r="M9" s="464"/>
      <c r="N9" s="612"/>
      <c r="O9" s="464"/>
      <c r="P9" s="662">
        <f>P17+P21+P19+P20</f>
        <v>0</v>
      </c>
      <c r="Q9" s="521"/>
      <c r="R9" s="612"/>
      <c r="S9" s="464"/>
      <c r="T9" s="612"/>
      <c r="U9" s="464"/>
      <c r="V9" s="425"/>
      <c r="W9" s="425"/>
      <c r="X9" s="425"/>
      <c r="Y9" s="425"/>
      <c r="Z9" s="425"/>
      <c r="AA9" s="425"/>
      <c r="AB9" s="425"/>
      <c r="AC9" s="425"/>
      <c r="AD9" s="425"/>
      <c r="AE9" s="425"/>
      <c r="AF9" s="425"/>
      <c r="AG9" s="425"/>
    </row>
    <row r="10" ht="15.75" hidden="1" customHeight="1">
      <c r="A10" s="425"/>
      <c r="B10" s="454"/>
      <c r="C10" s="450" t="s">
        <v>104</v>
      </c>
      <c r="D10" s="662">
        <f>SUM(D8:D9)-D29</f>
        <v>0</v>
      </c>
      <c r="E10" s="521"/>
      <c r="F10" s="612"/>
      <c r="G10" s="521"/>
      <c r="H10" s="612"/>
      <c r="I10" s="464"/>
      <c r="J10" s="662">
        <f>SUM(J8:J9)-J29</f>
        <v>-16575</v>
      </c>
      <c r="K10" s="521"/>
      <c r="L10" s="612"/>
      <c r="M10" s="464"/>
      <c r="N10" s="612"/>
      <c r="O10" s="464"/>
      <c r="P10" s="662">
        <f>SUM(P8:P9)-P29</f>
        <v>0</v>
      </c>
      <c r="Q10" s="521"/>
      <c r="R10" s="612"/>
      <c r="S10" s="464"/>
      <c r="T10" s="612"/>
      <c r="U10" s="464"/>
      <c r="V10" s="425"/>
      <c r="W10" s="425"/>
      <c r="X10" s="425"/>
      <c r="Y10" s="425"/>
      <c r="Z10" s="425"/>
      <c r="AA10" s="425"/>
      <c r="AB10" s="425"/>
      <c r="AC10" s="425"/>
      <c r="AD10" s="425"/>
      <c r="AE10" s="425"/>
      <c r="AF10" s="425"/>
      <c r="AG10" s="425"/>
    </row>
    <row r="11" ht="15.75" hidden="1" customHeight="1">
      <c r="A11" s="425"/>
      <c r="B11" s="454"/>
      <c r="C11" s="450" t="s">
        <v>111</v>
      </c>
      <c r="D11" s="662">
        <f t="shared" ref="D11:D12" si="1">D8/D6</f>
        <v>1603.536851</v>
      </c>
      <c r="E11" s="521"/>
      <c r="F11" s="612"/>
      <c r="G11" s="521"/>
      <c r="H11" s="612"/>
      <c r="I11" s="464"/>
      <c r="J11" s="662">
        <f t="shared" ref="J11:J12" si="2">J8/J6</f>
        <v>1551.296099</v>
      </c>
      <c r="K11" s="521"/>
      <c r="L11" s="612"/>
      <c r="M11" s="464"/>
      <c r="N11" s="612"/>
      <c r="O11" s="464"/>
      <c r="P11" s="662">
        <f t="shared" ref="P11:P12" si="3">P8/P6</f>
        <v>0</v>
      </c>
      <c r="Q11" s="521"/>
      <c r="R11" s="612"/>
      <c r="S11" s="464"/>
      <c r="T11" s="612"/>
      <c r="U11" s="464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</row>
    <row r="12" ht="15.75" hidden="1" customHeight="1">
      <c r="A12" s="425"/>
      <c r="B12" s="454"/>
      <c r="C12" s="450" t="s">
        <v>118</v>
      </c>
      <c r="D12" s="662">
        <f t="shared" si="1"/>
        <v>2424.725229</v>
      </c>
      <c r="E12" s="521"/>
      <c r="F12" s="612"/>
      <c r="G12" s="521"/>
      <c r="H12" s="612"/>
      <c r="I12" s="464"/>
      <c r="J12" s="662">
        <f t="shared" si="2"/>
        <v>2336.786635</v>
      </c>
      <c r="K12" s="521"/>
      <c r="L12" s="612"/>
      <c r="M12" s="464"/>
      <c r="N12" s="612"/>
      <c r="O12" s="464"/>
      <c r="P12" s="662">
        <f t="shared" si="3"/>
        <v>0</v>
      </c>
      <c r="Q12" s="521"/>
      <c r="R12" s="612"/>
      <c r="S12" s="464"/>
      <c r="T12" s="612"/>
      <c r="U12" s="464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</row>
    <row r="13" ht="15.75" hidden="1" customHeight="1">
      <c r="A13" s="425"/>
      <c r="B13" s="454"/>
      <c r="C13" s="450"/>
      <c r="D13" s="662"/>
      <c r="E13" s="521"/>
      <c r="F13" s="612"/>
      <c r="G13" s="521"/>
      <c r="H13" s="612"/>
      <c r="I13" s="464"/>
      <c r="J13" s="662"/>
      <c r="K13" s="521"/>
      <c r="L13" s="612"/>
      <c r="M13" s="464"/>
      <c r="N13" s="612"/>
      <c r="O13" s="464"/>
      <c r="P13" s="662"/>
      <c r="Q13" s="521"/>
      <c r="R13" s="612"/>
      <c r="S13" s="464"/>
      <c r="T13" s="612"/>
      <c r="U13" s="464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</row>
    <row r="14" ht="15.75" hidden="1" customHeight="1">
      <c r="A14" s="425"/>
      <c r="B14" s="454"/>
      <c r="C14" s="468"/>
      <c r="D14" s="663"/>
      <c r="E14" s="526"/>
      <c r="F14" s="664"/>
      <c r="G14" s="526"/>
      <c r="H14" s="664"/>
      <c r="I14" s="528"/>
      <c r="J14" s="663"/>
      <c r="K14" s="521"/>
      <c r="L14" s="612"/>
      <c r="M14" s="464"/>
      <c r="N14" s="664"/>
      <c r="O14" s="528"/>
      <c r="P14" s="663"/>
      <c r="Q14" s="521"/>
      <c r="R14" s="612"/>
      <c r="S14" s="464"/>
      <c r="T14" s="664"/>
      <c r="U14" s="528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</row>
    <row r="15" ht="15.75" customHeight="1">
      <c r="A15" s="425"/>
      <c r="B15" s="442" t="s">
        <v>173</v>
      </c>
      <c r="C15" s="665" t="s">
        <v>294</v>
      </c>
      <c r="D15" s="666">
        <f>SUM(D16:D21)</f>
        <v>10177814.49</v>
      </c>
      <c r="E15" s="667"/>
      <c r="F15" s="668">
        <f>SUM(F16:F21)</f>
        <v>0</v>
      </c>
      <c r="G15" s="667"/>
      <c r="H15" s="669"/>
      <c r="I15" s="670"/>
      <c r="J15" s="671">
        <f>SUM(J16:J21)</f>
        <v>10463877</v>
      </c>
      <c r="K15" s="672"/>
      <c r="L15" s="673">
        <f>SUM(L16:L21)</f>
        <v>0</v>
      </c>
      <c r="M15" s="674"/>
      <c r="N15" s="669"/>
      <c r="O15" s="670"/>
      <c r="P15" s="671">
        <f>SUM(P16:P21)</f>
        <v>0</v>
      </c>
      <c r="Q15" s="675"/>
      <c r="R15" s="673">
        <f>SUM(R16:R21)</f>
        <v>0</v>
      </c>
      <c r="S15" s="674"/>
      <c r="T15" s="669"/>
      <c r="U15" s="670"/>
      <c r="V15" s="425"/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</row>
    <row r="16" ht="15.75" customHeight="1">
      <c r="A16" s="425"/>
      <c r="B16" s="454" t="s">
        <v>23</v>
      </c>
      <c r="C16" s="481" t="s">
        <v>175</v>
      </c>
      <c r="D16" s="676">
        <v>6041233.25</v>
      </c>
      <c r="E16" s="533">
        <f t="shared" ref="E16:E21" si="4">D16/$D$15</f>
        <v>0.5935688115</v>
      </c>
      <c r="F16" s="610"/>
      <c r="G16" s="533" t="str">
        <f t="shared" ref="G16:G17" si="5">F16/F$15</f>
        <v>#DIV/0!</v>
      </c>
      <c r="H16" s="610">
        <f>D16-F16</f>
        <v>6041233.25</v>
      </c>
      <c r="I16" s="536" t="str">
        <f>H16/F16</f>
        <v>#DIV/0!</v>
      </c>
      <c r="J16" s="677">
        <v>6477319.0</v>
      </c>
      <c r="K16" s="541">
        <f t="shared" ref="K16:K21" si="6">J16/$D$15</f>
        <v>0.6364155101</v>
      </c>
      <c r="L16" s="612"/>
      <c r="M16" s="542" t="str">
        <f t="shared" ref="M16:M17" si="7">L16/L$15</f>
        <v>#DIV/0!</v>
      </c>
      <c r="N16" s="610">
        <f>J16-L16</f>
        <v>6477319</v>
      </c>
      <c r="O16" s="536" t="str">
        <f>N16/L16</f>
        <v>#DIV/0!</v>
      </c>
      <c r="P16" s="544"/>
      <c r="Q16" s="541">
        <f t="shared" ref="Q16:Q21" si="8">P16/$D$15</f>
        <v>0</v>
      </c>
      <c r="R16" s="612"/>
      <c r="S16" s="542" t="str">
        <f t="shared" ref="S16:S17" si="9">R16/R$15</f>
        <v>#DIV/0!</v>
      </c>
      <c r="T16" s="610">
        <f>P16-R16</f>
        <v>0</v>
      </c>
      <c r="U16" s="536" t="str">
        <f>T16/R16</f>
        <v>#DIV/0!</v>
      </c>
      <c r="V16" s="425"/>
      <c r="W16" s="425"/>
      <c r="X16" s="425"/>
      <c r="Y16" s="425"/>
      <c r="Z16" s="425"/>
      <c r="AA16" s="425"/>
      <c r="AB16" s="425"/>
      <c r="AC16" s="425"/>
      <c r="AD16" s="425"/>
      <c r="AE16" s="425"/>
      <c r="AF16" s="425"/>
      <c r="AG16" s="425"/>
    </row>
    <row r="17" ht="15.75" customHeight="1">
      <c r="A17" s="425"/>
      <c r="B17" s="450"/>
      <c r="C17" s="450" t="s">
        <v>176</v>
      </c>
      <c r="D17" s="678">
        <v>3300685.0</v>
      </c>
      <c r="E17" s="545">
        <f t="shared" si="4"/>
        <v>0.3243019416</v>
      </c>
      <c r="F17" s="664"/>
      <c r="G17" s="545" t="str">
        <f t="shared" si="5"/>
        <v>#DIV/0!</v>
      </c>
      <c r="H17" s="664"/>
      <c r="I17" s="528"/>
      <c r="J17" s="679">
        <f>2889573+575914</f>
        <v>3465487</v>
      </c>
      <c r="K17" s="541">
        <f t="shared" si="6"/>
        <v>0.3404942194</v>
      </c>
      <c r="L17" s="612"/>
      <c r="M17" s="542" t="str">
        <f t="shared" si="7"/>
        <v>#DIV/0!</v>
      </c>
      <c r="N17" s="664"/>
      <c r="O17" s="528"/>
      <c r="P17" s="680"/>
      <c r="Q17" s="541">
        <f t="shared" si="8"/>
        <v>0</v>
      </c>
      <c r="R17" s="612"/>
      <c r="S17" s="542" t="str">
        <f t="shared" si="9"/>
        <v>#DIV/0!</v>
      </c>
      <c r="T17" s="664"/>
      <c r="U17" s="528"/>
      <c r="V17" s="425"/>
      <c r="W17" s="425"/>
      <c r="X17" s="425"/>
      <c r="Y17" s="425"/>
      <c r="Z17" s="425"/>
      <c r="AA17" s="425"/>
      <c r="AB17" s="425"/>
      <c r="AC17" s="425"/>
      <c r="AD17" s="425"/>
      <c r="AE17" s="425"/>
      <c r="AF17" s="425"/>
      <c r="AG17" s="425"/>
    </row>
    <row r="18" ht="15.75" customHeight="1">
      <c r="B18" s="450"/>
      <c r="C18" s="450" t="s">
        <v>261</v>
      </c>
      <c r="D18" s="681">
        <v>0.0</v>
      </c>
      <c r="E18" s="538">
        <f t="shared" si="4"/>
        <v>0</v>
      </c>
      <c r="F18" s="501"/>
      <c r="G18" s="538" t="str">
        <f>F18/$F$15</f>
        <v>#DIV/0!</v>
      </c>
      <c r="H18" s="501">
        <f t="shared" ref="H18:H21" si="10">D18-F18</f>
        <v>0</v>
      </c>
      <c r="I18" s="538"/>
      <c r="J18" s="682">
        <v>0.0</v>
      </c>
      <c r="K18" s="541">
        <f t="shared" si="6"/>
        <v>0</v>
      </c>
      <c r="L18" s="501"/>
      <c r="M18" s="542" t="str">
        <f>L18/$F$15</f>
        <v>#DIV/0!</v>
      </c>
      <c r="N18" s="501">
        <f t="shared" ref="N18:N21" si="11">J18-L18</f>
        <v>0</v>
      </c>
      <c r="O18" s="538"/>
      <c r="P18" s="459"/>
      <c r="Q18" s="541">
        <f t="shared" si="8"/>
        <v>0</v>
      </c>
      <c r="R18" s="501"/>
      <c r="S18" s="542" t="str">
        <f>R18/$F$15</f>
        <v>#DIV/0!</v>
      </c>
      <c r="T18" s="501">
        <f t="shared" ref="T18:T21" si="12">P18-R18</f>
        <v>0</v>
      </c>
      <c r="U18" s="538"/>
    </row>
    <row r="19" ht="15.75" customHeight="1">
      <c r="A19" s="425"/>
      <c r="B19" s="450"/>
      <c r="C19" s="450" t="s">
        <v>177</v>
      </c>
      <c r="D19" s="683">
        <f>320333+330548.14</f>
        <v>650881.14</v>
      </c>
      <c r="E19" s="612">
        <f t="shared" si="4"/>
        <v>0.06395097303</v>
      </c>
      <c r="F19" s="612"/>
      <c r="G19" s="612" t="str">
        <f t="shared" ref="G19:G21" si="13">F19/F$15</f>
        <v>#DIV/0!</v>
      </c>
      <c r="H19" s="612">
        <f t="shared" si="10"/>
        <v>650881.14</v>
      </c>
      <c r="I19" s="612" t="str">
        <f>H19/F19</f>
        <v>#DIV/0!</v>
      </c>
      <c r="J19" s="684">
        <v>521071.0</v>
      </c>
      <c r="K19" s="541">
        <f t="shared" si="6"/>
        <v>0.05119674764</v>
      </c>
      <c r="L19" s="612"/>
      <c r="M19" s="542" t="str">
        <f t="shared" ref="M19:M21" si="14">L19/L$15</f>
        <v>#DIV/0!</v>
      </c>
      <c r="N19" s="612">
        <f t="shared" si="11"/>
        <v>521071</v>
      </c>
      <c r="O19" s="612" t="str">
        <f>N19/L19</f>
        <v>#DIV/0!</v>
      </c>
      <c r="P19" s="685"/>
      <c r="Q19" s="541">
        <f t="shared" si="8"/>
        <v>0</v>
      </c>
      <c r="R19" s="612"/>
      <c r="S19" s="542" t="str">
        <f t="shared" ref="S19:S21" si="15">R19/R$15</f>
        <v>#DIV/0!</v>
      </c>
      <c r="T19" s="612">
        <f t="shared" si="12"/>
        <v>0</v>
      </c>
      <c r="U19" s="612" t="str">
        <f>T19/R19</f>
        <v>#DIV/0!</v>
      </c>
      <c r="V19" s="425"/>
      <c r="W19" s="425"/>
      <c r="X19" s="425"/>
      <c r="Y19" s="425"/>
      <c r="Z19" s="425"/>
      <c r="AA19" s="425"/>
      <c r="AB19" s="425"/>
      <c r="AC19" s="425"/>
      <c r="AD19" s="425"/>
      <c r="AE19" s="425"/>
      <c r="AF19" s="425"/>
      <c r="AG19" s="425"/>
    </row>
    <row r="20" ht="15.75" customHeight="1">
      <c r="A20" s="425"/>
      <c r="B20" s="450"/>
      <c r="C20" s="450" t="s">
        <v>178</v>
      </c>
      <c r="D20" s="676">
        <f>24674.54+333.75</f>
        <v>25008.29</v>
      </c>
      <c r="E20" s="533">
        <f t="shared" si="4"/>
        <v>0.002457137534</v>
      </c>
      <c r="F20" s="610"/>
      <c r="G20" s="533" t="str">
        <f t="shared" si="13"/>
        <v>#DIV/0!</v>
      </c>
      <c r="H20" s="610">
        <f t="shared" si="10"/>
        <v>25008.29</v>
      </c>
      <c r="I20" s="536"/>
      <c r="J20" s="676"/>
      <c r="K20" s="538">
        <f t="shared" si="6"/>
        <v>0</v>
      </c>
      <c r="L20" s="612"/>
      <c r="M20" s="542" t="str">
        <f t="shared" si="14"/>
        <v>#DIV/0!</v>
      </c>
      <c r="N20" s="610">
        <f t="shared" si="11"/>
        <v>0</v>
      </c>
      <c r="O20" s="536"/>
      <c r="P20" s="686"/>
      <c r="Q20" s="541">
        <f t="shared" si="8"/>
        <v>0</v>
      </c>
      <c r="R20" s="612"/>
      <c r="S20" s="542" t="str">
        <f t="shared" si="15"/>
        <v>#DIV/0!</v>
      </c>
      <c r="T20" s="610">
        <f t="shared" si="12"/>
        <v>0</v>
      </c>
      <c r="U20" s="536"/>
      <c r="V20" s="425"/>
      <c r="W20" s="425"/>
      <c r="X20" s="425"/>
      <c r="Y20" s="425"/>
      <c r="Z20" s="425"/>
      <c r="AA20" s="425"/>
      <c r="AB20" s="425"/>
      <c r="AC20" s="425"/>
      <c r="AD20" s="425"/>
      <c r="AE20" s="425"/>
      <c r="AF20" s="425"/>
      <c r="AG20" s="425"/>
    </row>
    <row r="21" ht="15.75" customHeight="1">
      <c r="A21" s="425"/>
      <c r="B21" s="450"/>
      <c r="C21" s="450" t="s">
        <v>179</v>
      </c>
      <c r="D21" s="684">
        <f>91271.5+50989.25+15379.5+2366.56</f>
        <v>160006.81</v>
      </c>
      <c r="E21" s="538">
        <f t="shared" si="4"/>
        <v>0.01572113641</v>
      </c>
      <c r="F21" s="612"/>
      <c r="G21" s="538" t="str">
        <f t="shared" si="13"/>
        <v>#DIV/0!</v>
      </c>
      <c r="H21" s="612">
        <f t="shared" si="10"/>
        <v>160006.81</v>
      </c>
      <c r="I21" s="542"/>
      <c r="J21" s="684"/>
      <c r="K21" s="538">
        <f t="shared" si="6"/>
        <v>0</v>
      </c>
      <c r="L21" s="612"/>
      <c r="M21" s="542" t="str">
        <f t="shared" si="14"/>
        <v>#DIV/0!</v>
      </c>
      <c r="N21" s="612">
        <f t="shared" si="11"/>
        <v>0</v>
      </c>
      <c r="O21" s="542"/>
      <c r="P21" s="685"/>
      <c r="Q21" s="541">
        <f t="shared" si="8"/>
        <v>0</v>
      </c>
      <c r="R21" s="612"/>
      <c r="S21" s="542" t="str">
        <f t="shared" si="15"/>
        <v>#DIV/0!</v>
      </c>
      <c r="T21" s="612">
        <f t="shared" si="12"/>
        <v>0</v>
      </c>
      <c r="U21" s="542"/>
      <c r="V21" s="425"/>
      <c r="W21" s="425"/>
      <c r="X21" s="425"/>
      <c r="Y21" s="425"/>
      <c r="Z21" s="425"/>
      <c r="AA21" s="425"/>
      <c r="AB21" s="425"/>
      <c r="AC21" s="425"/>
      <c r="AD21" s="425"/>
      <c r="AE21" s="425"/>
      <c r="AF21" s="425"/>
      <c r="AG21" s="425"/>
    </row>
    <row r="22" ht="15.75" customHeight="1">
      <c r="A22" s="425"/>
      <c r="B22" s="450"/>
      <c r="C22" s="450" t="s">
        <v>263</v>
      </c>
      <c r="D22" s="684"/>
      <c r="E22" s="538"/>
      <c r="F22" s="612"/>
      <c r="G22" s="538"/>
      <c r="H22" s="612"/>
      <c r="I22" s="550" t="str">
        <f>IFERROR(H22/F22,"")</f>
        <v/>
      </c>
      <c r="J22" s="684">
        <v>16575.0</v>
      </c>
      <c r="K22" s="538"/>
      <c r="L22" s="612"/>
      <c r="M22" s="542"/>
      <c r="N22" s="612"/>
      <c r="O22" s="550" t="str">
        <f>IFERROR(N22/L22,"")</f>
        <v/>
      </c>
      <c r="P22" s="685"/>
      <c r="Q22" s="541"/>
      <c r="R22" s="612"/>
      <c r="S22" s="542"/>
      <c r="T22" s="612"/>
      <c r="U22" s="550" t="str">
        <f>IFERROR(T22/R22,"")</f>
        <v/>
      </c>
      <c r="V22" s="425"/>
      <c r="W22" s="425"/>
      <c r="X22" s="425"/>
      <c r="Y22" s="425"/>
      <c r="Z22" s="425"/>
      <c r="AA22" s="425"/>
      <c r="AB22" s="425"/>
      <c r="AC22" s="425"/>
      <c r="AD22" s="425"/>
      <c r="AE22" s="425"/>
      <c r="AF22" s="425"/>
      <c r="AG22" s="425"/>
    </row>
    <row r="23" ht="15.75" customHeight="1">
      <c r="A23" s="425"/>
      <c r="B23" s="454"/>
      <c r="C23" s="450"/>
      <c r="D23" s="684"/>
      <c r="E23" s="521"/>
      <c r="F23" s="612"/>
      <c r="G23" s="521"/>
      <c r="H23" s="612"/>
      <c r="I23" s="464"/>
      <c r="J23" s="678"/>
      <c r="K23" s="521"/>
      <c r="L23" s="612"/>
      <c r="M23" s="464"/>
      <c r="N23" s="612"/>
      <c r="O23" s="464"/>
      <c r="P23" s="687"/>
      <c r="Q23" s="552"/>
      <c r="R23" s="612"/>
      <c r="S23" s="464"/>
      <c r="T23" s="612"/>
      <c r="U23" s="464"/>
      <c r="V23" s="425"/>
      <c r="W23" s="425"/>
      <c r="X23" s="425"/>
      <c r="Y23" s="425"/>
      <c r="Z23" s="425"/>
      <c r="AA23" s="425"/>
      <c r="AB23" s="425"/>
      <c r="AC23" s="425"/>
      <c r="AD23" s="425"/>
      <c r="AE23" s="425"/>
      <c r="AF23" s="425"/>
      <c r="AG23" s="425"/>
    </row>
    <row r="24" ht="15.75" customHeight="1">
      <c r="A24" s="425"/>
      <c r="B24" s="454" t="s">
        <v>21</v>
      </c>
      <c r="C24" s="450" t="s">
        <v>21</v>
      </c>
      <c r="D24" s="684">
        <v>1181100.0</v>
      </c>
      <c r="E24" s="538">
        <f t="shared" ref="E24:E26" si="16">D24/$D$29</f>
        <v>0.09191296283</v>
      </c>
      <c r="F24" s="612"/>
      <c r="G24" s="538" t="str">
        <f t="shared" ref="G24:G26" si="17">F24/F$29</f>
        <v>#DIV/0!</v>
      </c>
      <c r="H24" s="612">
        <f t="shared" ref="H24:H26" si="18">D24-F24</f>
        <v>1181100</v>
      </c>
      <c r="I24" s="542" t="str">
        <f t="shared" ref="I24:I26" si="19">H24/F24</f>
        <v>#DIV/0!</v>
      </c>
      <c r="J24" s="688">
        <v>1217044.0</v>
      </c>
      <c r="K24" s="541">
        <f t="shared" ref="K24:K26" si="20">J24/$D$29</f>
        <v>0.09471011763</v>
      </c>
      <c r="L24" s="612"/>
      <c r="M24" s="542" t="str">
        <f t="shared" ref="M24:M26" si="21">L24/L$29</f>
        <v>#DIV/0!</v>
      </c>
      <c r="N24" s="612">
        <f t="shared" ref="N24:N26" si="22">J24-L24</f>
        <v>1217044</v>
      </c>
      <c r="O24" s="542" t="str">
        <f t="shared" ref="O24:O26" si="23">N24/L24</f>
        <v>#DIV/0!</v>
      </c>
      <c r="P24" s="498"/>
      <c r="Q24" s="541">
        <f t="shared" ref="Q24:Q26" si="24">P24/$D$29</f>
        <v>0</v>
      </c>
      <c r="R24" s="612"/>
      <c r="S24" s="542" t="str">
        <f t="shared" ref="S24:S26" si="25">R24/R$29</f>
        <v>#DIV/0!</v>
      </c>
      <c r="T24" s="612">
        <f t="shared" ref="T24:T26" si="26">P24-R24</f>
        <v>0</v>
      </c>
      <c r="U24" s="542" t="str">
        <f t="shared" ref="U24:U26" si="27">T24/R24</f>
        <v>#DIV/0!</v>
      </c>
      <c r="V24" s="425"/>
      <c r="W24" s="425"/>
      <c r="X24" s="425"/>
      <c r="Y24" s="425"/>
      <c r="Z24" s="425"/>
      <c r="AA24" s="425"/>
      <c r="AB24" s="425"/>
      <c r="AC24" s="425"/>
      <c r="AD24" s="425"/>
      <c r="AE24" s="425"/>
      <c r="AF24" s="425"/>
      <c r="AG24" s="425"/>
    </row>
    <row r="25" ht="15.75" customHeight="1">
      <c r="A25" s="425"/>
      <c r="B25" s="454" t="s">
        <v>22</v>
      </c>
      <c r="C25" s="450" t="s">
        <v>22</v>
      </c>
      <c r="D25" s="684">
        <v>769660.0</v>
      </c>
      <c r="E25" s="538">
        <f t="shared" si="16"/>
        <v>0.05989478535</v>
      </c>
      <c r="F25" s="612"/>
      <c r="G25" s="538" t="str">
        <f t="shared" si="17"/>
        <v>#DIV/0!</v>
      </c>
      <c r="H25" s="612">
        <f t="shared" si="18"/>
        <v>769660</v>
      </c>
      <c r="I25" s="542" t="str">
        <f t="shared" si="19"/>
        <v>#DIV/0!</v>
      </c>
      <c r="J25" s="688">
        <v>735380.0</v>
      </c>
      <c r="K25" s="541">
        <f t="shared" si="20"/>
        <v>0.05722712269</v>
      </c>
      <c r="L25" s="612"/>
      <c r="M25" s="542" t="str">
        <f t="shared" si="21"/>
        <v>#DIV/0!</v>
      </c>
      <c r="N25" s="612">
        <f t="shared" si="22"/>
        <v>735380</v>
      </c>
      <c r="O25" s="542" t="str">
        <f t="shared" si="23"/>
        <v>#DIV/0!</v>
      </c>
      <c r="P25" s="498"/>
      <c r="Q25" s="541">
        <f t="shared" si="24"/>
        <v>0</v>
      </c>
      <c r="R25" s="612"/>
      <c r="S25" s="542" t="str">
        <f t="shared" si="25"/>
        <v>#DIV/0!</v>
      </c>
      <c r="T25" s="612">
        <f t="shared" si="26"/>
        <v>0</v>
      </c>
      <c r="U25" s="542" t="str">
        <f t="shared" si="27"/>
        <v>#DIV/0!</v>
      </c>
      <c r="V25" s="425"/>
      <c r="W25" s="425"/>
      <c r="X25" s="425"/>
      <c r="Y25" s="425"/>
      <c r="Z25" s="425"/>
      <c r="AA25" s="425"/>
      <c r="AB25" s="425"/>
      <c r="AC25" s="425"/>
      <c r="AD25" s="425"/>
      <c r="AE25" s="425"/>
      <c r="AF25" s="425"/>
      <c r="AG25" s="425"/>
    </row>
    <row r="26" ht="15.75" customHeight="1">
      <c r="A26" s="425"/>
      <c r="B26" s="454" t="s">
        <v>23</v>
      </c>
      <c r="C26" s="450" t="s">
        <v>180</v>
      </c>
      <c r="D26" s="689">
        <f>SUM(D16:D22)</f>
        <v>10177814.49</v>
      </c>
      <c r="E26" s="538">
        <f t="shared" si="16"/>
        <v>0.7920354626</v>
      </c>
      <c r="F26" s="616"/>
      <c r="G26" s="538" t="str">
        <f t="shared" si="17"/>
        <v>#DIV/0!</v>
      </c>
      <c r="H26" s="612">
        <f t="shared" si="18"/>
        <v>10177814.49</v>
      </c>
      <c r="I26" s="542" t="str">
        <f t="shared" si="19"/>
        <v>#DIV/0!</v>
      </c>
      <c r="J26" s="690">
        <f>SUM(J16:J22)</f>
        <v>10480452</v>
      </c>
      <c r="K26" s="538">
        <f t="shared" si="20"/>
        <v>0.8155866524</v>
      </c>
      <c r="L26" s="616"/>
      <c r="M26" s="542" t="str">
        <f t="shared" si="21"/>
        <v>#DIV/0!</v>
      </c>
      <c r="N26" s="612">
        <f t="shared" si="22"/>
        <v>10480452</v>
      </c>
      <c r="O26" s="542" t="str">
        <f t="shared" si="23"/>
        <v>#DIV/0!</v>
      </c>
      <c r="P26" s="691"/>
      <c r="Q26" s="541">
        <f t="shared" si="24"/>
        <v>0</v>
      </c>
      <c r="R26" s="616"/>
      <c r="S26" s="542" t="str">
        <f t="shared" si="25"/>
        <v>#DIV/0!</v>
      </c>
      <c r="T26" s="612">
        <f t="shared" si="26"/>
        <v>0</v>
      </c>
      <c r="U26" s="542" t="str">
        <f t="shared" si="27"/>
        <v>#DIV/0!</v>
      </c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5"/>
      <c r="AG26" s="425"/>
    </row>
    <row r="27" ht="15.75" customHeight="1">
      <c r="A27" s="425"/>
      <c r="B27" s="450"/>
      <c r="C27" s="450"/>
      <c r="D27" s="684"/>
      <c r="E27" s="521"/>
      <c r="F27" s="521"/>
      <c r="G27" s="521"/>
      <c r="H27" s="521"/>
      <c r="I27" s="464"/>
      <c r="J27" s="684"/>
      <c r="K27" s="521"/>
      <c r="L27" s="521"/>
      <c r="M27" s="464"/>
      <c r="N27" s="521"/>
      <c r="O27" s="464"/>
      <c r="P27" s="685"/>
      <c r="Q27" s="552"/>
      <c r="R27" s="521"/>
      <c r="S27" s="464"/>
      <c r="T27" s="521"/>
      <c r="U27" s="464"/>
      <c r="V27" s="425"/>
      <c r="W27" s="425"/>
      <c r="X27" s="425"/>
      <c r="Y27" s="425"/>
      <c r="Z27" s="425"/>
      <c r="AA27" s="425"/>
      <c r="AB27" s="425"/>
      <c r="AC27" s="425"/>
      <c r="AD27" s="425"/>
      <c r="AE27" s="425"/>
      <c r="AF27" s="425"/>
      <c r="AG27" s="425"/>
    </row>
    <row r="28" ht="15.75" customHeight="1">
      <c r="A28" s="425"/>
      <c r="B28" s="468"/>
      <c r="C28" s="468" t="s">
        <v>181</v>
      </c>
      <c r="D28" s="678">
        <v>721626.0</v>
      </c>
      <c r="E28" s="545">
        <f>D28/$D$29</f>
        <v>0.05615678919</v>
      </c>
      <c r="F28" s="664"/>
      <c r="G28" s="545">
        <v>0.0716</v>
      </c>
      <c r="H28" s="526"/>
      <c r="I28" s="528"/>
      <c r="J28" s="678"/>
      <c r="K28" s="545">
        <f>J28/$D$29</f>
        <v>0</v>
      </c>
      <c r="L28" s="664"/>
      <c r="M28" s="546">
        <v>0.0716</v>
      </c>
      <c r="N28" s="526"/>
      <c r="O28" s="528"/>
      <c r="P28" s="687"/>
      <c r="Q28" s="554">
        <f>P28/$D$29</f>
        <v>0</v>
      </c>
      <c r="R28" s="664"/>
      <c r="S28" s="546">
        <v>0.0716</v>
      </c>
      <c r="T28" s="526"/>
      <c r="U28" s="528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</row>
    <row r="29" ht="15.75" customHeight="1">
      <c r="A29" s="425"/>
      <c r="B29" s="474"/>
      <c r="C29" s="474" t="s">
        <v>182</v>
      </c>
      <c r="D29" s="692">
        <f>D24+D25+D26+D28</f>
        <v>12850200.49</v>
      </c>
      <c r="E29" s="555"/>
      <c r="F29" s="609">
        <f>F24+F25+F26+F28</f>
        <v>0</v>
      </c>
      <c r="G29" s="555"/>
      <c r="H29" s="609">
        <f>H24+H25+H26+H28</f>
        <v>12128574.49</v>
      </c>
      <c r="I29" s="556"/>
      <c r="J29" s="692">
        <f>J24+J25+J26+J28</f>
        <v>12432876</v>
      </c>
      <c r="K29" s="555"/>
      <c r="L29" s="609">
        <f>L24+L25+L26+L28</f>
        <v>0</v>
      </c>
      <c r="M29" s="556"/>
      <c r="N29" s="609">
        <f>N24+N25+N26+N28</f>
        <v>12432876</v>
      </c>
      <c r="O29" s="556"/>
      <c r="P29" s="627">
        <f>P24+P25+P26+P28</f>
        <v>0</v>
      </c>
      <c r="Q29" s="557"/>
      <c r="R29" s="609">
        <f>R24+R25+R26+R28</f>
        <v>0</v>
      </c>
      <c r="S29" s="556"/>
      <c r="T29" s="609">
        <f>T24+T25+T26+T28</f>
        <v>0</v>
      </c>
      <c r="U29" s="556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</row>
    <row r="30" ht="15.75" hidden="1" customHeight="1">
      <c r="A30" s="425"/>
      <c r="B30" s="446" t="s">
        <v>183</v>
      </c>
      <c r="C30" s="481"/>
      <c r="D30" s="661"/>
      <c r="E30" s="522"/>
      <c r="F30" s="522"/>
      <c r="G30" s="522"/>
      <c r="H30" s="522"/>
      <c r="I30" s="524"/>
      <c r="J30" s="661"/>
      <c r="K30" s="522"/>
      <c r="L30" s="522"/>
      <c r="M30" s="524"/>
      <c r="N30" s="522"/>
      <c r="O30" s="524"/>
      <c r="P30" s="686"/>
      <c r="Q30" s="574"/>
      <c r="R30" s="522"/>
      <c r="S30" s="524"/>
      <c r="T30" s="522"/>
      <c r="U30" s="524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</row>
    <row r="31" ht="15.75" hidden="1" customHeight="1">
      <c r="A31" s="425"/>
      <c r="B31" s="450"/>
      <c r="C31" s="450"/>
      <c r="D31" s="662"/>
      <c r="E31" s="538"/>
      <c r="F31" s="612"/>
      <c r="G31" s="612"/>
      <c r="H31" s="612"/>
      <c r="I31" s="693"/>
      <c r="J31" s="662"/>
      <c r="K31" s="538"/>
      <c r="L31" s="612"/>
      <c r="M31" s="693"/>
      <c r="N31" s="612"/>
      <c r="O31" s="693"/>
      <c r="P31" s="685"/>
      <c r="Q31" s="541"/>
      <c r="R31" s="612"/>
      <c r="S31" s="693"/>
      <c r="T31" s="612"/>
      <c r="U31" s="693"/>
      <c r="V31" s="425"/>
      <c r="W31" s="425"/>
      <c r="X31" s="425"/>
      <c r="Y31" s="425"/>
      <c r="Z31" s="425"/>
      <c r="AA31" s="425"/>
      <c r="AB31" s="425"/>
      <c r="AC31" s="425"/>
      <c r="AD31" s="425"/>
      <c r="AE31" s="425"/>
      <c r="AF31" s="425"/>
      <c r="AG31" s="425"/>
    </row>
    <row r="32" ht="15.75" hidden="1" customHeight="1">
      <c r="A32" s="425"/>
      <c r="B32" s="450"/>
      <c r="C32" s="450"/>
      <c r="D32" s="662"/>
      <c r="E32" s="538"/>
      <c r="F32" s="612"/>
      <c r="G32" s="612"/>
      <c r="H32" s="612"/>
      <c r="I32" s="693"/>
      <c r="J32" s="662"/>
      <c r="K32" s="538"/>
      <c r="L32" s="612"/>
      <c r="M32" s="693"/>
      <c r="N32" s="612"/>
      <c r="O32" s="693"/>
      <c r="P32" s="685"/>
      <c r="Q32" s="541"/>
      <c r="R32" s="612"/>
      <c r="S32" s="693"/>
      <c r="T32" s="612"/>
      <c r="U32" s="693"/>
      <c r="V32" s="425"/>
      <c r="W32" s="425"/>
      <c r="X32" s="425"/>
      <c r="Y32" s="425"/>
      <c r="Z32" s="425"/>
      <c r="AA32" s="425"/>
      <c r="AB32" s="425"/>
      <c r="AC32" s="425"/>
      <c r="AD32" s="425"/>
      <c r="AE32" s="425"/>
      <c r="AF32" s="425"/>
      <c r="AG32" s="425"/>
    </row>
    <row r="33" ht="15.75" hidden="1" customHeight="1">
      <c r="A33" s="425"/>
      <c r="B33" s="450"/>
      <c r="C33" s="450"/>
      <c r="D33" s="662"/>
      <c r="E33" s="538"/>
      <c r="F33" s="612"/>
      <c r="G33" s="612"/>
      <c r="H33" s="612"/>
      <c r="I33" s="693"/>
      <c r="J33" s="662"/>
      <c r="K33" s="538"/>
      <c r="L33" s="612"/>
      <c r="M33" s="693"/>
      <c r="N33" s="612"/>
      <c r="O33" s="693"/>
      <c r="P33" s="685"/>
      <c r="Q33" s="541"/>
      <c r="R33" s="612"/>
      <c r="S33" s="693"/>
      <c r="T33" s="612"/>
      <c r="U33" s="693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  <c r="AG33" s="425"/>
    </row>
    <row r="34" ht="15.75" hidden="1" customHeight="1">
      <c r="A34" s="425"/>
      <c r="B34" s="450"/>
      <c r="C34" s="450"/>
      <c r="D34" s="662"/>
      <c r="E34" s="538"/>
      <c r="F34" s="612"/>
      <c r="G34" s="612"/>
      <c r="H34" s="612"/>
      <c r="I34" s="693"/>
      <c r="J34" s="662"/>
      <c r="K34" s="538"/>
      <c r="L34" s="612"/>
      <c r="M34" s="693"/>
      <c r="N34" s="612"/>
      <c r="O34" s="693"/>
      <c r="P34" s="685"/>
      <c r="Q34" s="541"/>
      <c r="R34" s="612"/>
      <c r="S34" s="693"/>
      <c r="T34" s="612"/>
      <c r="U34" s="693"/>
      <c r="V34" s="425"/>
      <c r="W34" s="425"/>
      <c r="X34" s="425"/>
      <c r="Y34" s="425"/>
      <c r="Z34" s="425"/>
      <c r="AA34" s="425"/>
      <c r="AB34" s="425"/>
      <c r="AC34" s="425"/>
      <c r="AD34" s="425"/>
      <c r="AE34" s="425"/>
      <c r="AF34" s="425"/>
      <c r="AG34" s="425"/>
    </row>
    <row r="35" ht="15.75" hidden="1" customHeight="1">
      <c r="A35" s="425"/>
      <c r="B35" s="450"/>
      <c r="C35" s="450"/>
      <c r="D35" s="662"/>
      <c r="E35" s="538"/>
      <c r="F35" s="612"/>
      <c r="G35" s="612"/>
      <c r="H35" s="612"/>
      <c r="I35" s="693"/>
      <c r="J35" s="662"/>
      <c r="K35" s="538"/>
      <c r="L35" s="612"/>
      <c r="M35" s="693"/>
      <c r="N35" s="612"/>
      <c r="O35" s="693"/>
      <c r="P35" s="685"/>
      <c r="Q35" s="541"/>
      <c r="R35" s="612"/>
      <c r="S35" s="693"/>
      <c r="T35" s="612"/>
      <c r="U35" s="693"/>
      <c r="V35" s="425"/>
      <c r="W35" s="425"/>
      <c r="X35" s="425"/>
      <c r="Y35" s="425"/>
      <c r="Z35" s="425"/>
      <c r="AA35" s="425"/>
      <c r="AB35" s="425"/>
      <c r="AC35" s="425"/>
      <c r="AD35" s="425"/>
      <c r="AE35" s="425"/>
      <c r="AF35" s="425"/>
      <c r="AG35" s="425"/>
    </row>
    <row r="36" ht="15.75" hidden="1" customHeight="1">
      <c r="A36" s="425"/>
      <c r="B36" s="450"/>
      <c r="C36" s="450"/>
      <c r="D36" s="662"/>
      <c r="E36" s="538"/>
      <c r="F36" s="612"/>
      <c r="G36" s="612"/>
      <c r="H36" s="612"/>
      <c r="I36" s="693"/>
      <c r="J36" s="662"/>
      <c r="K36" s="538"/>
      <c r="L36" s="612"/>
      <c r="M36" s="693"/>
      <c r="N36" s="612"/>
      <c r="O36" s="693"/>
      <c r="P36" s="685"/>
      <c r="Q36" s="541"/>
      <c r="R36" s="612"/>
      <c r="S36" s="693"/>
      <c r="T36" s="612"/>
      <c r="U36" s="693"/>
      <c r="V36" s="425"/>
      <c r="W36" s="425"/>
      <c r="X36" s="425"/>
      <c r="Y36" s="425"/>
      <c r="Z36" s="425"/>
      <c r="AA36" s="425"/>
      <c r="AB36" s="425"/>
      <c r="AC36" s="425"/>
      <c r="AD36" s="425"/>
      <c r="AE36" s="425"/>
      <c r="AF36" s="425"/>
      <c r="AG36" s="425"/>
    </row>
    <row r="37" ht="15.75" hidden="1" customHeight="1">
      <c r="A37" s="425"/>
      <c r="B37" s="450"/>
      <c r="C37" s="450"/>
      <c r="D37" s="662"/>
      <c r="E37" s="538"/>
      <c r="F37" s="612"/>
      <c r="G37" s="612"/>
      <c r="H37" s="612"/>
      <c r="I37" s="693"/>
      <c r="J37" s="662"/>
      <c r="K37" s="538"/>
      <c r="L37" s="612"/>
      <c r="M37" s="693"/>
      <c r="N37" s="612"/>
      <c r="O37" s="693"/>
      <c r="P37" s="685"/>
      <c r="Q37" s="541"/>
      <c r="R37" s="612"/>
      <c r="S37" s="693"/>
      <c r="T37" s="612"/>
      <c r="U37" s="693"/>
      <c r="V37" s="427"/>
      <c r="W37" s="427"/>
      <c r="X37" s="427"/>
      <c r="Y37" s="427"/>
      <c r="Z37" s="427"/>
      <c r="AA37" s="427"/>
      <c r="AB37" s="427"/>
      <c r="AC37" s="427"/>
      <c r="AD37" s="427"/>
      <c r="AE37" s="427"/>
      <c r="AF37" s="427"/>
      <c r="AG37" s="427"/>
    </row>
    <row r="38" ht="15.75" customHeight="1">
      <c r="A38" s="425"/>
      <c r="B38" s="454"/>
      <c r="C38" s="454"/>
      <c r="D38" s="662"/>
      <c r="E38" s="521"/>
      <c r="F38" s="521"/>
      <c r="G38" s="521"/>
      <c r="H38" s="521"/>
      <c r="I38" s="464"/>
      <c r="J38" s="662"/>
      <c r="K38" s="521"/>
      <c r="L38" s="521"/>
      <c r="M38" s="464"/>
      <c r="N38" s="521"/>
      <c r="O38" s="464"/>
      <c r="P38" s="685"/>
      <c r="Q38" s="552"/>
      <c r="R38" s="521"/>
      <c r="S38" s="464"/>
      <c r="T38" s="521"/>
      <c r="U38" s="464"/>
      <c r="V38" s="425"/>
      <c r="W38" s="425"/>
      <c r="X38" s="425"/>
      <c r="Y38" s="425"/>
      <c r="Z38" s="425"/>
      <c r="AA38" s="425"/>
      <c r="AB38" s="425"/>
      <c r="AC38" s="425"/>
      <c r="AD38" s="425"/>
      <c r="AE38" s="425"/>
      <c r="AF38" s="425"/>
      <c r="AG38" s="425"/>
    </row>
    <row r="39" ht="15.75" customHeight="1">
      <c r="A39" s="425"/>
      <c r="B39" s="466" t="s">
        <v>186</v>
      </c>
      <c r="C39" s="450"/>
      <c r="D39" s="662"/>
      <c r="E39" s="521"/>
      <c r="F39" s="521"/>
      <c r="G39" s="521"/>
      <c r="H39" s="521"/>
      <c r="I39" s="464"/>
      <c r="J39" s="662"/>
      <c r="K39" s="521"/>
      <c r="L39" s="521"/>
      <c r="M39" s="464"/>
      <c r="N39" s="521"/>
      <c r="O39" s="464"/>
      <c r="P39" s="685"/>
      <c r="Q39" s="552"/>
      <c r="R39" s="521"/>
      <c r="S39" s="464"/>
      <c r="T39" s="521"/>
      <c r="U39" s="464"/>
      <c r="V39" s="425"/>
      <c r="W39" s="425"/>
      <c r="X39" s="425"/>
      <c r="Y39" s="425"/>
      <c r="Z39" s="425"/>
      <c r="AA39" s="425"/>
      <c r="AB39" s="425"/>
      <c r="AC39" s="425"/>
      <c r="AD39" s="425"/>
      <c r="AE39" s="425"/>
      <c r="AF39" s="425"/>
      <c r="AG39" s="425"/>
    </row>
    <row r="40" ht="15.75" customHeight="1">
      <c r="A40" s="425"/>
      <c r="B40" s="454" t="s">
        <v>28</v>
      </c>
      <c r="C40" s="450"/>
      <c r="D40" s="662"/>
      <c r="E40" s="521"/>
      <c r="F40" s="521"/>
      <c r="G40" s="521"/>
      <c r="H40" s="521"/>
      <c r="I40" s="464"/>
      <c r="J40" s="662"/>
      <c r="K40" s="521"/>
      <c r="L40" s="521"/>
      <c r="M40" s="464"/>
      <c r="N40" s="521"/>
      <c r="O40" s="464"/>
      <c r="P40" s="685"/>
      <c r="Q40" s="552"/>
      <c r="R40" s="521"/>
      <c r="S40" s="464"/>
      <c r="T40" s="521"/>
      <c r="U40" s="464"/>
      <c r="V40" s="425"/>
      <c r="W40" s="425"/>
      <c r="X40" s="425"/>
      <c r="Y40" s="425"/>
      <c r="Z40" s="425"/>
      <c r="AA40" s="425"/>
      <c r="AB40" s="425"/>
      <c r="AC40" s="425"/>
      <c r="AD40" s="425"/>
      <c r="AE40" s="425"/>
      <c r="AF40" s="425"/>
      <c r="AG40" s="425"/>
    </row>
    <row r="41" ht="15.75" customHeight="1">
      <c r="A41" s="425"/>
      <c r="B41" s="450"/>
      <c r="C41" s="694" t="s">
        <v>187</v>
      </c>
      <c r="D41" s="662"/>
      <c r="E41" s="521"/>
      <c r="F41" s="521"/>
      <c r="G41" s="521"/>
      <c r="H41" s="521"/>
      <c r="I41" s="464"/>
      <c r="J41" s="662"/>
      <c r="K41" s="521"/>
      <c r="L41" s="521"/>
      <c r="M41" s="464"/>
      <c r="N41" s="521"/>
      <c r="O41" s="464"/>
      <c r="P41" s="685"/>
      <c r="Q41" s="552"/>
      <c r="R41" s="521"/>
      <c r="S41" s="464"/>
      <c r="T41" s="521"/>
      <c r="U41" s="464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</row>
    <row r="42" ht="15.75" customHeight="1">
      <c r="A42" s="425"/>
      <c r="B42" s="450"/>
      <c r="C42" s="450" t="s">
        <v>188</v>
      </c>
      <c r="D42" s="662">
        <f>'MSBC CK Allocation'!C32</f>
        <v>680906.5528</v>
      </c>
      <c r="E42" s="538"/>
      <c r="F42" s="612"/>
      <c r="G42" s="538"/>
      <c r="H42" s="612">
        <f t="shared" ref="H42:H46" si="28">D42-F42</f>
        <v>680906.5528</v>
      </c>
      <c r="I42" s="542" t="str">
        <f t="shared" ref="I42:I46" si="29">H42/F42</f>
        <v>#DIV/0!</v>
      </c>
      <c r="J42" s="662">
        <f>'MSBC CK Allocation'!D32</f>
        <v>806140.9156</v>
      </c>
      <c r="K42" s="538"/>
      <c r="L42" s="612"/>
      <c r="M42" s="542"/>
      <c r="N42" s="612">
        <f t="shared" ref="N42:N46" si="30">J42-L42</f>
        <v>806140.9156</v>
      </c>
      <c r="O42" s="542" t="str">
        <f t="shared" ref="O42:O46" si="31">N42/L42</f>
        <v>#DIV/0!</v>
      </c>
      <c r="P42" s="685"/>
      <c r="Q42" s="541"/>
      <c r="R42" s="612"/>
      <c r="S42" s="542"/>
      <c r="T42" s="612">
        <f t="shared" ref="T42:T46" si="32">P42-R42</f>
        <v>0</v>
      </c>
      <c r="U42" s="542" t="str">
        <f t="shared" ref="U42:U46" si="33">T42/R42</f>
        <v>#DIV/0!</v>
      </c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  <c r="AG42" s="425"/>
    </row>
    <row r="43" ht="15.75" customHeight="1">
      <c r="A43" s="425"/>
      <c r="B43" s="450"/>
      <c r="C43" s="450" t="s">
        <v>189</v>
      </c>
      <c r="D43" s="662">
        <v>3451726.3724086797</v>
      </c>
      <c r="E43" s="538"/>
      <c r="F43" s="612"/>
      <c r="G43" s="538"/>
      <c r="H43" s="612">
        <f t="shared" si="28"/>
        <v>3451726.372</v>
      </c>
      <c r="I43" s="542" t="str">
        <f t="shared" si="29"/>
        <v>#DIV/0!</v>
      </c>
      <c r="J43" s="662">
        <f>3192420.45+299409.28</f>
        <v>3491829.73</v>
      </c>
      <c r="K43" s="538"/>
      <c r="L43" s="612"/>
      <c r="M43" s="542"/>
      <c r="N43" s="612">
        <f t="shared" si="30"/>
        <v>3491829.73</v>
      </c>
      <c r="O43" s="542" t="str">
        <f t="shared" si="31"/>
        <v>#DIV/0!</v>
      </c>
      <c r="P43" s="685"/>
      <c r="Q43" s="541"/>
      <c r="R43" s="612"/>
      <c r="S43" s="542"/>
      <c r="T43" s="612">
        <f t="shared" si="32"/>
        <v>0</v>
      </c>
      <c r="U43" s="542" t="str">
        <f t="shared" si="33"/>
        <v>#DIV/0!</v>
      </c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</row>
    <row r="44" ht="15.75" customHeight="1">
      <c r="A44" s="425"/>
      <c r="B44" s="450"/>
      <c r="C44" s="450" t="s">
        <v>21</v>
      </c>
      <c r="D44" s="662">
        <v>257826.77068050829</v>
      </c>
      <c r="E44" s="538"/>
      <c r="F44" s="612"/>
      <c r="G44" s="538"/>
      <c r="H44" s="612">
        <f t="shared" si="28"/>
        <v>257826.7707</v>
      </c>
      <c r="I44" s="542" t="str">
        <f t="shared" si="29"/>
        <v>#DIV/0!</v>
      </c>
      <c r="J44" s="662">
        <f>214997.73+87626.53</f>
        <v>302624.26</v>
      </c>
      <c r="K44" s="538"/>
      <c r="L44" s="612"/>
      <c r="M44" s="542"/>
      <c r="N44" s="612">
        <f t="shared" si="30"/>
        <v>302624.26</v>
      </c>
      <c r="O44" s="542" t="str">
        <f t="shared" si="31"/>
        <v>#DIV/0!</v>
      </c>
      <c r="P44" s="685"/>
      <c r="Q44" s="541"/>
      <c r="R44" s="612"/>
      <c r="S44" s="542"/>
      <c r="T44" s="612">
        <f t="shared" si="32"/>
        <v>0</v>
      </c>
      <c r="U44" s="542" t="str">
        <f t="shared" si="33"/>
        <v>#DIV/0!</v>
      </c>
      <c r="V44" s="425"/>
      <c r="W44" s="425"/>
      <c r="X44" s="425"/>
      <c r="Y44" s="425"/>
      <c r="Z44" s="425"/>
      <c r="AA44" s="425"/>
      <c r="AB44" s="425"/>
      <c r="AC44" s="425"/>
      <c r="AD44" s="425"/>
      <c r="AE44" s="425"/>
      <c r="AF44" s="425"/>
      <c r="AG44" s="425"/>
    </row>
    <row r="45" ht="15.75" customHeight="1">
      <c r="A45" s="425"/>
      <c r="B45" s="450"/>
      <c r="C45" s="450" t="s">
        <v>22</v>
      </c>
      <c r="D45" s="662">
        <v>298275.25000000047</v>
      </c>
      <c r="E45" s="538"/>
      <c r="F45" s="612"/>
      <c r="G45" s="538"/>
      <c r="H45" s="612">
        <f t="shared" si="28"/>
        <v>298275.25</v>
      </c>
      <c r="I45" s="542" t="str">
        <f t="shared" si="29"/>
        <v>#DIV/0!</v>
      </c>
      <c r="J45" s="662">
        <v>245519.05</v>
      </c>
      <c r="K45" s="538"/>
      <c r="L45" s="612"/>
      <c r="M45" s="542"/>
      <c r="N45" s="612">
        <f t="shared" si="30"/>
        <v>245519.05</v>
      </c>
      <c r="O45" s="542" t="str">
        <f t="shared" si="31"/>
        <v>#DIV/0!</v>
      </c>
      <c r="P45" s="685"/>
      <c r="Q45" s="541"/>
      <c r="R45" s="612"/>
      <c r="S45" s="542"/>
      <c r="T45" s="612">
        <f t="shared" si="32"/>
        <v>0</v>
      </c>
      <c r="U45" s="542" t="str">
        <f t="shared" si="33"/>
        <v>#DIV/0!</v>
      </c>
      <c r="V45" s="425"/>
      <c r="W45" s="425"/>
      <c r="X45" s="425"/>
      <c r="Y45" s="425"/>
      <c r="Z45" s="425"/>
      <c r="AA45" s="425"/>
      <c r="AB45" s="425"/>
      <c r="AC45" s="425"/>
      <c r="AD45" s="425"/>
      <c r="AE45" s="425"/>
      <c r="AF45" s="425"/>
      <c r="AG45" s="425"/>
    </row>
    <row r="46" ht="15.75" customHeight="1">
      <c r="A46" s="425"/>
      <c r="B46" s="468"/>
      <c r="C46" s="468" t="s">
        <v>295</v>
      </c>
      <c r="D46" s="663">
        <f>'Calculation Sheet for GST on Pu'!C23</f>
        <v>168479.277</v>
      </c>
      <c r="E46" s="545"/>
      <c r="F46" s="664"/>
      <c r="G46" s="545"/>
      <c r="H46" s="664">
        <f t="shared" si="28"/>
        <v>168479.277</v>
      </c>
      <c r="I46" s="546" t="str">
        <f t="shared" si="29"/>
        <v>#DIV/0!</v>
      </c>
      <c r="J46" s="663">
        <f>'Calculation Sheet for GST on Pu'!D23</f>
        <v>166161.5105</v>
      </c>
      <c r="K46" s="538"/>
      <c r="L46" s="612"/>
      <c r="M46" s="542"/>
      <c r="N46" s="664">
        <f t="shared" si="30"/>
        <v>166161.5105</v>
      </c>
      <c r="O46" s="546" t="str">
        <f t="shared" si="31"/>
        <v>#DIV/0!</v>
      </c>
      <c r="P46" s="687"/>
      <c r="Q46" s="541"/>
      <c r="R46" s="612"/>
      <c r="S46" s="542"/>
      <c r="T46" s="664">
        <f t="shared" si="32"/>
        <v>0</v>
      </c>
      <c r="U46" s="546" t="str">
        <f t="shared" si="33"/>
        <v>#DIV/0!</v>
      </c>
      <c r="V46" s="425"/>
      <c r="W46" s="425"/>
      <c r="X46" s="425"/>
      <c r="Y46" s="425"/>
      <c r="Z46" s="425"/>
      <c r="AA46" s="425"/>
      <c r="AB46" s="425"/>
      <c r="AC46" s="425"/>
      <c r="AD46" s="425"/>
      <c r="AE46" s="425"/>
      <c r="AF46" s="425"/>
      <c r="AG46" s="425"/>
    </row>
    <row r="47" ht="15.75" customHeight="1">
      <c r="A47" s="425"/>
      <c r="B47" s="474"/>
      <c r="C47" s="474" t="s">
        <v>191</v>
      </c>
      <c r="D47" s="627">
        <f>SUM(D42:D46)</f>
        <v>4857214.223</v>
      </c>
      <c r="E47" s="581"/>
      <c r="F47" s="627"/>
      <c r="G47" s="581"/>
      <c r="H47" s="627">
        <f>SUM(H42:H46)</f>
        <v>4857214.223</v>
      </c>
      <c r="I47" s="581"/>
      <c r="J47" s="627">
        <f>SUM(J42:J46)</f>
        <v>5012275.466</v>
      </c>
      <c r="K47" s="541"/>
      <c r="L47" s="612"/>
      <c r="M47" s="542"/>
      <c r="N47" s="627">
        <f>SUM(N42:N46)</f>
        <v>5012275.466</v>
      </c>
      <c r="O47" s="581"/>
      <c r="P47" s="627">
        <f>SUM(P42:P46)</f>
        <v>0</v>
      </c>
      <c r="Q47" s="541"/>
      <c r="R47" s="612"/>
      <c r="S47" s="542"/>
      <c r="T47" s="627">
        <f>SUM(T42:T46)</f>
        <v>0</v>
      </c>
      <c r="U47" s="581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</row>
    <row r="48" ht="15.75" customHeight="1">
      <c r="A48" s="425"/>
      <c r="B48" s="508"/>
      <c r="C48" s="508" t="s">
        <v>192</v>
      </c>
      <c r="D48" s="439">
        <v>187031.4</v>
      </c>
      <c r="E48" s="562"/>
      <c r="F48" s="695"/>
      <c r="G48" s="562"/>
      <c r="H48" s="695">
        <f>D48-F48</f>
        <v>187031.4</v>
      </c>
      <c r="I48" s="564" t="str">
        <f>H48/F48</f>
        <v>#DIV/0!</v>
      </c>
      <c r="J48" s="439">
        <v>179370.0</v>
      </c>
      <c r="K48" s="545"/>
      <c r="L48" s="664"/>
      <c r="M48" s="546"/>
      <c r="N48" s="695">
        <f>J48-L48</f>
        <v>179370</v>
      </c>
      <c r="O48" s="564" t="str">
        <f>N48/L48</f>
        <v>#DIV/0!</v>
      </c>
      <c r="P48" s="696"/>
      <c r="Q48" s="554"/>
      <c r="R48" s="664"/>
      <c r="S48" s="546"/>
      <c r="T48" s="695">
        <f>P48-R48</f>
        <v>0</v>
      </c>
      <c r="U48" s="564" t="str">
        <f>T48/R48</f>
        <v>#DIV/0!</v>
      </c>
      <c r="V48" s="425"/>
      <c r="W48" s="425"/>
      <c r="X48" s="425"/>
      <c r="Y48" s="425"/>
      <c r="Z48" s="425"/>
      <c r="AA48" s="425"/>
      <c r="AB48" s="425"/>
      <c r="AC48" s="425"/>
      <c r="AD48" s="425"/>
      <c r="AE48" s="425"/>
      <c r="AF48" s="425"/>
      <c r="AG48" s="425"/>
    </row>
    <row r="49" ht="15.75" customHeight="1">
      <c r="A49" s="425"/>
      <c r="B49" s="474"/>
      <c r="C49" s="474" t="s">
        <v>193</v>
      </c>
      <c r="D49" s="692">
        <f>D47+D48</f>
        <v>5044245.623</v>
      </c>
      <c r="E49" s="529">
        <f>D49/D$29</f>
        <v>0.3925421729</v>
      </c>
      <c r="F49" s="609">
        <f>F47+F48</f>
        <v>0</v>
      </c>
      <c r="G49" s="529" t="str">
        <f>F49/F$29</f>
        <v>#DIV/0!</v>
      </c>
      <c r="H49" s="609">
        <f>H47+H48</f>
        <v>5044245.623</v>
      </c>
      <c r="I49" s="531"/>
      <c r="J49" s="692">
        <f>J47+J48</f>
        <v>5191645.466</v>
      </c>
      <c r="K49" s="529">
        <f>J49/J$29</f>
        <v>0.4175739761</v>
      </c>
      <c r="L49" s="609">
        <f>L47+L48</f>
        <v>0</v>
      </c>
      <c r="M49" s="531" t="str">
        <f>L49/L$29</f>
        <v>#DIV/0!</v>
      </c>
      <c r="N49" s="609">
        <f>N47+N48</f>
        <v>5191645.466</v>
      </c>
      <c r="O49" s="531"/>
      <c r="P49" s="627">
        <f>P47+P48</f>
        <v>0</v>
      </c>
      <c r="Q49" s="532" t="str">
        <f>P49/P$29</f>
        <v>#DIV/0!</v>
      </c>
      <c r="R49" s="609">
        <f>R47+R48</f>
        <v>0</v>
      </c>
      <c r="S49" s="531" t="str">
        <f>R49/R$29</f>
        <v>#DIV/0!</v>
      </c>
      <c r="T49" s="609">
        <f>T47+T48</f>
        <v>0</v>
      </c>
      <c r="U49" s="531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427"/>
    </row>
    <row r="50" ht="15.75" customHeight="1">
      <c r="A50" s="425"/>
      <c r="B50" s="468"/>
      <c r="C50" s="468"/>
      <c r="D50" s="663"/>
      <c r="E50" s="526"/>
      <c r="F50" s="526"/>
      <c r="G50" s="526"/>
      <c r="H50" s="521"/>
      <c r="I50" s="464"/>
      <c r="J50" s="663"/>
      <c r="K50" s="526"/>
      <c r="L50" s="526"/>
      <c r="M50" s="528"/>
      <c r="N50" s="521"/>
      <c r="O50" s="464"/>
      <c r="P50" s="687"/>
      <c r="Q50" s="577"/>
      <c r="R50" s="526"/>
      <c r="S50" s="528"/>
      <c r="T50" s="521"/>
      <c r="U50" s="464"/>
      <c r="V50" s="425"/>
      <c r="W50" s="425"/>
      <c r="X50" s="425"/>
      <c r="Y50" s="425"/>
      <c r="Z50" s="425"/>
      <c r="AA50" s="425"/>
      <c r="AB50" s="425"/>
      <c r="AC50" s="425"/>
      <c r="AD50" s="425"/>
      <c r="AE50" s="425"/>
      <c r="AF50" s="425"/>
      <c r="AG50" s="425"/>
    </row>
    <row r="51" ht="15.75" customHeight="1">
      <c r="A51" s="425"/>
      <c r="B51" s="620" t="s">
        <v>32</v>
      </c>
      <c r="C51" s="474" t="s">
        <v>32</v>
      </c>
      <c r="D51" s="692">
        <f>D29-D49</f>
        <v>7805954.867</v>
      </c>
      <c r="E51" s="529">
        <f>D51/D$29</f>
        <v>0.6074578271</v>
      </c>
      <c r="F51" s="609" t="str">
        <f>F29-F49-#REF!</f>
        <v>#REF!</v>
      </c>
      <c r="G51" s="531" t="str">
        <f>F51/F$29</f>
        <v>#REF!</v>
      </c>
      <c r="H51" s="697" t="str">
        <f>H29-H49-#REF!</f>
        <v>#REF!</v>
      </c>
      <c r="I51" s="698" t="str">
        <f>H51/H$29</f>
        <v>#REF!</v>
      </c>
      <c r="J51" s="692">
        <f>J29-J49</f>
        <v>7241230.534</v>
      </c>
      <c r="K51" s="529">
        <f>J51/J$29</f>
        <v>0.5824260239</v>
      </c>
      <c r="L51" s="609" t="str">
        <f>L29-L49-#REF!</f>
        <v>#REF!</v>
      </c>
      <c r="M51" s="531" t="str">
        <f>L51/L$29</f>
        <v>#REF!</v>
      </c>
      <c r="N51" s="697" t="str">
        <f>N29-N49-#REF!</f>
        <v>#REF!</v>
      </c>
      <c r="O51" s="698" t="str">
        <f>N51/N$29</f>
        <v>#REF!</v>
      </c>
      <c r="P51" s="627">
        <f>P29-P49</f>
        <v>0</v>
      </c>
      <c r="Q51" s="532" t="str">
        <f>P51/P$29</f>
        <v>#DIV/0!</v>
      </c>
      <c r="R51" s="609" t="str">
        <f>R29-R49-#REF!</f>
        <v>#REF!</v>
      </c>
      <c r="S51" s="531" t="str">
        <f>R51/R$29</f>
        <v>#REF!</v>
      </c>
      <c r="T51" s="697" t="str">
        <f>T29-T49-#REF!</f>
        <v>#REF!</v>
      </c>
      <c r="U51" s="698" t="str">
        <f>T51/T$29</f>
        <v>#REF!</v>
      </c>
      <c r="V51" s="425"/>
      <c r="W51" s="425"/>
      <c r="X51" s="425"/>
      <c r="Y51" s="425"/>
      <c r="Z51" s="425"/>
      <c r="AA51" s="425"/>
      <c r="AB51" s="425"/>
      <c r="AC51" s="425"/>
      <c r="AD51" s="425"/>
      <c r="AE51" s="425"/>
      <c r="AF51" s="425"/>
      <c r="AG51" s="425"/>
    </row>
    <row r="52" ht="15.75" customHeight="1">
      <c r="A52" s="425"/>
      <c r="B52" s="481"/>
      <c r="C52" s="481"/>
      <c r="D52" s="661"/>
      <c r="E52" s="522"/>
      <c r="F52" s="522"/>
      <c r="G52" s="522"/>
      <c r="H52" s="521"/>
      <c r="I52" s="464"/>
      <c r="J52" s="661"/>
      <c r="K52" s="522"/>
      <c r="L52" s="522"/>
      <c r="M52" s="524"/>
      <c r="N52" s="521"/>
      <c r="O52" s="464"/>
      <c r="P52" s="686"/>
      <c r="Q52" s="574"/>
      <c r="R52" s="522"/>
      <c r="S52" s="524"/>
      <c r="T52" s="521"/>
      <c r="U52" s="464"/>
      <c r="V52" s="425"/>
      <c r="W52" s="425"/>
      <c r="X52" s="425"/>
      <c r="Y52" s="425"/>
      <c r="Z52" s="425"/>
      <c r="AA52" s="425"/>
      <c r="AB52" s="425"/>
      <c r="AC52" s="425"/>
      <c r="AD52" s="425"/>
      <c r="AE52" s="425"/>
      <c r="AF52" s="425"/>
      <c r="AG52" s="425"/>
    </row>
    <row r="53" ht="15.75" customHeight="1">
      <c r="A53" s="425"/>
      <c r="B53" s="450"/>
      <c r="C53" s="622" t="s">
        <v>194</v>
      </c>
      <c r="D53" s="662"/>
      <c r="E53" s="521"/>
      <c r="F53" s="521"/>
      <c r="G53" s="521"/>
      <c r="H53" s="521"/>
      <c r="I53" s="464"/>
      <c r="J53" s="662"/>
      <c r="K53" s="521"/>
      <c r="L53" s="521"/>
      <c r="M53" s="464"/>
      <c r="N53" s="521"/>
      <c r="O53" s="464"/>
      <c r="P53" s="685"/>
      <c r="Q53" s="552"/>
      <c r="R53" s="521"/>
      <c r="S53" s="464"/>
      <c r="T53" s="521"/>
      <c r="U53" s="464"/>
      <c r="V53" s="425"/>
      <c r="W53" s="425"/>
      <c r="X53" s="425"/>
      <c r="Y53" s="425"/>
      <c r="Z53" s="425"/>
      <c r="AA53" s="425"/>
      <c r="AB53" s="425"/>
      <c r="AC53" s="425"/>
      <c r="AD53" s="425"/>
      <c r="AE53" s="425"/>
      <c r="AF53" s="425"/>
      <c r="AG53" s="425"/>
    </row>
    <row r="54" ht="15.75" customHeight="1">
      <c r="A54" s="425"/>
      <c r="B54" s="450"/>
      <c r="C54" s="450" t="s">
        <v>195</v>
      </c>
      <c r="D54" s="662">
        <v>63541.0</v>
      </c>
      <c r="E54" s="538">
        <f t="shared" ref="E54:E60" si="34">D54/D$29</f>
        <v>0.004944747753</v>
      </c>
      <c r="F54" s="612"/>
      <c r="G54" s="538">
        <v>0.0045</v>
      </c>
      <c r="H54" s="521"/>
      <c r="I54" s="464"/>
      <c r="J54" s="662">
        <v>81331.0</v>
      </c>
      <c r="K54" s="538">
        <f t="shared" ref="K54:K60" si="35">J54/J$29</f>
        <v>0.006541607911</v>
      </c>
      <c r="L54" s="612"/>
      <c r="M54" s="542">
        <v>0.0045</v>
      </c>
      <c r="N54" s="521"/>
      <c r="O54" s="464"/>
      <c r="P54" s="685"/>
      <c r="Q54" s="541" t="str">
        <f t="shared" ref="Q54:Q60" si="36">P54/P$29</f>
        <v>#DIV/0!</v>
      </c>
      <c r="R54" s="612"/>
      <c r="S54" s="542">
        <v>0.0045</v>
      </c>
      <c r="T54" s="521"/>
      <c r="U54" s="464"/>
      <c r="V54" s="425"/>
      <c r="W54" s="425"/>
      <c r="X54" s="425"/>
      <c r="Y54" s="425"/>
      <c r="Z54" s="425"/>
      <c r="AA54" s="425"/>
      <c r="AB54" s="425"/>
      <c r="AC54" s="425"/>
      <c r="AD54" s="425"/>
      <c r="AE54" s="425"/>
      <c r="AF54" s="425"/>
      <c r="AG54" s="425"/>
    </row>
    <row r="55" ht="15.75" customHeight="1">
      <c r="A55" s="425"/>
      <c r="B55" s="450"/>
      <c r="C55" s="450" t="s">
        <v>196</v>
      </c>
      <c r="D55" s="662">
        <v>78715.88</v>
      </c>
      <c r="E55" s="538">
        <f t="shared" si="34"/>
        <v>0.006125653842</v>
      </c>
      <c r="F55" s="612"/>
      <c r="G55" s="538">
        <v>0.0098</v>
      </c>
      <c r="H55" s="521"/>
      <c r="I55" s="464"/>
      <c r="J55" s="662">
        <v>174176.0</v>
      </c>
      <c r="K55" s="538">
        <f t="shared" si="35"/>
        <v>0.01400930887</v>
      </c>
      <c r="L55" s="612"/>
      <c r="M55" s="542">
        <v>0.0098</v>
      </c>
      <c r="N55" s="521"/>
      <c r="O55" s="464"/>
      <c r="P55" s="685"/>
      <c r="Q55" s="541" t="str">
        <f t="shared" si="36"/>
        <v>#DIV/0!</v>
      </c>
      <c r="R55" s="612"/>
      <c r="S55" s="542">
        <v>0.0098</v>
      </c>
      <c r="T55" s="521"/>
      <c r="U55" s="464"/>
      <c r="V55" s="425"/>
      <c r="W55" s="425"/>
      <c r="X55" s="425"/>
      <c r="Y55" s="425"/>
      <c r="Z55" s="425"/>
      <c r="AA55" s="425"/>
      <c r="AB55" s="425"/>
      <c r="AC55" s="425"/>
      <c r="AD55" s="425"/>
      <c r="AE55" s="425"/>
      <c r="AF55" s="425"/>
      <c r="AG55" s="425"/>
    </row>
    <row r="56" ht="15.75" customHeight="1">
      <c r="A56" s="425"/>
      <c r="B56" s="450"/>
      <c r="C56" s="450" t="s">
        <v>266</v>
      </c>
      <c r="D56" s="699">
        <v>0.0</v>
      </c>
      <c r="E56" s="538">
        <f t="shared" si="34"/>
        <v>0</v>
      </c>
      <c r="F56" s="612"/>
      <c r="G56" s="538">
        <v>0.0018</v>
      </c>
      <c r="H56" s="521"/>
      <c r="I56" s="464"/>
      <c r="J56" s="699">
        <v>0.0</v>
      </c>
      <c r="K56" s="538">
        <f t="shared" si="35"/>
        <v>0</v>
      </c>
      <c r="L56" s="612"/>
      <c r="M56" s="542">
        <v>0.0018</v>
      </c>
      <c r="N56" s="521"/>
      <c r="O56" s="464"/>
      <c r="P56" s="700"/>
      <c r="Q56" s="541" t="str">
        <f t="shared" si="36"/>
        <v>#DIV/0!</v>
      </c>
      <c r="R56" s="612"/>
      <c r="S56" s="542">
        <v>0.0018</v>
      </c>
      <c r="T56" s="521"/>
      <c r="U56" s="464"/>
      <c r="V56" s="425"/>
      <c r="W56" s="425"/>
      <c r="X56" s="425"/>
      <c r="Y56" s="425"/>
      <c r="Z56" s="425"/>
      <c r="AA56" s="425"/>
      <c r="AB56" s="425"/>
      <c r="AC56" s="425"/>
      <c r="AD56" s="425"/>
      <c r="AE56" s="425"/>
      <c r="AF56" s="425"/>
      <c r="AG56" s="425"/>
    </row>
    <row r="57" ht="15.75" customHeight="1">
      <c r="A57" s="425"/>
      <c r="B57" s="450"/>
      <c r="C57" s="450" t="s">
        <v>197</v>
      </c>
      <c r="D57" s="662">
        <v>44119.66</v>
      </c>
      <c r="E57" s="538">
        <f t="shared" si="34"/>
        <v>0.003433383007</v>
      </c>
      <c r="F57" s="612"/>
      <c r="G57" s="538">
        <v>0.0047</v>
      </c>
      <c r="H57" s="521"/>
      <c r="I57" s="464"/>
      <c r="J57" s="662">
        <v>29560.0</v>
      </c>
      <c r="K57" s="538">
        <f t="shared" si="35"/>
        <v>0.002377567346</v>
      </c>
      <c r="L57" s="612"/>
      <c r="M57" s="542">
        <v>0.0047</v>
      </c>
      <c r="N57" s="521"/>
      <c r="O57" s="464"/>
      <c r="P57" s="685"/>
      <c r="Q57" s="541" t="str">
        <f t="shared" si="36"/>
        <v>#DIV/0!</v>
      </c>
      <c r="R57" s="612"/>
      <c r="S57" s="542">
        <v>0.0047</v>
      </c>
      <c r="T57" s="521"/>
      <c r="U57" s="464"/>
      <c r="V57" s="425"/>
      <c r="W57" s="425"/>
      <c r="X57" s="425"/>
      <c r="Y57" s="425"/>
      <c r="Z57" s="425"/>
      <c r="AA57" s="425"/>
      <c r="AB57" s="425"/>
      <c r="AC57" s="425"/>
      <c r="AD57" s="425"/>
      <c r="AE57" s="425"/>
      <c r="AF57" s="425"/>
      <c r="AG57" s="425"/>
    </row>
    <row r="58" ht="15.75" customHeight="1">
      <c r="A58" s="425"/>
      <c r="B58" s="450"/>
      <c r="C58" s="450" t="s">
        <v>198</v>
      </c>
      <c r="D58" s="662">
        <v>200368.0</v>
      </c>
      <c r="E58" s="538">
        <f t="shared" si="34"/>
        <v>0.01559259719</v>
      </c>
      <c r="F58" s="612"/>
      <c r="G58" s="538">
        <v>0.0018</v>
      </c>
      <c r="H58" s="521"/>
      <c r="I58" s="464"/>
      <c r="J58" s="662">
        <v>69015.0</v>
      </c>
      <c r="K58" s="538">
        <f t="shared" si="35"/>
        <v>0.005551008471</v>
      </c>
      <c r="L58" s="612"/>
      <c r="M58" s="542">
        <v>0.0018</v>
      </c>
      <c r="N58" s="521"/>
      <c r="O58" s="464"/>
      <c r="P58" s="685"/>
      <c r="Q58" s="541" t="str">
        <f t="shared" si="36"/>
        <v>#DIV/0!</v>
      </c>
      <c r="R58" s="612"/>
      <c r="S58" s="542">
        <v>0.0018</v>
      </c>
      <c r="T58" s="521"/>
      <c r="U58" s="464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25"/>
      <c r="AG58" s="425"/>
    </row>
    <row r="59" ht="15.75" customHeight="1">
      <c r="A59" s="425"/>
      <c r="B59" s="468"/>
      <c r="C59" s="468" t="s">
        <v>199</v>
      </c>
      <c r="D59" s="663">
        <v>6524.333333333333</v>
      </c>
      <c r="E59" s="545">
        <f t="shared" si="34"/>
        <v>0.0005077222988</v>
      </c>
      <c r="F59" s="664"/>
      <c r="G59" s="545">
        <v>5.0E-4</v>
      </c>
      <c r="H59" s="526"/>
      <c r="I59" s="528"/>
      <c r="J59" s="663">
        <v>2659.0</v>
      </c>
      <c r="K59" s="545">
        <f t="shared" si="35"/>
        <v>0.0002138684565</v>
      </c>
      <c r="L59" s="664"/>
      <c r="M59" s="546">
        <v>5.0E-4</v>
      </c>
      <c r="N59" s="526"/>
      <c r="O59" s="528"/>
      <c r="P59" s="687"/>
      <c r="Q59" s="554" t="str">
        <f t="shared" si="36"/>
        <v>#DIV/0!</v>
      </c>
      <c r="R59" s="664"/>
      <c r="S59" s="546">
        <v>5.0E-4</v>
      </c>
      <c r="T59" s="526"/>
      <c r="U59" s="528"/>
      <c r="V59" s="425"/>
      <c r="W59" s="425"/>
      <c r="X59" s="425"/>
      <c r="Y59" s="425"/>
      <c r="Z59" s="425"/>
      <c r="AA59" s="425"/>
      <c r="AB59" s="425"/>
      <c r="AC59" s="425"/>
      <c r="AD59" s="425"/>
      <c r="AE59" s="425"/>
      <c r="AF59" s="425"/>
      <c r="AG59" s="425"/>
    </row>
    <row r="60" ht="15.75" customHeight="1">
      <c r="A60" s="425"/>
      <c r="B60" s="474"/>
      <c r="C60" s="474" t="s">
        <v>200</v>
      </c>
      <c r="D60" s="692">
        <f>SUM(D54:D59)</f>
        <v>393268.8733</v>
      </c>
      <c r="E60" s="529">
        <f t="shared" si="34"/>
        <v>0.03060410409</v>
      </c>
      <c r="F60" s="609">
        <f>SUM(F54:F59)</f>
        <v>0</v>
      </c>
      <c r="G60" s="529" t="str">
        <f>F60/F$29</f>
        <v>#DIV/0!</v>
      </c>
      <c r="H60" s="555">
        <f>SUM(H54:H59)</f>
        <v>0</v>
      </c>
      <c r="I60" s="556"/>
      <c r="J60" s="692">
        <f>SUM(J54:J59)</f>
        <v>356741</v>
      </c>
      <c r="K60" s="529">
        <f t="shared" si="35"/>
        <v>0.02869336105</v>
      </c>
      <c r="L60" s="609">
        <f>SUM(L54:L59)</f>
        <v>0</v>
      </c>
      <c r="M60" s="531" t="str">
        <f>L60/L$29</f>
        <v>#DIV/0!</v>
      </c>
      <c r="N60" s="555">
        <f>SUM(N54:N59)</f>
        <v>0</v>
      </c>
      <c r="O60" s="556"/>
      <c r="P60" s="627">
        <f>SUM(P54:P59)</f>
        <v>0</v>
      </c>
      <c r="Q60" s="532" t="str">
        <f t="shared" si="36"/>
        <v>#DIV/0!</v>
      </c>
      <c r="R60" s="609">
        <f>SUM(R54:R59)</f>
        <v>0</v>
      </c>
      <c r="S60" s="531" t="str">
        <f>R60/R$29</f>
        <v>#DIV/0!</v>
      </c>
      <c r="T60" s="555">
        <f>SUM(T54:T59)</f>
        <v>0</v>
      </c>
      <c r="U60" s="556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</row>
    <row r="61" ht="15.75" hidden="1" customHeight="1">
      <c r="A61" s="425"/>
      <c r="B61" s="481"/>
      <c r="C61" s="481"/>
      <c r="D61" s="661"/>
      <c r="E61" s="522"/>
      <c r="F61" s="522"/>
      <c r="G61" s="522"/>
      <c r="H61" s="522"/>
      <c r="I61" s="524"/>
      <c r="J61" s="661"/>
      <c r="K61" s="522"/>
      <c r="L61" s="522"/>
      <c r="M61" s="524"/>
      <c r="N61" s="522"/>
      <c r="O61" s="524"/>
      <c r="P61" s="686"/>
      <c r="Q61" s="574"/>
      <c r="R61" s="522"/>
      <c r="S61" s="524"/>
      <c r="T61" s="522"/>
      <c r="U61" s="524"/>
      <c r="V61" s="425"/>
      <c r="W61" s="425"/>
      <c r="X61" s="425"/>
      <c r="Y61" s="425"/>
      <c r="Z61" s="425"/>
      <c r="AA61" s="425"/>
      <c r="AB61" s="425"/>
      <c r="AC61" s="425"/>
      <c r="AD61" s="425"/>
      <c r="AE61" s="425"/>
      <c r="AF61" s="425"/>
      <c r="AG61" s="425"/>
    </row>
    <row r="62" ht="15.75" hidden="1" customHeight="1">
      <c r="A62" s="425"/>
      <c r="B62" s="450"/>
      <c r="C62" s="450"/>
      <c r="D62" s="662"/>
      <c r="E62" s="538"/>
      <c r="F62" s="612"/>
      <c r="G62" s="612"/>
      <c r="H62" s="612"/>
      <c r="I62" s="693"/>
      <c r="J62" s="662"/>
      <c r="K62" s="538"/>
      <c r="L62" s="612"/>
      <c r="M62" s="693"/>
      <c r="N62" s="612"/>
      <c r="O62" s="693"/>
      <c r="P62" s="685"/>
      <c r="Q62" s="541"/>
      <c r="R62" s="612"/>
      <c r="S62" s="693"/>
      <c r="T62" s="612"/>
      <c r="U62" s="693"/>
      <c r="V62" s="425"/>
      <c r="W62" s="425"/>
      <c r="X62" s="425"/>
      <c r="Y62" s="425"/>
      <c r="Z62" s="425"/>
      <c r="AA62" s="425"/>
      <c r="AB62" s="425"/>
      <c r="AC62" s="425"/>
      <c r="AD62" s="425"/>
      <c r="AE62" s="425"/>
      <c r="AF62" s="425"/>
      <c r="AG62" s="425"/>
    </row>
    <row r="63" ht="15.75" hidden="1" customHeight="1">
      <c r="A63" s="425"/>
      <c r="B63" s="450"/>
      <c r="C63" s="450"/>
      <c r="D63" s="662"/>
      <c r="E63" s="538"/>
      <c r="F63" s="612"/>
      <c r="G63" s="612"/>
      <c r="H63" s="612"/>
      <c r="I63" s="693"/>
      <c r="J63" s="662"/>
      <c r="K63" s="538"/>
      <c r="L63" s="612"/>
      <c r="M63" s="693"/>
      <c r="N63" s="612"/>
      <c r="O63" s="693"/>
      <c r="P63" s="685"/>
      <c r="Q63" s="541"/>
      <c r="R63" s="612"/>
      <c r="S63" s="693"/>
      <c r="T63" s="612"/>
      <c r="U63" s="693"/>
      <c r="V63" s="425"/>
      <c r="W63" s="425"/>
      <c r="X63" s="425"/>
      <c r="Y63" s="425"/>
      <c r="Z63" s="425"/>
      <c r="AA63" s="425"/>
      <c r="AB63" s="425"/>
      <c r="AC63" s="425"/>
      <c r="AD63" s="425"/>
      <c r="AE63" s="425"/>
      <c r="AF63" s="425"/>
      <c r="AG63" s="425"/>
    </row>
    <row r="64" ht="15.75" hidden="1" customHeight="1">
      <c r="A64" s="425"/>
      <c r="B64" s="450"/>
      <c r="C64" s="450"/>
      <c r="D64" s="662"/>
      <c r="E64" s="538"/>
      <c r="F64" s="612"/>
      <c r="G64" s="612"/>
      <c r="H64" s="612"/>
      <c r="I64" s="693"/>
      <c r="J64" s="662"/>
      <c r="K64" s="538"/>
      <c r="L64" s="612"/>
      <c r="M64" s="693"/>
      <c r="N64" s="612"/>
      <c r="O64" s="693"/>
      <c r="P64" s="685"/>
      <c r="Q64" s="541"/>
      <c r="R64" s="612"/>
      <c r="S64" s="693"/>
      <c r="T64" s="612"/>
      <c r="U64" s="693"/>
      <c r="V64" s="425"/>
      <c r="W64" s="425"/>
      <c r="X64" s="425"/>
      <c r="Y64" s="425"/>
      <c r="Z64" s="425"/>
      <c r="AA64" s="425"/>
      <c r="AB64" s="425"/>
      <c r="AC64" s="425"/>
      <c r="AD64" s="425"/>
      <c r="AE64" s="425"/>
      <c r="AF64" s="425"/>
      <c r="AG64" s="425"/>
    </row>
    <row r="65" ht="15.75" hidden="1" customHeight="1">
      <c r="A65" s="425"/>
      <c r="B65" s="450"/>
      <c r="C65" s="450"/>
      <c r="D65" s="662"/>
      <c r="E65" s="538"/>
      <c r="F65" s="612"/>
      <c r="G65" s="612"/>
      <c r="H65" s="612"/>
      <c r="I65" s="693"/>
      <c r="J65" s="662"/>
      <c r="K65" s="538"/>
      <c r="L65" s="612"/>
      <c r="M65" s="693"/>
      <c r="N65" s="612"/>
      <c r="O65" s="693"/>
      <c r="P65" s="685"/>
      <c r="Q65" s="541"/>
      <c r="R65" s="612"/>
      <c r="S65" s="693"/>
      <c r="T65" s="612"/>
      <c r="U65" s="693"/>
      <c r="V65" s="425"/>
      <c r="W65" s="425"/>
      <c r="X65" s="425"/>
      <c r="Y65" s="425"/>
      <c r="Z65" s="425"/>
      <c r="AA65" s="425"/>
      <c r="AB65" s="425"/>
      <c r="AC65" s="425"/>
      <c r="AD65" s="425"/>
      <c r="AE65" s="425"/>
      <c r="AF65" s="425"/>
      <c r="AG65" s="425"/>
    </row>
    <row r="66" ht="15.75" hidden="1" customHeight="1">
      <c r="A66" s="425"/>
      <c r="B66" s="450"/>
      <c r="C66" s="450"/>
      <c r="D66" s="662"/>
      <c r="E66" s="538"/>
      <c r="F66" s="612"/>
      <c r="G66" s="612"/>
      <c r="H66" s="612"/>
      <c r="I66" s="693"/>
      <c r="J66" s="662"/>
      <c r="K66" s="538"/>
      <c r="L66" s="612"/>
      <c r="M66" s="693"/>
      <c r="N66" s="612"/>
      <c r="O66" s="693"/>
      <c r="P66" s="685"/>
      <c r="Q66" s="541"/>
      <c r="R66" s="612"/>
      <c r="S66" s="693"/>
      <c r="T66" s="612"/>
      <c r="U66" s="693"/>
      <c r="V66" s="425"/>
      <c r="W66" s="425"/>
      <c r="X66" s="425"/>
      <c r="Y66" s="425"/>
      <c r="Z66" s="425"/>
      <c r="AA66" s="425"/>
      <c r="AB66" s="425"/>
      <c r="AC66" s="425"/>
      <c r="AD66" s="425"/>
      <c r="AE66" s="425"/>
      <c r="AF66" s="425"/>
      <c r="AG66" s="425"/>
    </row>
    <row r="67" ht="15.75" hidden="1" customHeight="1">
      <c r="A67" s="425"/>
      <c r="B67" s="450"/>
      <c r="C67" s="450"/>
      <c r="D67" s="662"/>
      <c r="E67" s="538"/>
      <c r="F67" s="612"/>
      <c r="G67" s="612"/>
      <c r="H67" s="612"/>
      <c r="I67" s="693"/>
      <c r="J67" s="662"/>
      <c r="K67" s="538"/>
      <c r="L67" s="612"/>
      <c r="M67" s="693"/>
      <c r="N67" s="612"/>
      <c r="O67" s="693"/>
      <c r="P67" s="685"/>
      <c r="Q67" s="541"/>
      <c r="R67" s="612"/>
      <c r="S67" s="693"/>
      <c r="T67" s="612"/>
      <c r="U67" s="693"/>
      <c r="V67" s="425"/>
      <c r="W67" s="425"/>
      <c r="X67" s="425"/>
      <c r="Y67" s="425"/>
      <c r="Z67" s="425"/>
      <c r="AA67" s="425"/>
      <c r="AB67" s="425"/>
      <c r="AC67" s="425"/>
      <c r="AD67" s="425"/>
      <c r="AE67" s="425"/>
      <c r="AF67" s="425"/>
      <c r="AG67" s="425"/>
    </row>
    <row r="68" ht="15.75" customHeight="1">
      <c r="A68" s="425"/>
      <c r="B68" s="450"/>
      <c r="C68" s="450"/>
      <c r="D68" s="662"/>
      <c r="E68" s="521"/>
      <c r="F68" s="521"/>
      <c r="G68" s="521"/>
      <c r="H68" s="521"/>
      <c r="I68" s="464"/>
      <c r="J68" s="662"/>
      <c r="K68" s="521"/>
      <c r="L68" s="521"/>
      <c r="M68" s="464"/>
      <c r="N68" s="521"/>
      <c r="O68" s="464"/>
      <c r="P68" s="685"/>
      <c r="Q68" s="552"/>
      <c r="R68" s="521"/>
      <c r="S68" s="464"/>
      <c r="T68" s="521"/>
      <c r="U68" s="464"/>
      <c r="V68" s="425"/>
      <c r="W68" s="425"/>
      <c r="X68" s="425"/>
      <c r="Y68" s="425"/>
      <c r="Z68" s="425"/>
      <c r="AA68" s="425"/>
      <c r="AB68" s="425"/>
      <c r="AC68" s="425"/>
      <c r="AD68" s="425"/>
      <c r="AE68" s="425"/>
      <c r="AF68" s="425"/>
      <c r="AG68" s="425"/>
    </row>
    <row r="69" ht="15.75" customHeight="1">
      <c r="A69" s="425"/>
      <c r="B69" s="477"/>
      <c r="C69" s="492" t="s">
        <v>205</v>
      </c>
      <c r="D69" s="692">
        <f>SUM(D70:D79)</f>
        <v>196105.44</v>
      </c>
      <c r="E69" s="529">
        <f t="shared" ref="E69:E78" si="37">D69/D$29</f>
        <v>0.01526088563</v>
      </c>
      <c r="F69" s="609">
        <f>SUM(F70:F79)</f>
        <v>0</v>
      </c>
      <c r="G69" s="529" t="str">
        <f t="shared" ref="G69:G79" si="38">F69/F$29</f>
        <v>#DIV/0!</v>
      </c>
      <c r="H69" s="609">
        <f>SUM(H70:H79)</f>
        <v>196105.44</v>
      </c>
      <c r="I69" s="556"/>
      <c r="J69" s="692">
        <f>SUM(J70:J79)</f>
        <v>210682</v>
      </c>
      <c r="K69" s="529">
        <f t="shared" ref="K69:K78" si="39">J69/J$29</f>
        <v>0.01694555628</v>
      </c>
      <c r="L69" s="609">
        <f>SUM(L70:L79)</f>
        <v>0</v>
      </c>
      <c r="M69" s="531" t="str">
        <f t="shared" ref="M69:M79" si="40">L69/L$29</f>
        <v>#DIV/0!</v>
      </c>
      <c r="N69" s="609">
        <f>SUM(N70:N79)</f>
        <v>210682</v>
      </c>
      <c r="O69" s="556"/>
      <c r="P69" s="627">
        <f>SUM(P70:P79)</f>
        <v>0</v>
      </c>
      <c r="Q69" s="532" t="str">
        <f t="shared" ref="Q69:Q78" si="41">P69/P$29</f>
        <v>#DIV/0!</v>
      </c>
      <c r="R69" s="609">
        <f>SUM(R70:R79)</f>
        <v>0</v>
      </c>
      <c r="S69" s="531" t="str">
        <f t="shared" ref="S69:S79" si="42">R69/R$29</f>
        <v>#DIV/0!</v>
      </c>
      <c r="T69" s="609">
        <f>SUM(T70:T79)</f>
        <v>0</v>
      </c>
      <c r="U69" s="556"/>
      <c r="V69" s="427"/>
      <c r="W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</row>
    <row r="70" ht="15.75" customHeight="1">
      <c r="A70" s="425"/>
      <c r="B70" s="481"/>
      <c r="C70" s="481" t="s">
        <v>268</v>
      </c>
      <c r="D70" s="701">
        <v>0.0</v>
      </c>
      <c r="E70" s="533">
        <f t="shared" si="37"/>
        <v>0</v>
      </c>
      <c r="F70" s="610"/>
      <c r="G70" s="533" t="str">
        <f t="shared" si="38"/>
        <v>#DIV/0!</v>
      </c>
      <c r="H70" s="610">
        <f t="shared" ref="H70:H73" si="43">D70-F70</f>
        <v>0</v>
      </c>
      <c r="I70" s="536" t="str">
        <f t="shared" ref="I70:I73" si="44">H70/F70</f>
        <v>#DIV/0!</v>
      </c>
      <c r="J70" s="701">
        <v>0.0</v>
      </c>
      <c r="K70" s="533">
        <f t="shared" si="39"/>
        <v>0</v>
      </c>
      <c r="L70" s="610"/>
      <c r="M70" s="536" t="str">
        <f t="shared" si="40"/>
        <v>#DIV/0!</v>
      </c>
      <c r="N70" s="610">
        <f t="shared" ref="N70:N73" si="45">J70-L70</f>
        <v>0</v>
      </c>
      <c r="O70" s="536" t="str">
        <f t="shared" ref="O70:O73" si="46">N70/L70</f>
        <v>#DIV/0!</v>
      </c>
      <c r="P70" s="702">
        <v>0.0</v>
      </c>
      <c r="Q70" s="535" t="str">
        <f t="shared" si="41"/>
        <v>#DIV/0!</v>
      </c>
      <c r="R70" s="610"/>
      <c r="S70" s="536" t="str">
        <f t="shared" si="42"/>
        <v>#DIV/0!</v>
      </c>
      <c r="T70" s="610">
        <f t="shared" ref="T70:T73" si="47">P70-R70</f>
        <v>0</v>
      </c>
      <c r="U70" s="536" t="str">
        <f t="shared" ref="U70:U73" si="48">T70/R70</f>
        <v>#DIV/0!</v>
      </c>
      <c r="V70" s="425"/>
      <c r="W70" s="425"/>
      <c r="X70" s="425"/>
      <c r="Y70" s="425"/>
      <c r="Z70" s="425"/>
      <c r="AA70" s="425"/>
      <c r="AB70" s="425"/>
      <c r="AC70" s="425"/>
      <c r="AD70" s="425"/>
      <c r="AE70" s="425"/>
      <c r="AF70" s="425"/>
      <c r="AG70" s="425"/>
    </row>
    <row r="71" ht="15.75" customHeight="1">
      <c r="A71" s="425"/>
      <c r="B71" s="450"/>
      <c r="C71" s="450" t="s">
        <v>296</v>
      </c>
      <c r="D71" s="662">
        <v>304.44</v>
      </c>
      <c r="E71" s="538">
        <f t="shared" si="37"/>
        <v>0.00002369145915</v>
      </c>
      <c r="F71" s="612"/>
      <c r="G71" s="538" t="str">
        <f t="shared" si="38"/>
        <v>#DIV/0!</v>
      </c>
      <c r="H71" s="612">
        <f t="shared" si="43"/>
        <v>304.44</v>
      </c>
      <c r="I71" s="542" t="str">
        <f t="shared" si="44"/>
        <v>#DIV/0!</v>
      </c>
      <c r="J71" s="662"/>
      <c r="K71" s="538">
        <f t="shared" si="39"/>
        <v>0</v>
      </c>
      <c r="L71" s="612"/>
      <c r="M71" s="542" t="str">
        <f t="shared" si="40"/>
        <v>#DIV/0!</v>
      </c>
      <c r="N71" s="612">
        <f t="shared" si="45"/>
        <v>0</v>
      </c>
      <c r="O71" s="542" t="str">
        <f t="shared" si="46"/>
        <v>#DIV/0!</v>
      </c>
      <c r="P71" s="685"/>
      <c r="Q71" s="541" t="str">
        <f t="shared" si="41"/>
        <v>#DIV/0!</v>
      </c>
      <c r="R71" s="612"/>
      <c r="S71" s="542" t="str">
        <f t="shared" si="42"/>
        <v>#DIV/0!</v>
      </c>
      <c r="T71" s="612">
        <f t="shared" si="47"/>
        <v>0</v>
      </c>
      <c r="U71" s="542" t="str">
        <f t="shared" si="48"/>
        <v>#DIV/0!</v>
      </c>
      <c r="V71" s="425"/>
      <c r="W71" s="425"/>
      <c r="X71" s="425"/>
      <c r="Y71" s="425"/>
      <c r="Z71" s="425"/>
      <c r="AA71" s="425"/>
      <c r="AB71" s="425"/>
      <c r="AC71" s="425"/>
      <c r="AD71" s="425"/>
      <c r="AE71" s="425"/>
      <c r="AF71" s="425"/>
      <c r="AG71" s="425"/>
    </row>
    <row r="72" ht="15.75" customHeight="1">
      <c r="A72" s="425"/>
      <c r="B72" s="450"/>
      <c r="C72" s="450" t="s">
        <v>212</v>
      </c>
      <c r="D72" s="699">
        <v>0.0</v>
      </c>
      <c r="E72" s="538">
        <f t="shared" si="37"/>
        <v>0</v>
      </c>
      <c r="F72" s="612"/>
      <c r="G72" s="538" t="str">
        <f t="shared" si="38"/>
        <v>#DIV/0!</v>
      </c>
      <c r="H72" s="612">
        <f t="shared" si="43"/>
        <v>0</v>
      </c>
      <c r="I72" s="542" t="str">
        <f t="shared" si="44"/>
        <v>#DIV/0!</v>
      </c>
      <c r="J72" s="699">
        <v>0.0</v>
      </c>
      <c r="K72" s="538">
        <f t="shared" si="39"/>
        <v>0</v>
      </c>
      <c r="L72" s="612"/>
      <c r="M72" s="542" t="str">
        <f t="shared" si="40"/>
        <v>#DIV/0!</v>
      </c>
      <c r="N72" s="612">
        <f t="shared" si="45"/>
        <v>0</v>
      </c>
      <c r="O72" s="542" t="str">
        <f t="shared" si="46"/>
        <v>#DIV/0!</v>
      </c>
      <c r="P72" s="700">
        <v>0.0</v>
      </c>
      <c r="Q72" s="541" t="str">
        <f t="shared" si="41"/>
        <v>#DIV/0!</v>
      </c>
      <c r="R72" s="612"/>
      <c r="S72" s="542" t="str">
        <f t="shared" si="42"/>
        <v>#DIV/0!</v>
      </c>
      <c r="T72" s="612">
        <f t="shared" si="47"/>
        <v>0</v>
      </c>
      <c r="U72" s="542" t="str">
        <f t="shared" si="48"/>
        <v>#DIV/0!</v>
      </c>
      <c r="V72" s="425"/>
      <c r="W72" s="425"/>
      <c r="X72" s="425"/>
      <c r="Y72" s="425"/>
      <c r="Z72" s="425"/>
      <c r="AA72" s="425"/>
      <c r="AB72" s="425"/>
      <c r="AC72" s="425"/>
      <c r="AD72" s="425"/>
      <c r="AE72" s="425"/>
      <c r="AF72" s="425"/>
      <c r="AG72" s="425"/>
    </row>
    <row r="73" ht="15.75" customHeight="1">
      <c r="A73" s="425"/>
      <c r="B73" s="450"/>
      <c r="C73" s="450" t="s">
        <v>213</v>
      </c>
      <c r="D73" s="699">
        <v>0.0</v>
      </c>
      <c r="E73" s="538">
        <f t="shared" si="37"/>
        <v>0</v>
      </c>
      <c r="F73" s="521"/>
      <c r="G73" s="538" t="str">
        <f t="shared" si="38"/>
        <v>#DIV/0!</v>
      </c>
      <c r="H73" s="612">
        <f t="shared" si="43"/>
        <v>0</v>
      </c>
      <c r="I73" s="542" t="str">
        <f t="shared" si="44"/>
        <v>#DIV/0!</v>
      </c>
      <c r="J73" s="699">
        <v>0.0</v>
      </c>
      <c r="K73" s="538">
        <f t="shared" si="39"/>
        <v>0</v>
      </c>
      <c r="L73" s="521"/>
      <c r="M73" s="542" t="str">
        <f t="shared" si="40"/>
        <v>#DIV/0!</v>
      </c>
      <c r="N73" s="612">
        <f t="shared" si="45"/>
        <v>0</v>
      </c>
      <c r="O73" s="542" t="str">
        <f t="shared" si="46"/>
        <v>#DIV/0!</v>
      </c>
      <c r="P73" s="700">
        <v>0.0</v>
      </c>
      <c r="Q73" s="541" t="str">
        <f t="shared" si="41"/>
        <v>#DIV/0!</v>
      </c>
      <c r="R73" s="521"/>
      <c r="S73" s="542" t="str">
        <f t="shared" si="42"/>
        <v>#DIV/0!</v>
      </c>
      <c r="T73" s="612">
        <f t="shared" si="47"/>
        <v>0</v>
      </c>
      <c r="U73" s="542" t="str">
        <f t="shared" si="48"/>
        <v>#DIV/0!</v>
      </c>
      <c r="V73" s="425"/>
      <c r="W73" s="425"/>
      <c r="X73" s="425"/>
      <c r="Y73" s="425"/>
      <c r="Z73" s="425"/>
      <c r="AA73" s="425"/>
      <c r="AB73" s="425"/>
      <c r="AC73" s="425"/>
      <c r="AD73" s="425"/>
      <c r="AE73" s="425"/>
      <c r="AF73" s="425"/>
      <c r="AG73" s="425"/>
    </row>
    <row r="74" ht="15.75" customHeight="1">
      <c r="A74" s="425"/>
      <c r="B74" s="450"/>
      <c r="C74" s="450" t="s">
        <v>297</v>
      </c>
      <c r="D74" s="699">
        <v>0.0</v>
      </c>
      <c r="E74" s="538">
        <f t="shared" si="37"/>
        <v>0</v>
      </c>
      <c r="F74" s="521"/>
      <c r="G74" s="538" t="str">
        <f t="shared" si="38"/>
        <v>#DIV/0!</v>
      </c>
      <c r="H74" s="612"/>
      <c r="I74" s="542"/>
      <c r="J74" s="699">
        <v>0.0</v>
      </c>
      <c r="K74" s="538">
        <f t="shared" si="39"/>
        <v>0</v>
      </c>
      <c r="L74" s="521"/>
      <c r="M74" s="542" t="str">
        <f t="shared" si="40"/>
        <v>#DIV/0!</v>
      </c>
      <c r="N74" s="612"/>
      <c r="O74" s="542"/>
      <c r="P74" s="700">
        <v>0.0</v>
      </c>
      <c r="Q74" s="541" t="str">
        <f t="shared" si="41"/>
        <v>#DIV/0!</v>
      </c>
      <c r="R74" s="521"/>
      <c r="S74" s="542" t="str">
        <f t="shared" si="42"/>
        <v>#DIV/0!</v>
      </c>
      <c r="T74" s="612"/>
      <c r="U74" s="542"/>
      <c r="V74" s="425"/>
      <c r="W74" s="425"/>
      <c r="X74" s="425"/>
      <c r="Y74" s="425"/>
      <c r="Z74" s="425"/>
      <c r="AA74" s="425"/>
      <c r="AB74" s="425"/>
      <c r="AC74" s="425"/>
      <c r="AD74" s="425"/>
      <c r="AE74" s="425"/>
      <c r="AF74" s="425"/>
      <c r="AG74" s="425"/>
    </row>
    <row r="75" ht="15.75" customHeight="1">
      <c r="A75" s="425"/>
      <c r="B75" s="450"/>
      <c r="C75" s="450" t="s">
        <v>298</v>
      </c>
      <c r="D75" s="699">
        <v>0.0</v>
      </c>
      <c r="E75" s="538">
        <f t="shared" si="37"/>
        <v>0</v>
      </c>
      <c r="F75" s="703"/>
      <c r="G75" s="538" t="str">
        <f t="shared" si="38"/>
        <v>#DIV/0!</v>
      </c>
      <c r="H75" s="612">
        <f t="shared" ref="H75:H77" si="49">D75-F75</f>
        <v>0</v>
      </c>
      <c r="I75" s="542" t="str">
        <f>H75/F75</f>
        <v>#DIV/0!</v>
      </c>
      <c r="J75" s="699">
        <v>0.0</v>
      </c>
      <c r="K75" s="538">
        <f t="shared" si="39"/>
        <v>0</v>
      </c>
      <c r="L75" s="703"/>
      <c r="M75" s="542" t="str">
        <f t="shared" si="40"/>
        <v>#DIV/0!</v>
      </c>
      <c r="N75" s="612">
        <f t="shared" ref="N75:N77" si="50">J75-L75</f>
        <v>0</v>
      </c>
      <c r="O75" s="542" t="str">
        <f>N75/L75</f>
        <v>#DIV/0!</v>
      </c>
      <c r="P75" s="700">
        <v>0.0</v>
      </c>
      <c r="Q75" s="541" t="str">
        <f t="shared" si="41"/>
        <v>#DIV/0!</v>
      </c>
      <c r="R75" s="703"/>
      <c r="S75" s="542" t="str">
        <f t="shared" si="42"/>
        <v>#DIV/0!</v>
      </c>
      <c r="T75" s="612">
        <f t="shared" ref="T75:T77" si="51">P75-R75</f>
        <v>0</v>
      </c>
      <c r="U75" s="542" t="str">
        <f>T75/R75</f>
        <v>#DIV/0!</v>
      </c>
      <c r="V75" s="425"/>
      <c r="W75" s="425"/>
      <c r="X75" s="425"/>
      <c r="Y75" s="425"/>
      <c r="Z75" s="425"/>
      <c r="AA75" s="425"/>
      <c r="AB75" s="425"/>
      <c r="AC75" s="425"/>
      <c r="AD75" s="425"/>
      <c r="AE75" s="425"/>
      <c r="AF75" s="425"/>
      <c r="AG75" s="425"/>
    </row>
    <row r="76" ht="15.75" customHeight="1">
      <c r="A76" s="425"/>
      <c r="B76" s="450"/>
      <c r="C76" s="450" t="s">
        <v>299</v>
      </c>
      <c r="D76" s="699">
        <v>0.0</v>
      </c>
      <c r="E76" s="538">
        <f t="shared" si="37"/>
        <v>0</v>
      </c>
      <c r="F76" s="521"/>
      <c r="G76" s="538" t="str">
        <f t="shared" si="38"/>
        <v>#DIV/0!</v>
      </c>
      <c r="H76" s="612">
        <f t="shared" si="49"/>
        <v>0</v>
      </c>
      <c r="I76" s="542">
        <v>0.0</v>
      </c>
      <c r="J76" s="699">
        <v>0.0</v>
      </c>
      <c r="K76" s="538">
        <f t="shared" si="39"/>
        <v>0</v>
      </c>
      <c r="L76" s="521"/>
      <c r="M76" s="542" t="str">
        <f t="shared" si="40"/>
        <v>#DIV/0!</v>
      </c>
      <c r="N76" s="612">
        <f t="shared" si="50"/>
        <v>0</v>
      </c>
      <c r="O76" s="542">
        <v>0.0</v>
      </c>
      <c r="P76" s="700">
        <v>0.0</v>
      </c>
      <c r="Q76" s="541" t="str">
        <f t="shared" si="41"/>
        <v>#DIV/0!</v>
      </c>
      <c r="R76" s="521"/>
      <c r="S76" s="542" t="str">
        <f t="shared" si="42"/>
        <v>#DIV/0!</v>
      </c>
      <c r="T76" s="612">
        <f t="shared" si="51"/>
        <v>0</v>
      </c>
      <c r="U76" s="542">
        <v>0.0</v>
      </c>
      <c r="V76" s="425"/>
      <c r="W76" s="425"/>
      <c r="X76" s="425"/>
      <c r="Y76" s="425"/>
      <c r="Z76" s="425"/>
      <c r="AA76" s="425"/>
      <c r="AB76" s="425"/>
      <c r="AC76" s="425"/>
      <c r="AD76" s="425"/>
      <c r="AE76" s="425"/>
      <c r="AF76" s="425"/>
      <c r="AG76" s="425"/>
    </row>
    <row r="77" ht="15.75" customHeight="1">
      <c r="A77" s="425"/>
      <c r="B77" s="450"/>
      <c r="C77" s="450" t="s">
        <v>300</v>
      </c>
      <c r="D77" s="699">
        <v>0.0</v>
      </c>
      <c r="E77" s="538">
        <f t="shared" si="37"/>
        <v>0</v>
      </c>
      <c r="F77" s="521"/>
      <c r="G77" s="538" t="str">
        <f t="shared" si="38"/>
        <v>#DIV/0!</v>
      </c>
      <c r="H77" s="612">
        <f t="shared" si="49"/>
        <v>0</v>
      </c>
      <c r="I77" s="542" t="str">
        <f>H77/F77</f>
        <v>#DIV/0!</v>
      </c>
      <c r="J77" s="699">
        <v>0.0</v>
      </c>
      <c r="K77" s="538">
        <f t="shared" si="39"/>
        <v>0</v>
      </c>
      <c r="L77" s="521"/>
      <c r="M77" s="542" t="str">
        <f t="shared" si="40"/>
        <v>#DIV/0!</v>
      </c>
      <c r="N77" s="612">
        <f t="shared" si="50"/>
        <v>0</v>
      </c>
      <c r="O77" s="542" t="str">
        <f>N77/L77</f>
        <v>#DIV/0!</v>
      </c>
      <c r="P77" s="700">
        <v>0.0</v>
      </c>
      <c r="Q77" s="541" t="str">
        <f t="shared" si="41"/>
        <v>#DIV/0!</v>
      </c>
      <c r="R77" s="521"/>
      <c r="S77" s="542" t="str">
        <f t="shared" si="42"/>
        <v>#DIV/0!</v>
      </c>
      <c r="T77" s="612">
        <f t="shared" si="51"/>
        <v>0</v>
      </c>
      <c r="U77" s="542" t="str">
        <f>T77/R77</f>
        <v>#DIV/0!</v>
      </c>
      <c r="V77" s="425"/>
      <c r="W77" s="425"/>
      <c r="X77" s="425"/>
      <c r="Y77" s="425"/>
      <c r="Z77" s="425"/>
      <c r="AA77" s="425"/>
      <c r="AB77" s="425"/>
      <c r="AC77" s="425"/>
      <c r="AD77" s="425"/>
      <c r="AE77" s="425"/>
      <c r="AF77" s="425"/>
      <c r="AG77" s="425"/>
    </row>
    <row r="78" ht="15.75" customHeight="1">
      <c r="A78" s="425"/>
      <c r="B78" s="450"/>
      <c r="C78" s="450" t="s">
        <v>270</v>
      </c>
      <c r="D78" s="699">
        <v>0.0</v>
      </c>
      <c r="E78" s="538">
        <f t="shared" si="37"/>
        <v>0</v>
      </c>
      <c r="F78" s="521"/>
      <c r="G78" s="538" t="str">
        <f t="shared" si="38"/>
        <v>#DIV/0!</v>
      </c>
      <c r="H78" s="612"/>
      <c r="I78" s="542"/>
      <c r="J78" s="699">
        <v>0.0</v>
      </c>
      <c r="K78" s="538">
        <f t="shared" si="39"/>
        <v>0</v>
      </c>
      <c r="L78" s="521"/>
      <c r="M78" s="542" t="str">
        <f t="shared" si="40"/>
        <v>#DIV/0!</v>
      </c>
      <c r="N78" s="612"/>
      <c r="O78" s="542"/>
      <c r="P78" s="700">
        <v>0.0</v>
      </c>
      <c r="Q78" s="541" t="str">
        <f t="shared" si="41"/>
        <v>#DIV/0!</v>
      </c>
      <c r="R78" s="521"/>
      <c r="S78" s="542" t="str">
        <f t="shared" si="42"/>
        <v>#DIV/0!</v>
      </c>
      <c r="T78" s="612"/>
      <c r="U78" s="542"/>
      <c r="V78" s="425"/>
      <c r="W78" s="425"/>
      <c r="X78" s="425"/>
      <c r="Y78" s="425"/>
      <c r="Z78" s="425"/>
      <c r="AA78" s="425"/>
      <c r="AB78" s="425"/>
      <c r="AC78" s="425"/>
      <c r="AD78" s="425"/>
      <c r="AE78" s="425"/>
      <c r="AF78" s="425"/>
      <c r="AG78" s="425"/>
    </row>
    <row r="79" ht="15.75" customHeight="1">
      <c r="A79" s="425"/>
      <c r="B79" s="450"/>
      <c r="C79" s="450" t="s">
        <v>271</v>
      </c>
      <c r="D79" s="662">
        <v>195801.0</v>
      </c>
      <c r="E79" s="538">
        <f>D79/D$28</f>
        <v>0.2713330728</v>
      </c>
      <c r="F79" s="521"/>
      <c r="G79" s="538" t="str">
        <f t="shared" si="38"/>
        <v>#DIV/0!</v>
      </c>
      <c r="H79" s="612">
        <f>D79-F79</f>
        <v>195801</v>
      </c>
      <c r="I79" s="542" t="str">
        <f>H79/F79</f>
        <v>#DIV/0!</v>
      </c>
      <c r="J79" s="662">
        <v>210682.0</v>
      </c>
      <c r="K79" s="538" t="str">
        <f>J79/J$28</f>
        <v>#DIV/0!</v>
      </c>
      <c r="L79" s="521"/>
      <c r="M79" s="542" t="str">
        <f t="shared" si="40"/>
        <v>#DIV/0!</v>
      </c>
      <c r="N79" s="612">
        <f>J79-L79</f>
        <v>210682</v>
      </c>
      <c r="O79" s="542" t="str">
        <f>N79/L79</f>
        <v>#DIV/0!</v>
      </c>
      <c r="P79" s="685"/>
      <c r="Q79" s="541" t="str">
        <f>P79/P$28</f>
        <v>#DIV/0!</v>
      </c>
      <c r="R79" s="521"/>
      <c r="S79" s="542" t="str">
        <f t="shared" si="42"/>
        <v>#DIV/0!</v>
      </c>
      <c r="T79" s="612">
        <f>P79-R79</f>
        <v>0</v>
      </c>
      <c r="U79" s="542" t="str">
        <f>T79/R79</f>
        <v>#DIV/0!</v>
      </c>
      <c r="V79" s="425"/>
      <c r="W79" s="425"/>
      <c r="X79" s="425"/>
      <c r="Y79" s="425"/>
      <c r="Z79" s="425"/>
      <c r="AA79" s="425"/>
      <c r="AB79" s="425"/>
      <c r="AC79" s="425"/>
      <c r="AD79" s="425"/>
      <c r="AE79" s="425"/>
      <c r="AF79" s="425"/>
      <c r="AG79" s="425"/>
    </row>
    <row r="80" ht="15.75" customHeight="1">
      <c r="A80" s="425"/>
      <c r="B80" s="468"/>
      <c r="C80" s="704"/>
      <c r="D80" s="663"/>
      <c r="E80" s="526"/>
      <c r="F80" s="526"/>
      <c r="G80" s="526"/>
      <c r="H80" s="664"/>
      <c r="I80" s="546"/>
      <c r="J80" s="663"/>
      <c r="K80" s="521"/>
      <c r="L80" s="521"/>
      <c r="M80" s="464"/>
      <c r="N80" s="664"/>
      <c r="O80" s="546"/>
      <c r="P80" s="687"/>
      <c r="Q80" s="552"/>
      <c r="R80" s="521"/>
      <c r="S80" s="464"/>
      <c r="T80" s="664"/>
      <c r="U80" s="546"/>
      <c r="V80" s="425"/>
      <c r="W80" s="425"/>
      <c r="X80" s="425"/>
      <c r="Y80" s="425"/>
      <c r="Z80" s="425"/>
      <c r="AA80" s="425"/>
      <c r="AB80" s="425"/>
      <c r="AC80" s="425"/>
      <c r="AD80" s="425"/>
      <c r="AE80" s="425"/>
      <c r="AF80" s="425"/>
      <c r="AG80" s="425"/>
    </row>
    <row r="81" ht="15.75" customHeight="1">
      <c r="A81" s="425"/>
      <c r="B81" s="477"/>
      <c r="C81" s="492" t="s">
        <v>35</v>
      </c>
      <c r="D81" s="627">
        <f t="shared" ref="D81:J81" si="52">SUM(D82:D85)</f>
        <v>480580.79</v>
      </c>
      <c r="E81" s="705">
        <f t="shared" si="52"/>
        <v>0.03739869976</v>
      </c>
      <c r="F81" s="705" t="str">
        <f t="shared" si="52"/>
        <v>#REF!</v>
      </c>
      <c r="G81" s="705" t="str">
        <f t="shared" si="52"/>
        <v>#DIV/0!</v>
      </c>
      <c r="H81" s="705" t="str">
        <f t="shared" si="52"/>
        <v>#REF!</v>
      </c>
      <c r="I81" s="705" t="str">
        <f t="shared" si="52"/>
        <v>#DIV/0!</v>
      </c>
      <c r="J81" s="627">
        <f t="shared" si="52"/>
        <v>480329</v>
      </c>
      <c r="K81" s="541" t="str">
        <f>#REF!/J$29</f>
        <v>#REF!</v>
      </c>
      <c r="L81" s="612" t="str">
        <f>SUM(L82:L85)</f>
        <v>#REF!</v>
      </c>
      <c r="M81" s="542" t="str">
        <f t="shared" ref="M81:M85" si="55">L81/L$29</f>
        <v>#REF!</v>
      </c>
      <c r="N81" s="705" t="str">
        <f t="shared" ref="N81:P81" si="53">SUM(N82:N85)</f>
        <v>#REF!</v>
      </c>
      <c r="O81" s="705" t="str">
        <f t="shared" si="53"/>
        <v>#DIV/0!</v>
      </c>
      <c r="P81" s="627">
        <f t="shared" si="53"/>
        <v>0</v>
      </c>
      <c r="Q81" s="541" t="str">
        <f>#REF!/P$29</f>
        <v>#REF!</v>
      </c>
      <c r="R81" s="612" t="str">
        <f>SUM(R82:R85)</f>
        <v>#REF!</v>
      </c>
      <c r="S81" s="542" t="str">
        <f t="shared" ref="S81:S85" si="56">R81/R$29</f>
        <v>#REF!</v>
      </c>
      <c r="T81" s="705" t="str">
        <f t="shared" ref="T81:U81" si="54">SUM(T82:T85)</f>
        <v>#REF!</v>
      </c>
      <c r="U81" s="705" t="str">
        <f t="shared" si="54"/>
        <v>#DIV/0!</v>
      </c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</row>
    <row r="82" ht="15.75" customHeight="1">
      <c r="A82" s="425"/>
      <c r="B82" s="481"/>
      <c r="C82" s="481" t="s">
        <v>215</v>
      </c>
      <c r="D82" s="661">
        <v>7350.0</v>
      </c>
      <c r="E82" s="533">
        <f t="shared" ref="E82:E85" si="57">D82/D$29</f>
        <v>0.0005719755116</v>
      </c>
      <c r="F82" s="610"/>
      <c r="G82" s="533" t="str">
        <f t="shared" ref="G82:G85" si="58">F82/F$29</f>
        <v>#DIV/0!</v>
      </c>
      <c r="H82" s="610">
        <f t="shared" ref="H82:H85" si="59">D82-F82</f>
        <v>7350</v>
      </c>
      <c r="I82" s="536" t="str">
        <f t="shared" ref="I82:I85" si="60">H82/F82</f>
        <v>#DIV/0!</v>
      </c>
      <c r="J82" s="439">
        <v>3364.0</v>
      </c>
      <c r="K82" s="538">
        <f>J81/J$29</f>
        <v>0.03863378031</v>
      </c>
      <c r="L82" s="612"/>
      <c r="M82" s="542" t="str">
        <f t="shared" si="55"/>
        <v>#DIV/0!</v>
      </c>
      <c r="N82" s="610">
        <f t="shared" ref="N82:N85" si="61">J82-L82</f>
        <v>3364</v>
      </c>
      <c r="O82" s="536" t="str">
        <f t="shared" ref="O82:O85" si="62">N82/L82</f>
        <v>#DIV/0!</v>
      </c>
      <c r="P82" s="696"/>
      <c r="Q82" s="541" t="str">
        <f>P81/P$29</f>
        <v>#DIV/0!</v>
      </c>
      <c r="R82" s="612"/>
      <c r="S82" s="542" t="str">
        <f t="shared" si="56"/>
        <v>#DIV/0!</v>
      </c>
      <c r="T82" s="610">
        <f t="shared" ref="T82:T85" si="63">P82-R82</f>
        <v>0</v>
      </c>
      <c r="U82" s="536" t="str">
        <f t="shared" ref="U82:U85" si="64">T82/R82</f>
        <v>#DIV/0!</v>
      </c>
      <c r="V82" s="425"/>
      <c r="W82" s="425"/>
      <c r="X82" s="425"/>
      <c r="Y82" s="425"/>
      <c r="Z82" s="425"/>
      <c r="AA82" s="425"/>
      <c r="AB82" s="425"/>
      <c r="AC82" s="425"/>
      <c r="AD82" s="425"/>
      <c r="AE82" s="425"/>
      <c r="AF82" s="425"/>
      <c r="AG82" s="425"/>
    </row>
    <row r="83" ht="15.75" customHeight="1">
      <c r="A83" s="425"/>
      <c r="B83" s="450"/>
      <c r="C83" s="450" t="s">
        <v>216</v>
      </c>
      <c r="D83" s="699">
        <v>0.0</v>
      </c>
      <c r="E83" s="538">
        <f t="shared" si="57"/>
        <v>0</v>
      </c>
      <c r="F83" s="612"/>
      <c r="G83" s="538" t="str">
        <f t="shared" si="58"/>
        <v>#DIV/0!</v>
      </c>
      <c r="H83" s="612">
        <f t="shared" si="59"/>
        <v>0</v>
      </c>
      <c r="I83" s="542" t="str">
        <f t="shared" si="60"/>
        <v>#DIV/0!</v>
      </c>
      <c r="J83" s="699">
        <v>0.0</v>
      </c>
      <c r="K83" s="538">
        <f t="shared" ref="K83:K85" si="65">J83/J$29</f>
        <v>0</v>
      </c>
      <c r="L83" s="612"/>
      <c r="M83" s="542" t="str">
        <f t="shared" si="55"/>
        <v>#DIV/0!</v>
      </c>
      <c r="N83" s="612">
        <f t="shared" si="61"/>
        <v>0</v>
      </c>
      <c r="O83" s="542" t="str">
        <f t="shared" si="62"/>
        <v>#DIV/0!</v>
      </c>
      <c r="P83" s="700"/>
      <c r="Q83" s="541" t="str">
        <f t="shared" ref="Q83:Q85" si="66">P83/P$29</f>
        <v>#DIV/0!</v>
      </c>
      <c r="R83" s="612"/>
      <c r="S83" s="542" t="str">
        <f t="shared" si="56"/>
        <v>#DIV/0!</v>
      </c>
      <c r="T83" s="612">
        <f t="shared" si="63"/>
        <v>0</v>
      </c>
      <c r="U83" s="542" t="str">
        <f t="shared" si="64"/>
        <v>#DIV/0!</v>
      </c>
      <c r="V83" s="425"/>
      <c r="W83" s="425"/>
      <c r="X83" s="425"/>
      <c r="Y83" s="425"/>
      <c r="Z83" s="425"/>
      <c r="AA83" s="425"/>
      <c r="AB83" s="425"/>
      <c r="AC83" s="425"/>
      <c r="AD83" s="425"/>
      <c r="AE83" s="425"/>
      <c r="AF83" s="425"/>
      <c r="AG83" s="425"/>
    </row>
    <row r="84" ht="15.75" customHeight="1">
      <c r="A84" s="425"/>
      <c r="B84" s="450"/>
      <c r="C84" s="450" t="s">
        <v>287</v>
      </c>
      <c r="D84" s="662">
        <v>315471.68999999994</v>
      </c>
      <c r="E84" s="538">
        <f t="shared" si="57"/>
        <v>0.02454994303</v>
      </c>
      <c r="F84" s="612" t="str">
        <f>75%*(F$17+#REF!+#REF!)*17.8%</f>
        <v>#REF!</v>
      </c>
      <c r="G84" s="538" t="str">
        <f t="shared" si="58"/>
        <v>#REF!</v>
      </c>
      <c r="H84" s="612" t="str">
        <f t="shared" si="59"/>
        <v>#REF!</v>
      </c>
      <c r="I84" s="542" t="str">
        <f t="shared" si="60"/>
        <v>#REF!</v>
      </c>
      <c r="J84" s="662">
        <v>323452.0</v>
      </c>
      <c r="K84" s="538">
        <f t="shared" si="65"/>
        <v>0.0260158631</v>
      </c>
      <c r="L84" s="612" t="str">
        <f>75%*(L$17+#REF!+#REF!)*17.8%</f>
        <v>#REF!</v>
      </c>
      <c r="M84" s="542" t="str">
        <f t="shared" si="55"/>
        <v>#REF!</v>
      </c>
      <c r="N84" s="612" t="str">
        <f t="shared" si="61"/>
        <v>#REF!</v>
      </c>
      <c r="O84" s="542" t="str">
        <f t="shared" si="62"/>
        <v>#REF!</v>
      </c>
      <c r="P84" s="685"/>
      <c r="Q84" s="541" t="str">
        <f t="shared" si="66"/>
        <v>#DIV/0!</v>
      </c>
      <c r="R84" s="612" t="str">
        <f>75%*(R$17+#REF!+#REF!)*17.8%</f>
        <v>#REF!</v>
      </c>
      <c r="S84" s="542" t="str">
        <f t="shared" si="56"/>
        <v>#REF!</v>
      </c>
      <c r="T84" s="612" t="str">
        <f t="shared" si="63"/>
        <v>#REF!</v>
      </c>
      <c r="U84" s="542" t="str">
        <f t="shared" si="64"/>
        <v>#REF!</v>
      </c>
      <c r="V84" s="425"/>
      <c r="W84" s="425"/>
      <c r="X84" s="425"/>
      <c r="Y84" s="425"/>
      <c r="Z84" s="425"/>
      <c r="AA84" s="425"/>
      <c r="AB84" s="425"/>
      <c r="AC84" s="425"/>
      <c r="AD84" s="425"/>
      <c r="AE84" s="425"/>
      <c r="AF84" s="425"/>
      <c r="AG84" s="425"/>
    </row>
    <row r="85" ht="15.75" customHeight="1">
      <c r="A85" s="425"/>
      <c r="B85" s="450"/>
      <c r="C85" s="450" t="s">
        <v>288</v>
      </c>
      <c r="D85" s="662">
        <v>157759.1</v>
      </c>
      <c r="E85" s="538">
        <f t="shared" si="57"/>
        <v>0.01227678122</v>
      </c>
      <c r="F85" s="612" t="str">
        <f>25%*(F$17+#REF!+#REF!)*14%</f>
        <v>#REF!</v>
      </c>
      <c r="G85" s="538" t="str">
        <f t="shared" si="58"/>
        <v>#REF!</v>
      </c>
      <c r="H85" s="612" t="str">
        <f t="shared" si="59"/>
        <v>#REF!</v>
      </c>
      <c r="I85" s="542" t="str">
        <f t="shared" si="60"/>
        <v>#REF!</v>
      </c>
      <c r="J85" s="662">
        <v>153513.0</v>
      </c>
      <c r="K85" s="538">
        <f t="shared" si="65"/>
        <v>0.01234734425</v>
      </c>
      <c r="L85" s="612" t="str">
        <f>25%*(L$17+#REF!+#REF!)*14%</f>
        <v>#REF!</v>
      </c>
      <c r="M85" s="542" t="str">
        <f t="shared" si="55"/>
        <v>#REF!</v>
      </c>
      <c r="N85" s="612" t="str">
        <f t="shared" si="61"/>
        <v>#REF!</v>
      </c>
      <c r="O85" s="542" t="str">
        <f t="shared" si="62"/>
        <v>#REF!</v>
      </c>
      <c r="P85" s="685"/>
      <c r="Q85" s="541" t="str">
        <f t="shared" si="66"/>
        <v>#DIV/0!</v>
      </c>
      <c r="R85" s="612" t="str">
        <f>25%*(R$17+#REF!+#REF!)*14%</f>
        <v>#REF!</v>
      </c>
      <c r="S85" s="542" t="str">
        <f t="shared" si="56"/>
        <v>#REF!</v>
      </c>
      <c r="T85" s="612" t="str">
        <f t="shared" si="63"/>
        <v>#REF!</v>
      </c>
      <c r="U85" s="542" t="str">
        <f t="shared" si="64"/>
        <v>#REF!</v>
      </c>
      <c r="V85" s="425"/>
      <c r="W85" s="425"/>
      <c r="X85" s="425"/>
      <c r="Y85" s="425"/>
      <c r="Z85" s="425"/>
      <c r="AA85" s="425"/>
      <c r="AB85" s="425"/>
      <c r="AC85" s="425"/>
      <c r="AD85" s="425"/>
      <c r="AE85" s="425"/>
      <c r="AF85" s="425"/>
      <c r="AG85" s="425"/>
    </row>
    <row r="86" ht="15.75" customHeight="1">
      <c r="A86" s="425"/>
      <c r="B86" s="450"/>
      <c r="C86" s="450"/>
      <c r="D86" s="662"/>
      <c r="E86" s="521"/>
      <c r="F86" s="521"/>
      <c r="G86" s="521"/>
      <c r="H86" s="521"/>
      <c r="I86" s="464"/>
      <c r="J86" s="662"/>
      <c r="K86" s="521"/>
      <c r="L86" s="521"/>
      <c r="M86" s="464"/>
      <c r="N86" s="521"/>
      <c r="O86" s="464"/>
      <c r="P86" s="685"/>
      <c r="Q86" s="552"/>
      <c r="R86" s="521"/>
      <c r="S86" s="464"/>
      <c r="T86" s="521"/>
      <c r="U86" s="464"/>
      <c r="V86" s="425"/>
      <c r="W86" s="425"/>
      <c r="X86" s="425"/>
      <c r="Y86" s="425"/>
      <c r="Z86" s="425"/>
      <c r="AA86" s="425"/>
      <c r="AB86" s="425"/>
      <c r="AC86" s="425"/>
      <c r="AD86" s="425"/>
      <c r="AE86" s="425"/>
      <c r="AF86" s="425"/>
      <c r="AG86" s="425"/>
    </row>
    <row r="87" ht="15.75" customHeight="1">
      <c r="A87" s="425"/>
      <c r="B87" s="468"/>
      <c r="C87" s="468"/>
      <c r="D87" s="663"/>
      <c r="E87" s="526"/>
      <c r="F87" s="526"/>
      <c r="G87" s="526"/>
      <c r="H87" s="526"/>
      <c r="I87" s="528"/>
      <c r="J87" s="663"/>
      <c r="K87" s="521"/>
      <c r="L87" s="521"/>
      <c r="M87" s="464"/>
      <c r="N87" s="526"/>
      <c r="O87" s="528"/>
      <c r="P87" s="687"/>
      <c r="Q87" s="552"/>
      <c r="R87" s="521"/>
      <c r="S87" s="464"/>
      <c r="T87" s="526"/>
      <c r="U87" s="528"/>
      <c r="V87" s="425"/>
      <c r="W87" s="425"/>
      <c r="X87" s="425"/>
      <c r="Y87" s="425"/>
      <c r="Z87" s="425"/>
      <c r="AA87" s="425"/>
      <c r="AB87" s="425"/>
      <c r="AC87" s="425"/>
      <c r="AD87" s="425"/>
      <c r="AE87" s="425"/>
      <c r="AF87" s="425"/>
      <c r="AG87" s="425"/>
    </row>
    <row r="88" ht="15.75" customHeight="1">
      <c r="A88" s="425"/>
      <c r="B88" s="477"/>
      <c r="C88" s="492" t="s">
        <v>219</v>
      </c>
      <c r="D88" s="627">
        <f>SUM(D89:D92)</f>
        <v>1695349.333</v>
      </c>
      <c r="E88" s="581">
        <f>D88/D$29</f>
        <v>0.1319317418</v>
      </c>
      <c r="F88" s="627">
        <f>SUM(F89:F92)</f>
        <v>1314963</v>
      </c>
      <c r="G88" s="581" t="str">
        <f>F88/F$29</f>
        <v>#DIV/0!</v>
      </c>
      <c r="H88" s="705">
        <f>SUM(H89:H92)</f>
        <v>1695349.333</v>
      </c>
      <c r="I88" s="629"/>
      <c r="J88" s="627">
        <f>SUM(J89:J92)</f>
        <v>1784689</v>
      </c>
      <c r="K88" s="706">
        <f t="shared" ref="K88:K92" si="67">J88/J$29</f>
        <v>0.1435459503</v>
      </c>
      <c r="L88" s="707">
        <f>SUM(L89:L92)</f>
        <v>0</v>
      </c>
      <c r="M88" s="698" t="str">
        <f t="shared" ref="M88:M92" si="68">L88/L$29</f>
        <v>#DIV/0!</v>
      </c>
      <c r="N88" s="705">
        <f>SUM(N89:N92)</f>
        <v>1765939</v>
      </c>
      <c r="O88" s="629"/>
      <c r="P88" s="627">
        <f>SUM(P89:P92)</f>
        <v>0</v>
      </c>
      <c r="Q88" s="706" t="str">
        <f t="shared" ref="Q88:Q92" si="69">P88/P$29</f>
        <v>#DIV/0!</v>
      </c>
      <c r="R88" s="707">
        <f>SUM(R89:R92)</f>
        <v>0</v>
      </c>
      <c r="S88" s="698" t="str">
        <f t="shared" ref="S88:S92" si="70">R88/R$29</f>
        <v>#DIV/0!</v>
      </c>
      <c r="T88" s="705">
        <f>SUM(T89:T92)</f>
        <v>1314963</v>
      </c>
      <c r="U88" s="629"/>
      <c r="V88" s="427"/>
      <c r="W88" s="427"/>
      <c r="X88" s="427"/>
      <c r="Y88" s="427"/>
      <c r="Z88" s="427"/>
      <c r="AA88" s="427"/>
      <c r="AB88" s="427"/>
      <c r="AC88" s="427"/>
      <c r="AD88" s="427"/>
      <c r="AE88" s="427"/>
      <c r="AF88" s="427"/>
      <c r="AG88" s="427"/>
    </row>
    <row r="89" ht="15.75" customHeight="1">
      <c r="A89" s="425"/>
      <c r="B89" s="481"/>
      <c r="C89" s="481" t="s">
        <v>220</v>
      </c>
      <c r="D89" s="661">
        <v>1314963.0</v>
      </c>
      <c r="E89" s="661">
        <v>1314963.0</v>
      </c>
      <c r="F89" s="661">
        <v>1314963.0</v>
      </c>
      <c r="G89" s="661">
        <v>1314963.0</v>
      </c>
      <c r="H89" s="661">
        <v>1314963.0</v>
      </c>
      <c r="I89" s="661">
        <v>1314963.0</v>
      </c>
      <c r="J89" s="661">
        <v>1333713.0</v>
      </c>
      <c r="K89" s="538">
        <f t="shared" si="67"/>
        <v>0.1072730879</v>
      </c>
      <c r="L89" s="612"/>
      <c r="M89" s="542" t="str">
        <f t="shared" si="68"/>
        <v>#DIV/0!</v>
      </c>
      <c r="N89" s="661">
        <v>1314963.0</v>
      </c>
      <c r="O89" s="661">
        <v>1314963.0</v>
      </c>
      <c r="P89" s="686"/>
      <c r="Q89" s="541" t="str">
        <f t="shared" si="69"/>
        <v>#DIV/0!</v>
      </c>
      <c r="R89" s="612"/>
      <c r="S89" s="542" t="str">
        <f t="shared" si="70"/>
        <v>#DIV/0!</v>
      </c>
      <c r="T89" s="661">
        <v>1314963.0</v>
      </c>
      <c r="U89" s="661">
        <v>1314963.0</v>
      </c>
      <c r="V89" s="425"/>
      <c r="W89" s="425"/>
      <c r="X89" s="425"/>
      <c r="Y89" s="425"/>
      <c r="Z89" s="425"/>
      <c r="AA89" s="425"/>
      <c r="AB89" s="425"/>
      <c r="AC89" s="425"/>
      <c r="AD89" s="425"/>
      <c r="AE89" s="425"/>
      <c r="AF89" s="425"/>
      <c r="AG89" s="425"/>
    </row>
    <row r="90" ht="15.75" customHeight="1">
      <c r="A90" s="425"/>
      <c r="B90" s="450"/>
      <c r="C90" s="450" t="s">
        <v>221</v>
      </c>
      <c r="D90" s="662">
        <v>353670.0</v>
      </c>
      <c r="E90" s="538">
        <f t="shared" ref="E90:E92" si="71">D90/D$29</f>
        <v>0.02752252778</v>
      </c>
      <c r="F90" s="612"/>
      <c r="G90" s="538" t="str">
        <f t="shared" ref="G90:G92" si="72">F90/F$29</f>
        <v>#DIV/0!</v>
      </c>
      <c r="H90" s="612">
        <f t="shared" ref="H90:H92" si="73">D90-F90</f>
        <v>353670</v>
      </c>
      <c r="I90" s="542" t="str">
        <f t="shared" ref="I90:I92" si="74">H90/F90</f>
        <v>#DIV/0!</v>
      </c>
      <c r="J90" s="662">
        <v>422798.0</v>
      </c>
      <c r="K90" s="538">
        <f t="shared" si="67"/>
        <v>0.03400645193</v>
      </c>
      <c r="L90" s="612"/>
      <c r="M90" s="542" t="str">
        <f t="shared" si="68"/>
        <v>#DIV/0!</v>
      </c>
      <c r="N90" s="612">
        <f t="shared" ref="N90:N92" si="75">J90-L90</f>
        <v>422798</v>
      </c>
      <c r="O90" s="542" t="str">
        <f t="shared" ref="O90:O92" si="76">N90/L90</f>
        <v>#DIV/0!</v>
      </c>
      <c r="P90" s="685"/>
      <c r="Q90" s="541" t="str">
        <f t="shared" si="69"/>
        <v>#DIV/0!</v>
      </c>
      <c r="R90" s="612"/>
      <c r="S90" s="542" t="str">
        <f t="shared" si="70"/>
        <v>#DIV/0!</v>
      </c>
      <c r="T90" s="612">
        <f t="shared" ref="T90:T92" si="77">P90-R90</f>
        <v>0</v>
      </c>
      <c r="U90" s="542" t="str">
        <f t="shared" ref="U90:U92" si="78">T90/R90</f>
        <v>#DIV/0!</v>
      </c>
      <c r="V90" s="425"/>
      <c r="W90" s="425"/>
      <c r="X90" s="425"/>
      <c r="Y90" s="425"/>
      <c r="Z90" s="425"/>
      <c r="AA90" s="425"/>
      <c r="AB90" s="425"/>
      <c r="AC90" s="425"/>
      <c r="AD90" s="425"/>
      <c r="AE90" s="425"/>
      <c r="AF90" s="425"/>
      <c r="AG90" s="425"/>
    </row>
    <row r="91" ht="15.75" customHeight="1">
      <c r="A91" s="425"/>
      <c r="B91" s="450"/>
      <c r="C91" s="450" t="s">
        <v>222</v>
      </c>
      <c r="D91" s="662">
        <v>24580.0</v>
      </c>
      <c r="E91" s="538">
        <f t="shared" si="71"/>
        <v>0.001912810623</v>
      </c>
      <c r="F91" s="612"/>
      <c r="G91" s="538" t="str">
        <f t="shared" si="72"/>
        <v>#DIV/0!</v>
      </c>
      <c r="H91" s="612">
        <f t="shared" si="73"/>
        <v>24580</v>
      </c>
      <c r="I91" s="542" t="str">
        <f t="shared" si="74"/>
        <v>#DIV/0!</v>
      </c>
      <c r="J91" s="662">
        <v>25080.0</v>
      </c>
      <c r="K91" s="538">
        <f t="shared" si="67"/>
        <v>0.002017232376</v>
      </c>
      <c r="L91" s="612"/>
      <c r="M91" s="542" t="str">
        <f t="shared" si="68"/>
        <v>#DIV/0!</v>
      </c>
      <c r="N91" s="612">
        <f t="shared" si="75"/>
        <v>25080</v>
      </c>
      <c r="O91" s="542" t="str">
        <f t="shared" si="76"/>
        <v>#DIV/0!</v>
      </c>
      <c r="P91" s="685"/>
      <c r="Q91" s="541" t="str">
        <f t="shared" si="69"/>
        <v>#DIV/0!</v>
      </c>
      <c r="R91" s="612"/>
      <c r="S91" s="542" t="str">
        <f t="shared" si="70"/>
        <v>#DIV/0!</v>
      </c>
      <c r="T91" s="612">
        <f t="shared" si="77"/>
        <v>0</v>
      </c>
      <c r="U91" s="542" t="str">
        <f t="shared" si="78"/>
        <v>#DIV/0!</v>
      </c>
      <c r="V91" s="425"/>
      <c r="W91" s="425"/>
      <c r="X91" s="425"/>
      <c r="Y91" s="425"/>
      <c r="Z91" s="425"/>
      <c r="AA91" s="425"/>
      <c r="AB91" s="425"/>
      <c r="AC91" s="425"/>
      <c r="AD91" s="425"/>
      <c r="AE91" s="425"/>
      <c r="AF91" s="425"/>
      <c r="AG91" s="425"/>
    </row>
    <row r="92" ht="15.75" customHeight="1">
      <c r="A92" s="425"/>
      <c r="B92" s="450"/>
      <c r="C92" s="450" t="s">
        <v>223</v>
      </c>
      <c r="D92" s="662">
        <v>2136.333333333333</v>
      </c>
      <c r="E92" s="538">
        <f t="shared" si="71"/>
        <v>0.0001662490274</v>
      </c>
      <c r="F92" s="521"/>
      <c r="G92" s="538" t="str">
        <f t="shared" si="72"/>
        <v>#DIV/0!</v>
      </c>
      <c r="H92" s="612">
        <f t="shared" si="73"/>
        <v>2136.333333</v>
      </c>
      <c r="I92" s="542" t="str">
        <f t="shared" si="74"/>
        <v>#DIV/0!</v>
      </c>
      <c r="J92" s="662">
        <v>3098.0</v>
      </c>
      <c r="K92" s="538">
        <f t="shared" si="67"/>
        <v>0.0002491780663</v>
      </c>
      <c r="L92" s="521"/>
      <c r="M92" s="542" t="str">
        <f t="shared" si="68"/>
        <v>#DIV/0!</v>
      </c>
      <c r="N92" s="612">
        <f t="shared" si="75"/>
        <v>3098</v>
      </c>
      <c r="O92" s="542" t="str">
        <f t="shared" si="76"/>
        <v>#DIV/0!</v>
      </c>
      <c r="P92" s="685"/>
      <c r="Q92" s="541" t="str">
        <f t="shared" si="69"/>
        <v>#DIV/0!</v>
      </c>
      <c r="R92" s="521"/>
      <c r="S92" s="542" t="str">
        <f t="shared" si="70"/>
        <v>#DIV/0!</v>
      </c>
      <c r="T92" s="612">
        <f t="shared" si="77"/>
        <v>0</v>
      </c>
      <c r="U92" s="542" t="str">
        <f t="shared" si="78"/>
        <v>#DIV/0!</v>
      </c>
      <c r="V92" s="425"/>
      <c r="W92" s="425"/>
      <c r="X92" s="425"/>
      <c r="Y92" s="425"/>
      <c r="Z92" s="425"/>
      <c r="AA92" s="425"/>
      <c r="AB92" s="425"/>
      <c r="AC92" s="425"/>
      <c r="AD92" s="425"/>
      <c r="AE92" s="425"/>
      <c r="AF92" s="425"/>
      <c r="AG92" s="425"/>
    </row>
    <row r="93" ht="15.75" customHeight="1">
      <c r="A93" s="425"/>
      <c r="B93" s="468"/>
      <c r="C93" s="704"/>
      <c r="D93" s="663"/>
      <c r="E93" s="526"/>
      <c r="F93" s="526"/>
      <c r="G93" s="526"/>
      <c r="H93" s="526"/>
      <c r="I93" s="528"/>
      <c r="J93" s="663"/>
      <c r="K93" s="521"/>
      <c r="L93" s="521"/>
      <c r="M93" s="464"/>
      <c r="N93" s="526"/>
      <c r="O93" s="528"/>
      <c r="P93" s="687"/>
      <c r="Q93" s="552"/>
      <c r="R93" s="521"/>
      <c r="S93" s="464"/>
      <c r="T93" s="526"/>
      <c r="U93" s="528"/>
      <c r="V93" s="425"/>
      <c r="W93" s="425"/>
      <c r="X93" s="425"/>
      <c r="Y93" s="425"/>
      <c r="Z93" s="425"/>
      <c r="AA93" s="425"/>
      <c r="AB93" s="425"/>
      <c r="AC93" s="425"/>
      <c r="AD93" s="425"/>
      <c r="AE93" s="425"/>
      <c r="AF93" s="425"/>
      <c r="AG93" s="425"/>
    </row>
    <row r="94" ht="15.75" customHeight="1">
      <c r="A94" s="425"/>
      <c r="B94" s="477"/>
      <c r="C94" s="492" t="s">
        <v>37</v>
      </c>
      <c r="D94" s="627">
        <f>SUM(D95:D102)</f>
        <v>3187826.767</v>
      </c>
      <c r="E94" s="581">
        <f t="shared" ref="E94:E102" si="79">D94/D$29</f>
        <v>0.2480760335</v>
      </c>
      <c r="F94" s="627">
        <f>SUM(F95:F102)</f>
        <v>0</v>
      </c>
      <c r="G94" s="581" t="str">
        <f t="shared" ref="G94:G102" si="80">F94/F$29</f>
        <v>#DIV/0!</v>
      </c>
      <c r="H94" s="705">
        <f>SUM(H95:H101)</f>
        <v>3187826.767</v>
      </c>
      <c r="I94" s="629"/>
      <c r="J94" s="627">
        <f>SUM(J95:J102)</f>
        <v>3234308.267</v>
      </c>
      <c r="K94" s="706">
        <f t="shared" ref="K94:K102" si="81">J94/J$29</f>
        <v>0.2601416009</v>
      </c>
      <c r="L94" s="707">
        <f>SUM(L95:L102)</f>
        <v>0</v>
      </c>
      <c r="M94" s="698" t="str">
        <f t="shared" ref="M94:M102" si="82">L94/L$29</f>
        <v>#DIV/0!</v>
      </c>
      <c r="N94" s="705">
        <f>SUM(N95:N101)</f>
        <v>3234308.267</v>
      </c>
      <c r="O94" s="629"/>
      <c r="P94" s="627">
        <f>SUM(P95:P102)</f>
        <v>0</v>
      </c>
      <c r="Q94" s="706" t="str">
        <f t="shared" ref="Q94:Q102" si="83">P94/P$29</f>
        <v>#DIV/0!</v>
      </c>
      <c r="R94" s="707">
        <f>SUM(R95:R102)</f>
        <v>0</v>
      </c>
      <c r="S94" s="698" t="str">
        <f t="shared" ref="S94:S102" si="84">R94/R$29</f>
        <v>#DIV/0!</v>
      </c>
      <c r="T94" s="705">
        <f>SUM(T95:T101)</f>
        <v>0</v>
      </c>
      <c r="U94" s="629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</row>
    <row r="95" ht="15.75" customHeight="1">
      <c r="A95" s="425"/>
      <c r="B95" s="481"/>
      <c r="C95" s="481" t="s">
        <v>224</v>
      </c>
      <c r="D95" s="701">
        <v>0.0</v>
      </c>
      <c r="E95" s="533">
        <f t="shared" si="79"/>
        <v>0</v>
      </c>
      <c r="F95" s="610"/>
      <c r="G95" s="533" t="str">
        <f t="shared" si="80"/>
        <v>#DIV/0!</v>
      </c>
      <c r="H95" s="610">
        <f t="shared" ref="H95:H101" si="85">D95-F95</f>
        <v>0</v>
      </c>
      <c r="I95" s="536"/>
      <c r="J95" s="708">
        <v>0.0</v>
      </c>
      <c r="K95" s="538">
        <f t="shared" si="81"/>
        <v>0</v>
      </c>
      <c r="L95" s="612"/>
      <c r="M95" s="542" t="str">
        <f t="shared" si="82"/>
        <v>#DIV/0!</v>
      </c>
      <c r="N95" s="610">
        <f t="shared" ref="N95:N101" si="86">J95-L95</f>
        <v>0</v>
      </c>
      <c r="O95" s="536"/>
      <c r="P95" s="709"/>
      <c r="Q95" s="541" t="str">
        <f t="shared" si="83"/>
        <v>#DIV/0!</v>
      </c>
      <c r="R95" s="612"/>
      <c r="S95" s="542" t="str">
        <f t="shared" si="84"/>
        <v>#DIV/0!</v>
      </c>
      <c r="T95" s="610">
        <f t="shared" ref="T95:T101" si="87">P95-R95</f>
        <v>0</v>
      </c>
      <c r="U95" s="536"/>
      <c r="V95" s="425"/>
      <c r="W95" s="425"/>
      <c r="X95" s="425"/>
      <c r="Y95" s="425"/>
      <c r="Z95" s="425"/>
      <c r="AA95" s="425"/>
      <c r="AB95" s="425"/>
      <c r="AC95" s="425"/>
      <c r="AD95" s="425"/>
      <c r="AE95" s="425"/>
      <c r="AF95" s="425"/>
      <c r="AG95" s="425"/>
    </row>
    <row r="96" ht="15.75" customHeight="1">
      <c r="A96" s="425"/>
      <c r="B96" s="450"/>
      <c r="C96" s="450" t="s">
        <v>225</v>
      </c>
      <c r="D96" s="662">
        <v>3083552.1666666665</v>
      </c>
      <c r="E96" s="538">
        <f t="shared" si="79"/>
        <v>0.2399614052</v>
      </c>
      <c r="F96" s="612"/>
      <c r="G96" s="538" t="str">
        <f t="shared" si="80"/>
        <v>#DIV/0!</v>
      </c>
      <c r="H96" s="612">
        <f t="shared" si="85"/>
        <v>3083552.167</v>
      </c>
      <c r="I96" s="542" t="str">
        <f>H96/F96</f>
        <v>#DIV/0!</v>
      </c>
      <c r="J96" s="613">
        <v>3115370.4166666665</v>
      </c>
      <c r="K96" s="541">
        <f t="shared" si="81"/>
        <v>0.2505752021</v>
      </c>
      <c r="L96" s="612"/>
      <c r="M96" s="542" t="str">
        <f t="shared" si="82"/>
        <v>#DIV/0!</v>
      </c>
      <c r="N96" s="612">
        <f t="shared" si="86"/>
        <v>3115370.417</v>
      </c>
      <c r="O96" s="542" t="str">
        <f>N96/L96</f>
        <v>#DIV/0!</v>
      </c>
      <c r="P96" s="498"/>
      <c r="Q96" s="541" t="str">
        <f t="shared" si="83"/>
        <v>#DIV/0!</v>
      </c>
      <c r="R96" s="612"/>
      <c r="S96" s="542" t="str">
        <f t="shared" si="84"/>
        <v>#DIV/0!</v>
      </c>
      <c r="T96" s="612">
        <f t="shared" si="87"/>
        <v>0</v>
      </c>
      <c r="U96" s="542" t="str">
        <f>T96/R96</f>
        <v>#DIV/0!</v>
      </c>
      <c r="V96" s="425"/>
      <c r="W96" s="425"/>
      <c r="X96" s="425"/>
      <c r="Y96" s="425"/>
      <c r="Z96" s="425"/>
      <c r="AA96" s="425"/>
      <c r="AB96" s="425"/>
      <c r="AC96" s="425"/>
      <c r="AD96" s="425"/>
      <c r="AE96" s="425"/>
      <c r="AF96" s="425"/>
      <c r="AG96" s="425"/>
    </row>
    <row r="97" ht="15.75" customHeight="1">
      <c r="A97" s="425"/>
      <c r="B97" s="450"/>
      <c r="C97" s="450" t="s">
        <v>226</v>
      </c>
      <c r="D97" s="662">
        <v>3628.0</v>
      </c>
      <c r="E97" s="538">
        <f t="shared" si="79"/>
        <v>0.0002823302253</v>
      </c>
      <c r="F97" s="612"/>
      <c r="G97" s="538" t="str">
        <f t="shared" si="80"/>
        <v>#DIV/0!</v>
      </c>
      <c r="H97" s="612">
        <f t="shared" si="85"/>
        <v>3628</v>
      </c>
      <c r="I97" s="542"/>
      <c r="J97" s="439">
        <v>0.0</v>
      </c>
      <c r="K97" s="538">
        <f t="shared" si="81"/>
        <v>0</v>
      </c>
      <c r="L97" s="612"/>
      <c r="M97" s="542" t="str">
        <f t="shared" si="82"/>
        <v>#DIV/0!</v>
      </c>
      <c r="N97" s="612">
        <f t="shared" si="86"/>
        <v>0</v>
      </c>
      <c r="O97" s="542"/>
      <c r="P97" s="696"/>
      <c r="Q97" s="541" t="str">
        <f t="shared" si="83"/>
        <v>#DIV/0!</v>
      </c>
      <c r="R97" s="612"/>
      <c r="S97" s="542" t="str">
        <f t="shared" si="84"/>
        <v>#DIV/0!</v>
      </c>
      <c r="T97" s="612">
        <f t="shared" si="87"/>
        <v>0</v>
      </c>
      <c r="U97" s="542"/>
      <c r="V97" s="425"/>
      <c r="W97" s="425"/>
      <c r="X97" s="425"/>
      <c r="Y97" s="425"/>
      <c r="Z97" s="425"/>
      <c r="AA97" s="425"/>
      <c r="AB97" s="425"/>
      <c r="AC97" s="425"/>
      <c r="AD97" s="425"/>
      <c r="AE97" s="425"/>
      <c r="AF97" s="425"/>
      <c r="AG97" s="425"/>
    </row>
    <row r="98" ht="15.75" customHeight="1">
      <c r="A98" s="425"/>
      <c r="B98" s="450"/>
      <c r="C98" s="450" t="s">
        <v>228</v>
      </c>
      <c r="D98" s="662">
        <v>95740.59999999999</v>
      </c>
      <c r="E98" s="538">
        <f t="shared" si="79"/>
        <v>0.007450514105</v>
      </c>
      <c r="F98" s="612"/>
      <c r="G98" s="538" t="str">
        <f t="shared" si="80"/>
        <v>#DIV/0!</v>
      </c>
      <c r="H98" s="612">
        <f t="shared" si="85"/>
        <v>95740.6</v>
      </c>
      <c r="I98" s="542" t="str">
        <f>H98/F98</f>
        <v>#DIV/0!</v>
      </c>
      <c r="J98" s="613">
        <v>111656.85</v>
      </c>
      <c r="K98" s="541">
        <f t="shared" si="81"/>
        <v>0.008980774038</v>
      </c>
      <c r="L98" s="612"/>
      <c r="M98" s="542" t="str">
        <f t="shared" si="82"/>
        <v>#DIV/0!</v>
      </c>
      <c r="N98" s="612">
        <f t="shared" si="86"/>
        <v>111656.85</v>
      </c>
      <c r="O98" s="542" t="str">
        <f>N98/L98</f>
        <v>#DIV/0!</v>
      </c>
      <c r="P98" s="498"/>
      <c r="Q98" s="541" t="str">
        <f t="shared" si="83"/>
        <v>#DIV/0!</v>
      </c>
      <c r="R98" s="612"/>
      <c r="S98" s="542" t="str">
        <f t="shared" si="84"/>
        <v>#DIV/0!</v>
      </c>
      <c r="T98" s="612">
        <f t="shared" si="87"/>
        <v>0</v>
      </c>
      <c r="U98" s="542" t="str">
        <f>T98/R98</f>
        <v>#DIV/0!</v>
      </c>
      <c r="V98" s="425"/>
      <c r="W98" s="425"/>
      <c r="X98" s="425"/>
      <c r="Y98" s="425"/>
      <c r="Z98" s="425"/>
      <c r="AA98" s="425"/>
      <c r="AB98" s="425"/>
      <c r="AC98" s="425"/>
      <c r="AD98" s="425"/>
      <c r="AE98" s="425"/>
      <c r="AF98" s="425"/>
      <c r="AG98" s="425"/>
    </row>
    <row r="99" ht="15.75" customHeight="1">
      <c r="A99" s="425"/>
      <c r="B99" s="450"/>
      <c r="C99" s="450" t="s">
        <v>229</v>
      </c>
      <c r="D99" s="699">
        <v>0.0</v>
      </c>
      <c r="E99" s="538">
        <f t="shared" si="79"/>
        <v>0</v>
      </c>
      <c r="F99" s="612"/>
      <c r="G99" s="538" t="str">
        <f t="shared" si="80"/>
        <v>#DIV/0!</v>
      </c>
      <c r="H99" s="612">
        <f t="shared" si="85"/>
        <v>0</v>
      </c>
      <c r="I99" s="542"/>
      <c r="J99" s="701">
        <v>0.0</v>
      </c>
      <c r="K99" s="538">
        <f t="shared" si="81"/>
        <v>0</v>
      </c>
      <c r="L99" s="612"/>
      <c r="M99" s="542" t="str">
        <f t="shared" si="82"/>
        <v>#DIV/0!</v>
      </c>
      <c r="N99" s="612">
        <f t="shared" si="86"/>
        <v>0</v>
      </c>
      <c r="O99" s="542"/>
      <c r="P99" s="702"/>
      <c r="Q99" s="541" t="str">
        <f t="shared" si="83"/>
        <v>#DIV/0!</v>
      </c>
      <c r="R99" s="612"/>
      <c r="S99" s="542" t="str">
        <f t="shared" si="84"/>
        <v>#DIV/0!</v>
      </c>
      <c r="T99" s="612">
        <f t="shared" si="87"/>
        <v>0</v>
      </c>
      <c r="U99" s="542"/>
      <c r="V99" s="425"/>
      <c r="W99" s="425"/>
      <c r="X99" s="425"/>
      <c r="Y99" s="425"/>
      <c r="Z99" s="425"/>
      <c r="AA99" s="425"/>
      <c r="AB99" s="425"/>
      <c r="AC99" s="425"/>
      <c r="AD99" s="425"/>
      <c r="AE99" s="425"/>
      <c r="AF99" s="425"/>
      <c r="AG99" s="425"/>
    </row>
    <row r="100" ht="15.75" customHeight="1">
      <c r="A100" s="425"/>
      <c r="B100" s="450"/>
      <c r="C100" s="450" t="s">
        <v>230</v>
      </c>
      <c r="D100" s="662">
        <v>4906.0</v>
      </c>
      <c r="E100" s="538">
        <f t="shared" si="79"/>
        <v>0.0003817839265</v>
      </c>
      <c r="F100" s="612"/>
      <c r="G100" s="538" t="str">
        <f t="shared" si="80"/>
        <v>#DIV/0!</v>
      </c>
      <c r="H100" s="612">
        <f t="shared" si="85"/>
        <v>4906</v>
      </c>
      <c r="I100" s="542"/>
      <c r="J100" s="662">
        <v>7281.0</v>
      </c>
      <c r="K100" s="538">
        <f t="shared" si="81"/>
        <v>0.0005856247581</v>
      </c>
      <c r="L100" s="612"/>
      <c r="M100" s="542" t="str">
        <f t="shared" si="82"/>
        <v>#DIV/0!</v>
      </c>
      <c r="N100" s="612">
        <f t="shared" si="86"/>
        <v>7281</v>
      </c>
      <c r="O100" s="542"/>
      <c r="P100" s="685"/>
      <c r="Q100" s="541" t="str">
        <f t="shared" si="83"/>
        <v>#DIV/0!</v>
      </c>
      <c r="R100" s="612"/>
      <c r="S100" s="542" t="str">
        <f t="shared" si="84"/>
        <v>#DIV/0!</v>
      </c>
      <c r="T100" s="612">
        <f t="shared" si="87"/>
        <v>0</v>
      </c>
      <c r="U100" s="542"/>
      <c r="V100" s="425"/>
      <c r="W100" s="425"/>
      <c r="X100" s="425"/>
      <c r="Y100" s="425"/>
      <c r="Z100" s="425"/>
      <c r="AA100" s="425"/>
      <c r="AB100" s="425"/>
      <c r="AC100" s="425"/>
      <c r="AD100" s="425"/>
      <c r="AE100" s="425"/>
      <c r="AF100" s="425"/>
      <c r="AG100" s="425"/>
    </row>
    <row r="101" ht="15.75" customHeight="1">
      <c r="A101" s="425"/>
      <c r="B101" s="450"/>
      <c r="C101" s="450" t="s">
        <v>231</v>
      </c>
      <c r="D101" s="699">
        <v>0.0</v>
      </c>
      <c r="E101" s="538">
        <f t="shared" si="79"/>
        <v>0</v>
      </c>
      <c r="F101" s="521"/>
      <c r="G101" s="538" t="str">
        <f t="shared" si="80"/>
        <v>#DIV/0!</v>
      </c>
      <c r="H101" s="612">
        <f t="shared" si="85"/>
        <v>0</v>
      </c>
      <c r="I101" s="542"/>
      <c r="J101" s="699">
        <v>0.0</v>
      </c>
      <c r="K101" s="538">
        <f t="shared" si="81"/>
        <v>0</v>
      </c>
      <c r="L101" s="521"/>
      <c r="M101" s="542" t="str">
        <f t="shared" si="82"/>
        <v>#DIV/0!</v>
      </c>
      <c r="N101" s="612">
        <f t="shared" si="86"/>
        <v>0</v>
      </c>
      <c r="O101" s="542"/>
      <c r="P101" s="700"/>
      <c r="Q101" s="541" t="str">
        <f t="shared" si="83"/>
        <v>#DIV/0!</v>
      </c>
      <c r="R101" s="521"/>
      <c r="S101" s="542" t="str">
        <f t="shared" si="84"/>
        <v>#DIV/0!</v>
      </c>
      <c r="T101" s="612">
        <f t="shared" si="87"/>
        <v>0</v>
      </c>
      <c r="U101" s="542"/>
      <c r="V101" s="425"/>
      <c r="W101" s="425"/>
      <c r="X101" s="425"/>
      <c r="Y101" s="425"/>
      <c r="Z101" s="425"/>
      <c r="AA101" s="425"/>
      <c r="AB101" s="425"/>
      <c r="AC101" s="425"/>
      <c r="AD101" s="425"/>
      <c r="AE101" s="425"/>
      <c r="AF101" s="425"/>
      <c r="AG101" s="425"/>
    </row>
    <row r="102" ht="15.75" customHeight="1">
      <c r="A102" s="425"/>
      <c r="B102" s="450"/>
      <c r="C102" s="694" t="s">
        <v>232</v>
      </c>
      <c r="D102" s="699">
        <v>0.0</v>
      </c>
      <c r="E102" s="538">
        <f t="shared" si="79"/>
        <v>0</v>
      </c>
      <c r="F102" s="612"/>
      <c r="G102" s="538" t="str">
        <f t="shared" si="80"/>
        <v>#DIV/0!</v>
      </c>
      <c r="H102" s="521"/>
      <c r="I102" s="464"/>
      <c r="J102" s="699">
        <v>0.0</v>
      </c>
      <c r="K102" s="538">
        <f t="shared" si="81"/>
        <v>0</v>
      </c>
      <c r="L102" s="612"/>
      <c r="M102" s="542" t="str">
        <f t="shared" si="82"/>
        <v>#DIV/0!</v>
      </c>
      <c r="N102" s="521"/>
      <c r="O102" s="464"/>
      <c r="P102" s="700"/>
      <c r="Q102" s="541" t="str">
        <f t="shared" si="83"/>
        <v>#DIV/0!</v>
      </c>
      <c r="R102" s="612"/>
      <c r="S102" s="542" t="str">
        <f t="shared" si="84"/>
        <v>#DIV/0!</v>
      </c>
      <c r="T102" s="521"/>
      <c r="U102" s="464"/>
      <c r="V102" s="425"/>
      <c r="W102" s="425"/>
      <c r="X102" s="425"/>
      <c r="Y102" s="425"/>
      <c r="Z102" s="425"/>
      <c r="AA102" s="425"/>
      <c r="AB102" s="425"/>
      <c r="AC102" s="425"/>
      <c r="AD102" s="425"/>
      <c r="AE102" s="425"/>
      <c r="AF102" s="425"/>
      <c r="AG102" s="425"/>
    </row>
    <row r="103" ht="15.75" customHeight="1">
      <c r="A103" s="425"/>
      <c r="B103" s="468"/>
      <c r="C103" s="704"/>
      <c r="D103" s="663"/>
      <c r="E103" s="526"/>
      <c r="F103" s="526"/>
      <c r="G103" s="526"/>
      <c r="H103" s="526"/>
      <c r="I103" s="528"/>
      <c r="J103" s="663"/>
      <c r="K103" s="521"/>
      <c r="L103" s="521"/>
      <c r="M103" s="464"/>
      <c r="N103" s="526"/>
      <c r="O103" s="528"/>
      <c r="P103" s="687"/>
      <c r="Q103" s="552"/>
      <c r="R103" s="521"/>
      <c r="S103" s="464"/>
      <c r="T103" s="526"/>
      <c r="U103" s="528"/>
      <c r="V103" s="425"/>
      <c r="W103" s="425"/>
      <c r="X103" s="425"/>
      <c r="Y103" s="425"/>
      <c r="Z103" s="425"/>
      <c r="AA103" s="425"/>
      <c r="AB103" s="425"/>
      <c r="AC103" s="425"/>
      <c r="AD103" s="425"/>
      <c r="AE103" s="425"/>
      <c r="AF103" s="425"/>
      <c r="AG103" s="425"/>
    </row>
    <row r="104" ht="15.75" customHeight="1">
      <c r="A104" s="425"/>
      <c r="B104" s="477"/>
      <c r="C104" s="492" t="s">
        <v>38</v>
      </c>
      <c r="D104" s="627">
        <f>SUM(D105)</f>
        <v>24118.9</v>
      </c>
      <c r="E104" s="581">
        <f t="shared" ref="E104:E105" si="88">D104/D$29</f>
        <v>0.001876927914</v>
      </c>
      <c r="F104" s="627">
        <f>SUM(F105)</f>
        <v>0</v>
      </c>
      <c r="G104" s="581" t="str">
        <f>F104/F$29</f>
        <v>#DIV/0!</v>
      </c>
      <c r="H104" s="705">
        <f>SUM(H105)</f>
        <v>24118.9</v>
      </c>
      <c r="I104" s="629"/>
      <c r="J104" s="627">
        <f>SUM(J105)</f>
        <v>22441.6</v>
      </c>
      <c r="K104" s="706">
        <f t="shared" ref="K104:K105" si="89">J104/J$29</f>
        <v>0.001805020817</v>
      </c>
      <c r="L104" s="707">
        <f>SUM(L105)</f>
        <v>0</v>
      </c>
      <c r="M104" s="698" t="str">
        <f>L104/L$29</f>
        <v>#DIV/0!</v>
      </c>
      <c r="N104" s="705">
        <f>SUM(N105)</f>
        <v>22441.6</v>
      </c>
      <c r="O104" s="629"/>
      <c r="P104" s="627">
        <f>SUM(P105)</f>
        <v>0</v>
      </c>
      <c r="Q104" s="706" t="str">
        <f t="shared" ref="Q104:Q105" si="90">P104/P$29</f>
        <v>#DIV/0!</v>
      </c>
      <c r="R104" s="707">
        <f>SUM(R105)</f>
        <v>0</v>
      </c>
      <c r="S104" s="698" t="str">
        <f>R104/R$29</f>
        <v>#DIV/0!</v>
      </c>
      <c r="T104" s="705">
        <f>SUM(T105)</f>
        <v>0</v>
      </c>
      <c r="U104" s="629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</row>
    <row r="105" ht="15.75" customHeight="1">
      <c r="A105" s="425"/>
      <c r="B105" s="481"/>
      <c r="C105" s="481" t="s">
        <v>276</v>
      </c>
      <c r="D105" s="661">
        <v>24118.899999999998</v>
      </c>
      <c r="E105" s="533">
        <f t="shared" si="88"/>
        <v>0.001876927914</v>
      </c>
      <c r="F105" s="610"/>
      <c r="G105" s="533">
        <v>0.016</v>
      </c>
      <c r="H105" s="610">
        <f>D105-F105</f>
        <v>24118.9</v>
      </c>
      <c r="I105" s="536" t="str">
        <f>H105/F105</f>
        <v>#DIV/0!</v>
      </c>
      <c r="J105" s="661">
        <v>22441.6</v>
      </c>
      <c r="K105" s="538">
        <f t="shared" si="89"/>
        <v>0.001805020817</v>
      </c>
      <c r="L105" s="612"/>
      <c r="M105" s="542">
        <v>0.016</v>
      </c>
      <c r="N105" s="610">
        <f>J105-L105</f>
        <v>22441.6</v>
      </c>
      <c r="O105" s="536" t="str">
        <f>N105/L105</f>
        <v>#DIV/0!</v>
      </c>
      <c r="P105" s="686"/>
      <c r="Q105" s="541" t="str">
        <f t="shared" si="90"/>
        <v>#DIV/0!</v>
      </c>
      <c r="R105" s="612"/>
      <c r="S105" s="542">
        <v>0.016</v>
      </c>
      <c r="T105" s="610">
        <f>P105-R105</f>
        <v>0</v>
      </c>
      <c r="U105" s="536" t="str">
        <f>T105/R105</f>
        <v>#DIV/0!</v>
      </c>
      <c r="V105" s="425"/>
      <c r="W105" s="425"/>
      <c r="X105" s="425"/>
      <c r="Y105" s="425"/>
      <c r="Z105" s="425"/>
      <c r="AA105" s="425"/>
      <c r="AB105" s="425"/>
      <c r="AC105" s="425"/>
      <c r="AD105" s="425"/>
      <c r="AE105" s="425"/>
      <c r="AF105" s="425"/>
      <c r="AG105" s="425"/>
    </row>
    <row r="106" ht="15.75" customHeight="1">
      <c r="A106" s="425"/>
      <c r="B106" s="468"/>
      <c r="C106" s="468"/>
      <c r="D106" s="663"/>
      <c r="E106" s="526"/>
      <c r="F106" s="526"/>
      <c r="G106" s="526"/>
      <c r="H106" s="526"/>
      <c r="I106" s="528"/>
      <c r="J106" s="663"/>
      <c r="K106" s="521"/>
      <c r="L106" s="521"/>
      <c r="M106" s="464"/>
      <c r="N106" s="526"/>
      <c r="O106" s="528"/>
      <c r="P106" s="687"/>
      <c r="Q106" s="552"/>
      <c r="R106" s="521"/>
      <c r="S106" s="464"/>
      <c r="T106" s="526"/>
      <c r="U106" s="528"/>
      <c r="V106" s="425"/>
      <c r="W106" s="425"/>
      <c r="X106" s="425"/>
      <c r="Y106" s="425"/>
      <c r="Z106" s="425"/>
      <c r="AA106" s="425"/>
      <c r="AB106" s="425"/>
      <c r="AC106" s="425"/>
      <c r="AD106" s="425"/>
      <c r="AE106" s="425"/>
      <c r="AF106" s="425"/>
      <c r="AG106" s="425"/>
    </row>
    <row r="107" ht="15.75" customHeight="1">
      <c r="A107" s="425"/>
      <c r="B107" s="477"/>
      <c r="C107" s="492" t="s">
        <v>238</v>
      </c>
      <c r="D107" s="627">
        <f>SUM(D108:D109)</f>
        <v>63685.33333</v>
      </c>
      <c r="E107" s="627">
        <f t="shared" ref="E107:E108" si="91">D107/D$29</f>
        <v>0.004955979744</v>
      </c>
      <c r="F107" s="627"/>
      <c r="G107" s="627" t="str">
        <f>F107/F$29</f>
        <v>#DIV/0!</v>
      </c>
      <c r="H107" s="627">
        <f>SUM(H108:H109)</f>
        <v>63685.33333</v>
      </c>
      <c r="I107" s="627"/>
      <c r="J107" s="627">
        <f>SUM(J108:J109)</f>
        <v>63685.33333</v>
      </c>
      <c r="K107" s="706">
        <f t="shared" ref="K107:K109" si="92">J107/J$29</f>
        <v>0.005122333186</v>
      </c>
      <c r="L107" s="707"/>
      <c r="M107" s="698" t="str">
        <f>L107/L$29</f>
        <v>#DIV/0!</v>
      </c>
      <c r="N107" s="627">
        <f>SUM(N108:N109)</f>
        <v>63685.33333</v>
      </c>
      <c r="O107" s="627"/>
      <c r="P107" s="627">
        <f>SUM(P108:P109)</f>
        <v>0</v>
      </c>
      <c r="Q107" s="706" t="str">
        <f t="shared" ref="Q107:Q109" si="93">P107/P$29</f>
        <v>#DIV/0!</v>
      </c>
      <c r="R107" s="707"/>
      <c r="S107" s="698" t="str">
        <f>R107/R$29</f>
        <v>#DIV/0!</v>
      </c>
      <c r="T107" s="627">
        <f>SUM(T108:T109)</f>
        <v>63685.33333</v>
      </c>
      <c r="U107" s="6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</row>
    <row r="108" ht="15.75" customHeight="1">
      <c r="A108" s="425"/>
      <c r="B108" s="481"/>
      <c r="C108" s="481" t="s">
        <v>239</v>
      </c>
      <c r="D108" s="661">
        <v>0.0</v>
      </c>
      <c r="E108" s="661">
        <f t="shared" si="91"/>
        <v>0</v>
      </c>
      <c r="F108" s="661"/>
      <c r="G108" s="661"/>
      <c r="H108" s="661">
        <f>D108-F108</f>
        <v>0</v>
      </c>
      <c r="I108" s="661" t="str">
        <f>H108/F108</f>
        <v>#DIV/0!</v>
      </c>
      <c r="J108" s="661">
        <v>0.0</v>
      </c>
      <c r="K108" s="538">
        <f t="shared" si="92"/>
        <v>0</v>
      </c>
      <c r="L108" s="521"/>
      <c r="M108" s="464"/>
      <c r="N108" s="661">
        <f>J108-L108</f>
        <v>0</v>
      </c>
      <c r="O108" s="661" t="str">
        <f>N108/L108</f>
        <v>#DIV/0!</v>
      </c>
      <c r="P108" s="686"/>
      <c r="Q108" s="541" t="str">
        <f t="shared" si="93"/>
        <v>#DIV/0!</v>
      </c>
      <c r="R108" s="521"/>
      <c r="S108" s="464"/>
      <c r="T108" s="661">
        <f>P108-R108</f>
        <v>0</v>
      </c>
      <c r="U108" s="661" t="str">
        <f>T108/R108</f>
        <v>#DIV/0!</v>
      </c>
      <c r="V108" s="425"/>
      <c r="W108" s="425"/>
      <c r="X108" s="425"/>
      <c r="Y108" s="425"/>
      <c r="Z108" s="425"/>
      <c r="AA108" s="425"/>
      <c r="AB108" s="425"/>
      <c r="AC108" s="425"/>
      <c r="AD108" s="425"/>
      <c r="AE108" s="425"/>
      <c r="AF108" s="425"/>
      <c r="AG108" s="425"/>
    </row>
    <row r="109" ht="15.75" customHeight="1">
      <c r="A109" s="425"/>
      <c r="B109" s="450"/>
      <c r="C109" s="450" t="s">
        <v>301</v>
      </c>
      <c r="D109" s="662">
        <v>63685.333333333336</v>
      </c>
      <c r="E109" s="662">
        <v>63685.333333333336</v>
      </c>
      <c r="F109" s="662">
        <v>63685.333333333336</v>
      </c>
      <c r="G109" s="662">
        <v>63685.333333333336</v>
      </c>
      <c r="H109" s="662">
        <v>63685.333333333336</v>
      </c>
      <c r="I109" s="662">
        <v>63685.333333333336</v>
      </c>
      <c r="J109" s="662">
        <v>63685.333333333336</v>
      </c>
      <c r="K109" s="538">
        <f t="shared" si="92"/>
        <v>0.005122333186</v>
      </c>
      <c r="L109" s="710"/>
      <c r="M109" s="542" t="str">
        <f>L109/L$29</f>
        <v>#DIV/0!</v>
      </c>
      <c r="N109" s="662">
        <v>63685.333333333336</v>
      </c>
      <c r="O109" s="662">
        <v>63685.333333333336</v>
      </c>
      <c r="P109" s="685"/>
      <c r="Q109" s="541" t="str">
        <f t="shared" si="93"/>
        <v>#DIV/0!</v>
      </c>
      <c r="R109" s="710"/>
      <c r="S109" s="542" t="str">
        <f>R109/R$29</f>
        <v>#DIV/0!</v>
      </c>
      <c r="T109" s="662">
        <v>63685.333333333336</v>
      </c>
      <c r="U109" s="662">
        <v>63685.333333333336</v>
      </c>
      <c r="V109" s="425"/>
      <c r="W109" s="425"/>
      <c r="X109" s="425"/>
      <c r="Y109" s="425"/>
      <c r="Z109" s="425"/>
      <c r="AA109" s="425"/>
      <c r="AB109" s="425"/>
      <c r="AC109" s="425"/>
      <c r="AD109" s="425"/>
      <c r="AE109" s="425"/>
      <c r="AF109" s="425"/>
      <c r="AG109" s="425"/>
    </row>
    <row r="110" ht="15.75" customHeight="1">
      <c r="A110" s="425"/>
      <c r="B110" s="468"/>
      <c r="C110" s="468"/>
      <c r="D110" s="663"/>
      <c r="E110" s="663"/>
      <c r="F110" s="663"/>
      <c r="G110" s="663"/>
      <c r="H110" s="663"/>
      <c r="I110" s="663"/>
      <c r="J110" s="663"/>
      <c r="K110" s="521"/>
      <c r="L110" s="521"/>
      <c r="M110" s="464"/>
      <c r="N110" s="663"/>
      <c r="O110" s="663"/>
      <c r="P110" s="687"/>
      <c r="Q110" s="552"/>
      <c r="R110" s="521"/>
      <c r="S110" s="464"/>
      <c r="T110" s="663"/>
      <c r="U110" s="663"/>
      <c r="V110" s="425"/>
      <c r="W110" s="425"/>
      <c r="X110" s="425"/>
      <c r="Y110" s="425"/>
      <c r="Z110" s="425"/>
      <c r="AA110" s="425"/>
      <c r="AB110" s="425"/>
      <c r="AC110" s="425"/>
      <c r="AD110" s="425"/>
      <c r="AE110" s="425"/>
      <c r="AF110" s="425"/>
      <c r="AG110" s="425"/>
    </row>
    <row r="111" ht="15.75" customHeight="1">
      <c r="A111" s="425"/>
      <c r="B111" s="477"/>
      <c r="C111" s="492" t="s">
        <v>40</v>
      </c>
      <c r="D111" s="627">
        <f>SUM(D112:D125)</f>
        <v>667797.9167</v>
      </c>
      <c r="E111" s="627">
        <f t="shared" ref="E111:E113" si="94">D111/D$29</f>
        <v>0.05196789865</v>
      </c>
      <c r="F111" s="627"/>
      <c r="G111" s="627" t="str">
        <f t="shared" ref="G111:G113" si="95">F111/F$29</f>
        <v>#DIV/0!</v>
      </c>
      <c r="H111" s="627">
        <f>SUM(H112:H124)</f>
        <v>616209</v>
      </c>
      <c r="I111" s="627"/>
      <c r="J111" s="627">
        <f>SUM(J112:J125)</f>
        <v>446614.75</v>
      </c>
      <c r="K111" s="706">
        <f t="shared" ref="K111:K125" si="96">J111/J$29</f>
        <v>0.03592207869</v>
      </c>
      <c r="L111" s="707"/>
      <c r="M111" s="698" t="str">
        <f t="shared" ref="M111:M125" si="97">L111/L$29</f>
        <v>#DIV/0!</v>
      </c>
      <c r="N111" s="627">
        <f>SUM(N112:N124)</f>
        <v>414126.75</v>
      </c>
      <c r="O111" s="627"/>
      <c r="P111" s="627">
        <f>SUM(P112:P125)</f>
        <v>0</v>
      </c>
      <c r="Q111" s="706" t="str">
        <f t="shared" ref="Q111:Q125" si="98">P111/P$29</f>
        <v>#DIV/0!</v>
      </c>
      <c r="R111" s="707"/>
      <c r="S111" s="698" t="str">
        <f t="shared" ref="S111:S125" si="99">R111/R$29</f>
        <v>#DIV/0!</v>
      </c>
      <c r="T111" s="627">
        <f>SUM(T112:T124)</f>
        <v>144206.75</v>
      </c>
      <c r="U111" s="6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</row>
    <row r="112" ht="15.75" customHeight="1">
      <c r="A112" s="425"/>
      <c r="B112" s="481"/>
      <c r="C112" s="481" t="s">
        <v>241</v>
      </c>
      <c r="D112" s="661">
        <v>0.0</v>
      </c>
      <c r="E112" s="661">
        <f t="shared" si="94"/>
        <v>0</v>
      </c>
      <c r="F112" s="661"/>
      <c r="G112" s="661" t="str">
        <f t="shared" si="95"/>
        <v>#DIV/0!</v>
      </c>
      <c r="H112" s="661">
        <f t="shared" ref="H112:H113" si="100">D112-F112</f>
        <v>0</v>
      </c>
      <c r="I112" s="661" t="str">
        <f t="shared" ref="I112:I113" si="101">H112/F112</f>
        <v>#DIV/0!</v>
      </c>
      <c r="J112" s="661">
        <v>0.0</v>
      </c>
      <c r="K112" s="538">
        <f t="shared" si="96"/>
        <v>0</v>
      </c>
      <c r="L112" s="612"/>
      <c r="M112" s="542" t="str">
        <f t="shared" si="97"/>
        <v>#DIV/0!</v>
      </c>
      <c r="N112" s="661">
        <f t="shared" ref="N112:N113" si="102">J112-L112</f>
        <v>0</v>
      </c>
      <c r="O112" s="661" t="str">
        <f t="shared" ref="O112:O113" si="103">N112/L112</f>
        <v>#DIV/0!</v>
      </c>
      <c r="P112" s="686"/>
      <c r="Q112" s="541" t="str">
        <f t="shared" si="98"/>
        <v>#DIV/0!</v>
      </c>
      <c r="R112" s="612"/>
      <c r="S112" s="542" t="str">
        <f t="shared" si="99"/>
        <v>#DIV/0!</v>
      </c>
      <c r="T112" s="661">
        <f t="shared" ref="T112:T113" si="104">P112-R112</f>
        <v>0</v>
      </c>
      <c r="U112" s="661" t="str">
        <f t="shared" ref="U112:U113" si="105">T112/R112</f>
        <v>#DIV/0!</v>
      </c>
      <c r="V112" s="425"/>
      <c r="W112" s="425"/>
      <c r="X112" s="425"/>
      <c r="Y112" s="425"/>
      <c r="Z112" s="425"/>
      <c r="AA112" s="425"/>
      <c r="AB112" s="425"/>
      <c r="AC112" s="425"/>
      <c r="AD112" s="425"/>
      <c r="AE112" s="425"/>
      <c r="AF112" s="425"/>
      <c r="AG112" s="425"/>
    </row>
    <row r="113" ht="15.75" customHeight="1">
      <c r="A113" s="425"/>
      <c r="B113" s="450"/>
      <c r="C113" s="450" t="s">
        <v>242</v>
      </c>
      <c r="D113" s="662">
        <v>3423.0</v>
      </c>
      <c r="E113" s="662">
        <f t="shared" si="94"/>
        <v>0.0002663771669</v>
      </c>
      <c r="F113" s="662"/>
      <c r="G113" s="662" t="str">
        <f t="shared" si="95"/>
        <v>#DIV/0!</v>
      </c>
      <c r="H113" s="662">
        <f t="shared" si="100"/>
        <v>3423</v>
      </c>
      <c r="I113" s="662" t="str">
        <f t="shared" si="101"/>
        <v>#DIV/0!</v>
      </c>
      <c r="J113" s="662">
        <v>3654.0</v>
      </c>
      <c r="K113" s="538">
        <f t="shared" si="96"/>
        <v>0.0002938982099</v>
      </c>
      <c r="L113" s="612"/>
      <c r="M113" s="542" t="str">
        <f t="shared" si="97"/>
        <v>#DIV/0!</v>
      </c>
      <c r="N113" s="662">
        <f t="shared" si="102"/>
        <v>3654</v>
      </c>
      <c r="O113" s="662" t="str">
        <f t="shared" si="103"/>
        <v>#DIV/0!</v>
      </c>
      <c r="P113" s="685"/>
      <c r="Q113" s="541" t="str">
        <f t="shared" si="98"/>
        <v>#DIV/0!</v>
      </c>
      <c r="R113" s="612"/>
      <c r="S113" s="542" t="str">
        <f t="shared" si="99"/>
        <v>#DIV/0!</v>
      </c>
      <c r="T113" s="662">
        <f t="shared" si="104"/>
        <v>0</v>
      </c>
      <c r="U113" s="662" t="str">
        <f t="shared" si="105"/>
        <v>#DIV/0!</v>
      </c>
      <c r="V113" s="425"/>
      <c r="W113" s="425"/>
      <c r="X113" s="425"/>
      <c r="Y113" s="425"/>
      <c r="Z113" s="425"/>
      <c r="AA113" s="425"/>
      <c r="AB113" s="425"/>
      <c r="AC113" s="425"/>
      <c r="AD113" s="425"/>
      <c r="AE113" s="425"/>
      <c r="AF113" s="425"/>
      <c r="AG113" s="425"/>
    </row>
    <row r="114" ht="15.75" customHeight="1">
      <c r="A114" s="425"/>
      <c r="B114" s="450"/>
      <c r="C114" s="450" t="s">
        <v>243</v>
      </c>
      <c r="D114" s="662">
        <v>95043.75</v>
      </c>
      <c r="E114" s="662">
        <v>95043.75</v>
      </c>
      <c r="F114" s="662">
        <v>95043.75</v>
      </c>
      <c r="G114" s="662">
        <v>95043.75</v>
      </c>
      <c r="H114" s="662">
        <v>95043.75</v>
      </c>
      <c r="I114" s="662">
        <v>95043.75</v>
      </c>
      <c r="J114" s="662">
        <v>95043.75</v>
      </c>
      <c r="K114" s="538">
        <f t="shared" si="96"/>
        <v>0.007644550625</v>
      </c>
      <c r="L114" s="612"/>
      <c r="M114" s="542" t="str">
        <f t="shared" si="97"/>
        <v>#DIV/0!</v>
      </c>
      <c r="N114" s="662">
        <v>95043.75</v>
      </c>
      <c r="O114" s="662">
        <v>95043.75</v>
      </c>
      <c r="P114" s="685"/>
      <c r="Q114" s="541" t="str">
        <f t="shared" si="98"/>
        <v>#DIV/0!</v>
      </c>
      <c r="R114" s="612"/>
      <c r="S114" s="542" t="str">
        <f t="shared" si="99"/>
        <v>#DIV/0!</v>
      </c>
      <c r="T114" s="662">
        <v>95043.75</v>
      </c>
      <c r="U114" s="662">
        <v>95043.75</v>
      </c>
      <c r="V114" s="425"/>
      <c r="W114" s="425"/>
      <c r="X114" s="425"/>
      <c r="Y114" s="425"/>
      <c r="Z114" s="425"/>
      <c r="AA114" s="425"/>
      <c r="AB114" s="425"/>
      <c r="AC114" s="425"/>
      <c r="AD114" s="425"/>
      <c r="AE114" s="425"/>
      <c r="AF114" s="425"/>
      <c r="AG114" s="425"/>
    </row>
    <row r="115" ht="15.75" customHeight="1">
      <c r="A115" s="425"/>
      <c r="B115" s="450"/>
      <c r="C115" s="450" t="s">
        <v>302</v>
      </c>
      <c r="D115" s="662">
        <v>27333.0</v>
      </c>
      <c r="E115" s="662">
        <v>27333.0</v>
      </c>
      <c r="F115" s="662">
        <v>27333.0</v>
      </c>
      <c r="G115" s="662">
        <v>27333.0</v>
      </c>
      <c r="H115" s="662">
        <v>27333.0</v>
      </c>
      <c r="I115" s="662">
        <v>27333.0</v>
      </c>
      <c r="J115" s="662">
        <v>27333.0</v>
      </c>
      <c r="K115" s="538">
        <f t="shared" si="96"/>
        <v>0.002198445476</v>
      </c>
      <c r="L115" s="612"/>
      <c r="M115" s="542" t="str">
        <f t="shared" si="97"/>
        <v>#DIV/0!</v>
      </c>
      <c r="N115" s="662">
        <v>27333.0</v>
      </c>
      <c r="O115" s="662">
        <v>27333.0</v>
      </c>
      <c r="P115" s="685"/>
      <c r="Q115" s="541" t="str">
        <f t="shared" si="98"/>
        <v>#DIV/0!</v>
      </c>
      <c r="R115" s="612"/>
      <c r="S115" s="542" t="str">
        <f t="shared" si="99"/>
        <v>#DIV/0!</v>
      </c>
      <c r="T115" s="662">
        <v>27333.0</v>
      </c>
      <c r="U115" s="662">
        <v>27333.0</v>
      </c>
      <c r="V115" s="425"/>
      <c r="W115" s="425"/>
      <c r="X115" s="425"/>
      <c r="Y115" s="425"/>
      <c r="Z115" s="425"/>
      <c r="AA115" s="425"/>
      <c r="AB115" s="425"/>
      <c r="AC115" s="425"/>
      <c r="AD115" s="425"/>
      <c r="AE115" s="425"/>
      <c r="AF115" s="425"/>
      <c r="AG115" s="425"/>
    </row>
    <row r="116" ht="15.75" customHeight="1">
      <c r="A116" s="425"/>
      <c r="B116" s="450"/>
      <c r="C116" s="450" t="s">
        <v>290</v>
      </c>
      <c r="D116" s="662">
        <v>0.0</v>
      </c>
      <c r="E116" s="662">
        <f t="shared" ref="E116:E121" si="106">D116/D$29</f>
        <v>0</v>
      </c>
      <c r="F116" s="662"/>
      <c r="G116" s="662" t="str">
        <f t="shared" ref="G116:G121" si="107">F116/F$29</f>
        <v>#DIV/0!</v>
      </c>
      <c r="H116" s="662">
        <f t="shared" ref="H116:H117" si="108">D116-F116</f>
        <v>0</v>
      </c>
      <c r="I116" s="662" t="str">
        <f t="shared" ref="I116:I117" si="109">H116/F116</f>
        <v>#DIV/0!</v>
      </c>
      <c r="J116" s="662">
        <v>0.0</v>
      </c>
      <c r="K116" s="538">
        <f t="shared" si="96"/>
        <v>0</v>
      </c>
      <c r="L116" s="612"/>
      <c r="M116" s="542" t="str">
        <f t="shared" si="97"/>
        <v>#DIV/0!</v>
      </c>
      <c r="N116" s="662">
        <f t="shared" ref="N116:N117" si="110">J116-L116</f>
        <v>0</v>
      </c>
      <c r="O116" s="662" t="str">
        <f t="shared" ref="O116:O117" si="111">N116/L116</f>
        <v>#DIV/0!</v>
      </c>
      <c r="P116" s="685"/>
      <c r="Q116" s="541" t="str">
        <f t="shared" si="98"/>
        <v>#DIV/0!</v>
      </c>
      <c r="R116" s="612"/>
      <c r="S116" s="542" t="str">
        <f t="shared" si="99"/>
        <v>#DIV/0!</v>
      </c>
      <c r="T116" s="662">
        <f t="shared" ref="T116:T117" si="112">P116-R116</f>
        <v>0</v>
      </c>
      <c r="U116" s="662" t="str">
        <f t="shared" ref="U116:U117" si="113">T116/R116</f>
        <v>#DIV/0!</v>
      </c>
      <c r="V116" s="425"/>
      <c r="W116" s="425"/>
      <c r="X116" s="425"/>
      <c r="Y116" s="425"/>
      <c r="Z116" s="425"/>
      <c r="AA116" s="425"/>
      <c r="AB116" s="425"/>
      <c r="AC116" s="425"/>
      <c r="AD116" s="425"/>
      <c r="AE116" s="425"/>
      <c r="AF116" s="425"/>
      <c r="AG116" s="425"/>
    </row>
    <row r="117" ht="15.75" customHeight="1">
      <c r="A117" s="425"/>
      <c r="B117" s="450"/>
      <c r="C117" s="450" t="s">
        <v>247</v>
      </c>
      <c r="D117" s="662">
        <v>418149.0</v>
      </c>
      <c r="E117" s="662">
        <f t="shared" si="106"/>
        <v>0.03254027051</v>
      </c>
      <c r="F117" s="662"/>
      <c r="G117" s="662" t="str">
        <f t="shared" si="107"/>
        <v>#DIV/0!</v>
      </c>
      <c r="H117" s="662">
        <f t="shared" si="108"/>
        <v>418149</v>
      </c>
      <c r="I117" s="662" t="str">
        <f t="shared" si="109"/>
        <v>#DIV/0!</v>
      </c>
      <c r="J117" s="662">
        <v>92452.0</v>
      </c>
      <c r="K117" s="538">
        <f t="shared" si="96"/>
        <v>0.007436091215</v>
      </c>
      <c r="L117" s="612"/>
      <c r="M117" s="542" t="str">
        <f t="shared" si="97"/>
        <v>#DIV/0!</v>
      </c>
      <c r="N117" s="662">
        <f t="shared" si="110"/>
        <v>92452</v>
      </c>
      <c r="O117" s="662" t="str">
        <f t="shared" si="111"/>
        <v>#DIV/0!</v>
      </c>
      <c r="P117" s="685"/>
      <c r="Q117" s="541" t="str">
        <f t="shared" si="98"/>
        <v>#DIV/0!</v>
      </c>
      <c r="R117" s="612"/>
      <c r="S117" s="542" t="str">
        <f t="shared" si="99"/>
        <v>#DIV/0!</v>
      </c>
      <c r="T117" s="662">
        <f t="shared" si="112"/>
        <v>0</v>
      </c>
      <c r="U117" s="662" t="str">
        <f t="shared" si="113"/>
        <v>#DIV/0!</v>
      </c>
      <c r="V117" s="425"/>
      <c r="W117" s="425"/>
      <c r="X117" s="425"/>
      <c r="Y117" s="425"/>
      <c r="Z117" s="425"/>
      <c r="AA117" s="425"/>
      <c r="AB117" s="425"/>
      <c r="AC117" s="425"/>
      <c r="AD117" s="425"/>
      <c r="AE117" s="425"/>
      <c r="AF117" s="425"/>
      <c r="AG117" s="425"/>
    </row>
    <row r="118" ht="15.75" customHeight="1">
      <c r="A118" s="425"/>
      <c r="B118" s="450"/>
      <c r="C118" s="450" t="s">
        <v>246</v>
      </c>
      <c r="D118" s="662">
        <v>30888.916666666664</v>
      </c>
      <c r="E118" s="662">
        <f t="shared" si="106"/>
        <v>0.00240376924</v>
      </c>
      <c r="F118" s="662"/>
      <c r="G118" s="662" t="str">
        <f t="shared" si="107"/>
        <v>#DIV/0!</v>
      </c>
      <c r="H118" s="662"/>
      <c r="I118" s="662"/>
      <c r="J118" s="662">
        <v>8688.0</v>
      </c>
      <c r="K118" s="538">
        <f t="shared" si="96"/>
        <v>0.0006987924596</v>
      </c>
      <c r="L118" s="612"/>
      <c r="M118" s="542" t="str">
        <f t="shared" si="97"/>
        <v>#DIV/0!</v>
      </c>
      <c r="N118" s="662"/>
      <c r="O118" s="662"/>
      <c r="P118" s="685"/>
      <c r="Q118" s="541" t="str">
        <f t="shared" si="98"/>
        <v>#DIV/0!</v>
      </c>
      <c r="R118" s="612"/>
      <c r="S118" s="542" t="str">
        <f t="shared" si="99"/>
        <v>#DIV/0!</v>
      </c>
      <c r="T118" s="662"/>
      <c r="U118" s="662"/>
      <c r="V118" s="425"/>
      <c r="W118" s="425"/>
      <c r="X118" s="425"/>
      <c r="Y118" s="425"/>
      <c r="Z118" s="425"/>
      <c r="AA118" s="425"/>
      <c r="AB118" s="425"/>
      <c r="AC118" s="425"/>
      <c r="AD118" s="425"/>
      <c r="AE118" s="425"/>
      <c r="AF118" s="425"/>
      <c r="AG118" s="425"/>
    </row>
    <row r="119" ht="15.75" customHeight="1">
      <c r="A119" s="425"/>
      <c r="B119" s="450"/>
      <c r="C119" s="450" t="s">
        <v>249</v>
      </c>
      <c r="D119" s="662">
        <v>3315.0</v>
      </c>
      <c r="E119" s="662">
        <f t="shared" si="106"/>
        <v>0.0002579726287</v>
      </c>
      <c r="F119" s="662"/>
      <c r="G119" s="662" t="str">
        <f t="shared" si="107"/>
        <v>#DIV/0!</v>
      </c>
      <c r="H119" s="662">
        <f t="shared" ref="H119:H121" si="114">D119-F119</f>
        <v>3315</v>
      </c>
      <c r="I119" s="662" t="str">
        <f t="shared" ref="I119:I121" si="115">H119/F119</f>
        <v>#DIV/0!</v>
      </c>
      <c r="J119" s="662">
        <v>3315.0</v>
      </c>
      <c r="K119" s="538">
        <f t="shared" si="96"/>
        <v>0.0002666317914</v>
      </c>
      <c r="L119" s="612"/>
      <c r="M119" s="542" t="str">
        <f t="shared" si="97"/>
        <v>#DIV/0!</v>
      </c>
      <c r="N119" s="662">
        <f t="shared" ref="N119:N121" si="116">J119-L119</f>
        <v>3315</v>
      </c>
      <c r="O119" s="662" t="str">
        <f t="shared" ref="O119:O121" si="117">N119/L119</f>
        <v>#DIV/0!</v>
      </c>
      <c r="P119" s="685"/>
      <c r="Q119" s="541" t="str">
        <f t="shared" si="98"/>
        <v>#DIV/0!</v>
      </c>
      <c r="R119" s="612"/>
      <c r="S119" s="542" t="str">
        <f t="shared" si="99"/>
        <v>#DIV/0!</v>
      </c>
      <c r="T119" s="662">
        <f t="shared" ref="T119:T121" si="118">P119-R119</f>
        <v>0</v>
      </c>
      <c r="U119" s="662" t="str">
        <f t="shared" ref="U119:U121" si="119">T119/R119</f>
        <v>#DIV/0!</v>
      </c>
      <c r="V119" s="425"/>
      <c r="W119" s="425"/>
      <c r="X119" s="425"/>
      <c r="Y119" s="425"/>
      <c r="Z119" s="425"/>
      <c r="AA119" s="425"/>
      <c r="AB119" s="425"/>
      <c r="AC119" s="425"/>
      <c r="AD119" s="425"/>
      <c r="AE119" s="425"/>
      <c r="AF119" s="425"/>
      <c r="AG119" s="425"/>
    </row>
    <row r="120" ht="15.75" customHeight="1">
      <c r="A120" s="425"/>
      <c r="B120" s="450"/>
      <c r="C120" s="450" t="s">
        <v>250</v>
      </c>
      <c r="D120" s="662">
        <v>28806.0</v>
      </c>
      <c r="E120" s="662">
        <f t="shared" si="106"/>
        <v>0.002241677087</v>
      </c>
      <c r="F120" s="662"/>
      <c r="G120" s="662" t="str">
        <f t="shared" si="107"/>
        <v>#DIV/0!</v>
      </c>
      <c r="H120" s="662">
        <f t="shared" si="114"/>
        <v>28806</v>
      </c>
      <c r="I120" s="662" t="str">
        <f t="shared" si="115"/>
        <v>#DIV/0!</v>
      </c>
      <c r="J120" s="662">
        <v>29900.0</v>
      </c>
      <c r="K120" s="538">
        <f t="shared" si="96"/>
        <v>0.002404914197</v>
      </c>
      <c r="L120" s="612"/>
      <c r="M120" s="542" t="str">
        <f t="shared" si="97"/>
        <v>#DIV/0!</v>
      </c>
      <c r="N120" s="662">
        <f t="shared" si="116"/>
        <v>29900</v>
      </c>
      <c r="O120" s="662" t="str">
        <f t="shared" si="117"/>
        <v>#DIV/0!</v>
      </c>
      <c r="P120" s="685"/>
      <c r="Q120" s="541" t="str">
        <f t="shared" si="98"/>
        <v>#DIV/0!</v>
      </c>
      <c r="R120" s="612"/>
      <c r="S120" s="542" t="str">
        <f t="shared" si="99"/>
        <v>#DIV/0!</v>
      </c>
      <c r="T120" s="662">
        <f t="shared" si="118"/>
        <v>0</v>
      </c>
      <c r="U120" s="662" t="str">
        <f t="shared" si="119"/>
        <v>#DIV/0!</v>
      </c>
      <c r="V120" s="425"/>
      <c r="W120" s="425"/>
      <c r="X120" s="425"/>
      <c r="Y120" s="425"/>
      <c r="Z120" s="425"/>
      <c r="AA120" s="425"/>
      <c r="AB120" s="425"/>
      <c r="AC120" s="425"/>
      <c r="AD120" s="425"/>
      <c r="AE120" s="425"/>
      <c r="AF120" s="425"/>
      <c r="AG120" s="425"/>
    </row>
    <row r="121" ht="15.75" customHeight="1">
      <c r="A121" s="425"/>
      <c r="B121" s="450"/>
      <c r="C121" s="450" t="s">
        <v>251</v>
      </c>
      <c r="D121" s="662">
        <v>4009.25</v>
      </c>
      <c r="E121" s="662">
        <f t="shared" si="106"/>
        <v>0.0003119990231</v>
      </c>
      <c r="F121" s="662"/>
      <c r="G121" s="662" t="str">
        <f t="shared" si="107"/>
        <v>#DIV/0!</v>
      </c>
      <c r="H121" s="662">
        <f t="shared" si="114"/>
        <v>4009.25</v>
      </c>
      <c r="I121" s="662" t="str">
        <f t="shared" si="115"/>
        <v>#DIV/0!</v>
      </c>
      <c r="J121" s="662">
        <v>126599.0</v>
      </c>
      <c r="K121" s="538">
        <f t="shared" si="96"/>
        <v>0.01018259975</v>
      </c>
      <c r="L121" s="612"/>
      <c r="M121" s="542" t="str">
        <f t="shared" si="97"/>
        <v>#DIV/0!</v>
      </c>
      <c r="N121" s="662">
        <f t="shared" si="116"/>
        <v>126599</v>
      </c>
      <c r="O121" s="662" t="str">
        <f t="shared" si="117"/>
        <v>#DIV/0!</v>
      </c>
      <c r="P121" s="685"/>
      <c r="Q121" s="541" t="str">
        <f t="shared" si="98"/>
        <v>#DIV/0!</v>
      </c>
      <c r="R121" s="612"/>
      <c r="S121" s="542" t="str">
        <f t="shared" si="99"/>
        <v>#DIV/0!</v>
      </c>
      <c r="T121" s="662">
        <f t="shared" si="118"/>
        <v>0</v>
      </c>
      <c r="U121" s="662" t="str">
        <f t="shared" si="119"/>
        <v>#DIV/0!</v>
      </c>
      <c r="V121" s="425"/>
      <c r="W121" s="425"/>
      <c r="X121" s="425"/>
      <c r="Y121" s="425"/>
      <c r="Z121" s="425"/>
      <c r="AA121" s="425"/>
      <c r="AB121" s="425"/>
      <c r="AC121" s="425"/>
      <c r="AD121" s="425"/>
      <c r="AE121" s="425"/>
      <c r="AF121" s="425"/>
      <c r="AG121" s="425"/>
    </row>
    <row r="122" ht="15.75" customHeight="1">
      <c r="A122" s="425"/>
      <c r="B122" s="450"/>
      <c r="C122" s="450" t="s">
        <v>252</v>
      </c>
      <c r="D122" s="662">
        <v>21830.0</v>
      </c>
      <c r="E122" s="662">
        <v>21830.0</v>
      </c>
      <c r="F122" s="662">
        <v>21830.0</v>
      </c>
      <c r="G122" s="662">
        <v>21830.0</v>
      </c>
      <c r="H122" s="662">
        <v>21830.0</v>
      </c>
      <c r="I122" s="662">
        <v>21830.0</v>
      </c>
      <c r="J122" s="662">
        <v>21830.0</v>
      </c>
      <c r="K122" s="538">
        <f t="shared" si="96"/>
        <v>0.001755828659</v>
      </c>
      <c r="L122" s="612"/>
      <c r="M122" s="542" t="str">
        <f t="shared" si="97"/>
        <v>#DIV/0!</v>
      </c>
      <c r="N122" s="662">
        <v>21830.0</v>
      </c>
      <c r="O122" s="662">
        <v>21830.0</v>
      </c>
      <c r="P122" s="685"/>
      <c r="Q122" s="541" t="str">
        <f t="shared" si="98"/>
        <v>#DIV/0!</v>
      </c>
      <c r="R122" s="612"/>
      <c r="S122" s="542" t="str">
        <f t="shared" si="99"/>
        <v>#DIV/0!</v>
      </c>
      <c r="T122" s="662">
        <v>21830.0</v>
      </c>
      <c r="U122" s="662">
        <v>21830.0</v>
      </c>
      <c r="V122" s="425"/>
      <c r="W122" s="425"/>
      <c r="X122" s="425"/>
      <c r="Y122" s="425"/>
      <c r="Z122" s="425"/>
      <c r="AA122" s="425"/>
      <c r="AB122" s="425"/>
      <c r="AC122" s="425"/>
      <c r="AD122" s="425"/>
      <c r="AE122" s="425"/>
      <c r="AF122" s="425"/>
      <c r="AG122" s="425"/>
    </row>
    <row r="123" ht="15.75" customHeight="1">
      <c r="A123" s="425"/>
      <c r="B123" s="450"/>
      <c r="C123" s="450" t="s">
        <v>303</v>
      </c>
      <c r="D123" s="662">
        <v>0.0</v>
      </c>
      <c r="E123" s="662">
        <f t="shared" ref="E123:E125" si="120">D123/D$29</f>
        <v>0</v>
      </c>
      <c r="F123" s="662"/>
      <c r="G123" s="662" t="str">
        <f t="shared" ref="G123:G125" si="121">F123/F$29</f>
        <v>#DIV/0!</v>
      </c>
      <c r="H123" s="662">
        <f t="shared" ref="H123:H124" si="122">D123-F123</f>
        <v>0</v>
      </c>
      <c r="I123" s="662" t="str">
        <f t="shared" ref="I123:I124" si="123">H123/F123</f>
        <v>#DIV/0!</v>
      </c>
      <c r="J123" s="662">
        <v>0.0</v>
      </c>
      <c r="K123" s="538">
        <f t="shared" si="96"/>
        <v>0</v>
      </c>
      <c r="L123" s="612"/>
      <c r="M123" s="542" t="str">
        <f t="shared" si="97"/>
        <v>#DIV/0!</v>
      </c>
      <c r="N123" s="662">
        <f t="shared" ref="N123:N124" si="124">J123-L123</f>
        <v>0</v>
      </c>
      <c r="O123" s="662" t="str">
        <f t="shared" ref="O123:O124" si="125">N123/L123</f>
        <v>#DIV/0!</v>
      </c>
      <c r="P123" s="685"/>
      <c r="Q123" s="541" t="str">
        <f t="shared" si="98"/>
        <v>#DIV/0!</v>
      </c>
      <c r="R123" s="612"/>
      <c r="S123" s="542" t="str">
        <f t="shared" si="99"/>
        <v>#DIV/0!</v>
      </c>
      <c r="T123" s="662">
        <f t="shared" ref="T123:T124" si="126">P123-R123</f>
        <v>0</v>
      </c>
      <c r="U123" s="662" t="str">
        <f t="shared" ref="U123:U124" si="127">T123/R123</f>
        <v>#DIV/0!</v>
      </c>
      <c r="V123" s="425"/>
      <c r="W123" s="425"/>
      <c r="X123" s="425"/>
      <c r="Y123" s="425"/>
      <c r="Z123" s="425"/>
      <c r="AA123" s="425"/>
      <c r="AB123" s="425"/>
      <c r="AC123" s="425"/>
      <c r="AD123" s="425"/>
      <c r="AE123" s="425"/>
      <c r="AF123" s="425"/>
      <c r="AG123" s="425"/>
    </row>
    <row r="124" ht="15.75" customHeight="1">
      <c r="A124" s="425"/>
      <c r="B124" s="450"/>
      <c r="C124" s="450" t="s">
        <v>280</v>
      </c>
      <c r="D124" s="662">
        <v>14300.0</v>
      </c>
      <c r="E124" s="662">
        <f t="shared" si="120"/>
        <v>0.001112823104</v>
      </c>
      <c r="F124" s="662"/>
      <c r="G124" s="662" t="str">
        <f t="shared" si="121"/>
        <v>#DIV/0!</v>
      </c>
      <c r="H124" s="662">
        <f t="shared" si="122"/>
        <v>14300</v>
      </c>
      <c r="I124" s="662" t="str">
        <f t="shared" si="123"/>
        <v>#DIV/0!</v>
      </c>
      <c r="J124" s="662">
        <v>14000.0</v>
      </c>
      <c r="K124" s="538">
        <f t="shared" si="96"/>
        <v>0.001126046781</v>
      </c>
      <c r="L124" s="612"/>
      <c r="M124" s="542" t="str">
        <f t="shared" si="97"/>
        <v>#DIV/0!</v>
      </c>
      <c r="N124" s="662">
        <f t="shared" si="124"/>
        <v>14000</v>
      </c>
      <c r="O124" s="662" t="str">
        <f t="shared" si="125"/>
        <v>#DIV/0!</v>
      </c>
      <c r="P124" s="685"/>
      <c r="Q124" s="541" t="str">
        <f t="shared" si="98"/>
        <v>#DIV/0!</v>
      </c>
      <c r="R124" s="612"/>
      <c r="S124" s="542" t="str">
        <f t="shared" si="99"/>
        <v>#DIV/0!</v>
      </c>
      <c r="T124" s="662">
        <f t="shared" si="126"/>
        <v>0</v>
      </c>
      <c r="U124" s="662" t="str">
        <f t="shared" si="127"/>
        <v>#DIV/0!</v>
      </c>
      <c r="V124" s="425"/>
      <c r="W124" s="425"/>
      <c r="X124" s="425"/>
      <c r="Y124" s="425"/>
      <c r="Z124" s="425"/>
      <c r="AA124" s="425"/>
      <c r="AB124" s="425"/>
      <c r="AC124" s="425"/>
      <c r="AD124" s="425"/>
      <c r="AE124" s="425"/>
      <c r="AF124" s="425"/>
      <c r="AG124" s="425"/>
    </row>
    <row r="125" ht="15.75" customHeight="1">
      <c r="A125" s="425"/>
      <c r="B125" s="450"/>
      <c r="C125" s="450" t="s">
        <v>291</v>
      </c>
      <c r="D125" s="662">
        <v>20700.0</v>
      </c>
      <c r="E125" s="662">
        <f t="shared" si="120"/>
        <v>0.001610869808</v>
      </c>
      <c r="F125" s="662"/>
      <c r="G125" s="662" t="str">
        <f t="shared" si="121"/>
        <v>#DIV/0!</v>
      </c>
      <c r="H125" s="662"/>
      <c r="I125" s="662"/>
      <c r="J125" s="662">
        <v>23800.0</v>
      </c>
      <c r="K125" s="538">
        <f t="shared" si="96"/>
        <v>0.001914279528</v>
      </c>
      <c r="L125" s="612"/>
      <c r="M125" s="542" t="str">
        <f t="shared" si="97"/>
        <v>#DIV/0!</v>
      </c>
      <c r="N125" s="662"/>
      <c r="O125" s="662"/>
      <c r="P125" s="685"/>
      <c r="Q125" s="541" t="str">
        <f t="shared" si="98"/>
        <v>#DIV/0!</v>
      </c>
      <c r="R125" s="612"/>
      <c r="S125" s="542" t="str">
        <f t="shared" si="99"/>
        <v>#DIV/0!</v>
      </c>
      <c r="T125" s="662"/>
      <c r="U125" s="662"/>
      <c r="V125" s="425"/>
      <c r="W125" s="425"/>
      <c r="X125" s="425"/>
      <c r="Y125" s="425"/>
      <c r="Z125" s="425"/>
      <c r="AA125" s="425"/>
      <c r="AB125" s="425"/>
      <c r="AC125" s="425"/>
      <c r="AD125" s="425"/>
      <c r="AE125" s="425"/>
      <c r="AF125" s="425"/>
      <c r="AG125" s="425"/>
    </row>
    <row r="126" ht="15.75" customHeight="1">
      <c r="A126" s="425"/>
      <c r="B126" s="468"/>
      <c r="C126" s="645"/>
      <c r="D126" s="663"/>
      <c r="E126" s="663"/>
      <c r="F126" s="663"/>
      <c r="G126" s="663"/>
      <c r="H126" s="663"/>
      <c r="I126" s="663"/>
      <c r="J126" s="663"/>
      <c r="K126" s="521"/>
      <c r="L126" s="521"/>
      <c r="M126" s="464"/>
      <c r="N126" s="663"/>
      <c r="O126" s="663"/>
      <c r="P126" s="687"/>
      <c r="Q126" s="552"/>
      <c r="R126" s="521"/>
      <c r="S126" s="464"/>
      <c r="T126" s="663"/>
      <c r="U126" s="663"/>
      <c r="V126" s="425"/>
      <c r="W126" s="425"/>
      <c r="X126" s="425"/>
      <c r="Y126" s="425"/>
      <c r="Z126" s="425"/>
      <c r="AA126" s="425"/>
      <c r="AB126" s="425"/>
      <c r="AC126" s="425"/>
      <c r="AD126" s="425"/>
      <c r="AE126" s="425"/>
      <c r="AF126" s="425"/>
      <c r="AG126" s="425"/>
    </row>
    <row r="127" ht="15.75" customHeight="1">
      <c r="A127" s="425"/>
      <c r="B127" s="477"/>
      <c r="C127" s="492" t="s">
        <v>41</v>
      </c>
      <c r="D127" s="627">
        <f>SUM(D128:D129)</f>
        <v>10325</v>
      </c>
      <c r="E127" s="705">
        <f>D127/D$29</f>
        <v>0.0008034894092</v>
      </c>
      <c r="F127" s="705"/>
      <c r="G127" s="705" t="str">
        <f>F127/F$29</f>
        <v>#DIV/0!</v>
      </c>
      <c r="H127" s="705">
        <f>SUM(H128:H129)</f>
        <v>0</v>
      </c>
      <c r="I127" s="705"/>
      <c r="J127" s="627">
        <f>SUM(J128:J129)</f>
        <v>10010</v>
      </c>
      <c r="K127" s="541">
        <f>J127/J$29</f>
        <v>0.0008051234485</v>
      </c>
      <c r="L127" s="521"/>
      <c r="M127" s="542" t="str">
        <f>L127/L$29</f>
        <v>#DIV/0!</v>
      </c>
      <c r="N127" s="705">
        <f>SUM(N128:N129)</f>
        <v>0</v>
      </c>
      <c r="O127" s="705"/>
      <c r="P127" s="627">
        <f>SUM(P128:P129)</f>
        <v>0</v>
      </c>
      <c r="Q127" s="541" t="str">
        <f>P127/P$29</f>
        <v>#DIV/0!</v>
      </c>
      <c r="R127" s="521"/>
      <c r="S127" s="542" t="str">
        <f>R127/R$29</f>
        <v>#DIV/0!</v>
      </c>
      <c r="T127" s="705">
        <f>SUM(T128:T129)</f>
        <v>0</v>
      </c>
      <c r="U127" s="705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</row>
    <row r="128" ht="15.75" customHeight="1">
      <c r="A128" s="425"/>
      <c r="B128" s="481"/>
      <c r="C128" s="481" t="s">
        <v>253</v>
      </c>
      <c r="D128" s="661">
        <v>0.0</v>
      </c>
      <c r="E128" s="661"/>
      <c r="F128" s="661"/>
      <c r="G128" s="661"/>
      <c r="H128" s="661"/>
      <c r="I128" s="661"/>
      <c r="J128" s="661">
        <v>0.0</v>
      </c>
      <c r="K128" s="521"/>
      <c r="L128" s="521"/>
      <c r="M128" s="464"/>
      <c r="N128" s="661"/>
      <c r="O128" s="661"/>
      <c r="P128" s="686"/>
      <c r="Q128" s="552"/>
      <c r="R128" s="521"/>
      <c r="S128" s="464"/>
      <c r="T128" s="661"/>
      <c r="U128" s="661"/>
      <c r="V128" s="425"/>
      <c r="W128" s="425"/>
      <c r="X128" s="425"/>
      <c r="Y128" s="425"/>
      <c r="Z128" s="425"/>
      <c r="AA128" s="425"/>
      <c r="AB128" s="425"/>
      <c r="AC128" s="425"/>
      <c r="AD128" s="425"/>
      <c r="AE128" s="425"/>
      <c r="AF128" s="425"/>
      <c r="AG128" s="425"/>
    </row>
    <row r="129" ht="15.75" customHeight="1">
      <c r="A129" s="425"/>
      <c r="B129" s="450"/>
      <c r="C129" s="450" t="s">
        <v>41</v>
      </c>
      <c r="D129" s="662">
        <v>10325.0</v>
      </c>
      <c r="E129" s="662">
        <f>D129/D$29</f>
        <v>0.0008034894092</v>
      </c>
      <c r="F129" s="662"/>
      <c r="G129" s="662"/>
      <c r="H129" s="662"/>
      <c r="I129" s="662"/>
      <c r="J129" s="662">
        <v>10010.0</v>
      </c>
      <c r="K129" s="538">
        <f>J129/J$29</f>
        <v>0.0008051234485</v>
      </c>
      <c r="L129" s="521"/>
      <c r="M129" s="464"/>
      <c r="N129" s="662"/>
      <c r="O129" s="662"/>
      <c r="P129" s="685"/>
      <c r="Q129" s="541" t="str">
        <f>P129/P$29</f>
        <v>#DIV/0!</v>
      </c>
      <c r="R129" s="521"/>
      <c r="S129" s="464"/>
      <c r="T129" s="662"/>
      <c r="U129" s="662"/>
      <c r="V129" s="425"/>
      <c r="W129" s="425"/>
      <c r="X129" s="425"/>
      <c r="Y129" s="425"/>
      <c r="Z129" s="425"/>
      <c r="AA129" s="425"/>
      <c r="AB129" s="425"/>
      <c r="AC129" s="425"/>
      <c r="AD129" s="425"/>
      <c r="AE129" s="425"/>
      <c r="AF129" s="425"/>
      <c r="AG129" s="425"/>
    </row>
    <row r="130" ht="15.75" customHeight="1">
      <c r="A130" s="425"/>
      <c r="B130" s="468"/>
      <c r="C130" s="468"/>
      <c r="D130" s="663"/>
      <c r="E130" s="663"/>
      <c r="F130" s="663"/>
      <c r="G130" s="663"/>
      <c r="H130" s="663"/>
      <c r="I130" s="663"/>
      <c r="J130" s="663"/>
      <c r="K130" s="521"/>
      <c r="L130" s="521"/>
      <c r="M130" s="464"/>
      <c r="N130" s="663"/>
      <c r="O130" s="663"/>
      <c r="P130" s="687"/>
      <c r="Q130" s="552"/>
      <c r="R130" s="521"/>
      <c r="S130" s="464"/>
      <c r="T130" s="663"/>
      <c r="U130" s="663"/>
      <c r="V130" s="425"/>
      <c r="W130" s="425"/>
      <c r="X130" s="425"/>
      <c r="Y130" s="425"/>
      <c r="Z130" s="425"/>
      <c r="AA130" s="425"/>
      <c r="AB130" s="425"/>
      <c r="AC130" s="425"/>
      <c r="AD130" s="425"/>
      <c r="AE130" s="425"/>
      <c r="AF130" s="425"/>
      <c r="AG130" s="425"/>
    </row>
    <row r="131" ht="15.75" customHeight="1">
      <c r="A131" s="425"/>
      <c r="B131" s="477"/>
      <c r="C131" s="492" t="s">
        <v>42</v>
      </c>
      <c r="D131" s="627">
        <f>SUM(D132)</f>
        <v>0</v>
      </c>
      <c r="E131" s="627">
        <f>D131/D$29</f>
        <v>0</v>
      </c>
      <c r="F131" s="627"/>
      <c r="G131" s="627" t="str">
        <f>F131/F$29</f>
        <v>#DIV/0!</v>
      </c>
      <c r="H131" s="627">
        <f>SUM(H132)</f>
        <v>0</v>
      </c>
      <c r="I131" s="627"/>
      <c r="J131" s="627">
        <f>SUM(J132)</f>
        <v>0</v>
      </c>
      <c r="K131" s="541">
        <f>J131/J$29</f>
        <v>0</v>
      </c>
      <c r="L131" s="612"/>
      <c r="M131" s="542" t="str">
        <f>L131/L$29</f>
        <v>#DIV/0!</v>
      </c>
      <c r="N131" s="627">
        <f>SUM(N132)</f>
        <v>0</v>
      </c>
      <c r="O131" s="627"/>
      <c r="P131" s="627">
        <f>SUM(P132)</f>
        <v>0</v>
      </c>
      <c r="Q131" s="541" t="str">
        <f>P131/P$29</f>
        <v>#DIV/0!</v>
      </c>
      <c r="R131" s="612"/>
      <c r="S131" s="542" t="str">
        <f>R131/R$29</f>
        <v>#DIV/0!</v>
      </c>
      <c r="T131" s="627">
        <f>SUM(T132)</f>
        <v>0</v>
      </c>
      <c r="U131" s="6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</row>
    <row r="132" ht="15.75" customHeight="1">
      <c r="A132" s="425"/>
      <c r="B132" s="481"/>
      <c r="C132" s="481" t="s">
        <v>283</v>
      </c>
      <c r="D132" s="661"/>
      <c r="E132" s="661"/>
      <c r="F132" s="661"/>
      <c r="G132" s="661"/>
      <c r="H132" s="661"/>
      <c r="I132" s="661"/>
      <c r="J132" s="661"/>
      <c r="K132" s="521"/>
      <c r="L132" s="521"/>
      <c r="M132" s="464"/>
      <c r="N132" s="661"/>
      <c r="O132" s="661"/>
      <c r="P132" s="686"/>
      <c r="Q132" s="552"/>
      <c r="R132" s="521"/>
      <c r="S132" s="464"/>
      <c r="T132" s="661"/>
      <c r="U132" s="661"/>
      <c r="V132" s="425"/>
      <c r="W132" s="425"/>
      <c r="X132" s="425"/>
      <c r="Y132" s="425"/>
      <c r="Z132" s="425"/>
      <c r="AA132" s="425"/>
      <c r="AB132" s="425"/>
      <c r="AC132" s="425"/>
      <c r="AD132" s="425"/>
      <c r="AE132" s="425"/>
      <c r="AF132" s="425"/>
      <c r="AG132" s="425"/>
    </row>
    <row r="133" ht="15.75" customHeight="1">
      <c r="A133" s="425"/>
      <c r="B133" s="450"/>
      <c r="C133" s="450"/>
      <c r="D133" s="662"/>
      <c r="E133" s="662"/>
      <c r="F133" s="662"/>
      <c r="G133" s="662"/>
      <c r="H133" s="662"/>
      <c r="I133" s="662"/>
      <c r="J133" s="662"/>
      <c r="K133" s="521"/>
      <c r="L133" s="521"/>
      <c r="M133" s="464"/>
      <c r="N133" s="662"/>
      <c r="O133" s="662"/>
      <c r="P133" s="685"/>
      <c r="Q133" s="552"/>
      <c r="R133" s="521"/>
      <c r="S133" s="464"/>
      <c r="T133" s="662"/>
      <c r="U133" s="662"/>
      <c r="V133" s="425"/>
      <c r="W133" s="425"/>
      <c r="X133" s="425"/>
      <c r="Y133" s="425"/>
      <c r="Z133" s="425"/>
      <c r="AA133" s="425"/>
      <c r="AB133" s="425"/>
      <c r="AC133" s="425"/>
      <c r="AD133" s="425"/>
      <c r="AE133" s="425"/>
      <c r="AF133" s="425"/>
      <c r="AG133" s="425"/>
    </row>
    <row r="134" ht="15.75" customHeight="1">
      <c r="A134" s="425"/>
      <c r="B134" s="468"/>
      <c r="C134" s="468"/>
      <c r="D134" s="663"/>
      <c r="E134" s="663"/>
      <c r="F134" s="663"/>
      <c r="G134" s="663"/>
      <c r="H134" s="663"/>
      <c r="I134" s="663"/>
      <c r="J134" s="663"/>
      <c r="K134" s="526"/>
      <c r="L134" s="526"/>
      <c r="M134" s="528"/>
      <c r="N134" s="663"/>
      <c r="O134" s="663"/>
      <c r="P134" s="687"/>
      <c r="Q134" s="552"/>
      <c r="R134" s="521"/>
      <c r="S134" s="464"/>
      <c r="T134" s="662"/>
      <c r="U134" s="662"/>
      <c r="V134" s="425"/>
      <c r="W134" s="425"/>
      <c r="X134" s="425"/>
      <c r="Y134" s="425"/>
      <c r="Z134" s="425"/>
      <c r="AA134" s="425"/>
      <c r="AB134" s="425"/>
      <c r="AC134" s="425"/>
      <c r="AD134" s="425"/>
      <c r="AE134" s="425"/>
      <c r="AF134" s="425"/>
      <c r="AG134" s="425"/>
    </row>
    <row r="135" ht="15.75" customHeight="1">
      <c r="A135" s="425"/>
      <c r="B135" s="477"/>
      <c r="C135" s="474" t="s">
        <v>257</v>
      </c>
      <c r="D135" s="627">
        <f>D60+D69+D81+D88+D94+D104+D107+D111+D127+D131</f>
        <v>6719058.353</v>
      </c>
      <c r="E135" s="627">
        <f>D135/D$29</f>
        <v>0.5228757605</v>
      </c>
      <c r="F135" s="627" t="str">
        <f>F60+F69+F81+F88+F94+F104+F107+F111+F127+F131</f>
        <v>#REF!</v>
      </c>
      <c r="G135" s="627" t="str">
        <f>F135/F$29</f>
        <v>#REF!</v>
      </c>
      <c r="H135" s="627" t="str">
        <f>D135-F135</f>
        <v>#REF!</v>
      </c>
      <c r="I135" s="627" t="str">
        <f>H135/F135</f>
        <v>#REF!</v>
      </c>
      <c r="J135" s="627">
        <f>J60+J69+J81+J88+J94+J104+J107+J111+J127+J131</f>
        <v>6609500.95</v>
      </c>
      <c r="K135" s="581">
        <f>J135/J$29</f>
        <v>0.531614805</v>
      </c>
      <c r="L135" s="627" t="str">
        <f>L60+L69+L81+L88+L94+L104+L107+L111+L127+L131</f>
        <v>#REF!</v>
      </c>
      <c r="M135" s="581" t="str">
        <f>L135/L$29</f>
        <v>#REF!</v>
      </c>
      <c r="N135" s="627" t="str">
        <f>J135-L135</f>
        <v>#REF!</v>
      </c>
      <c r="O135" s="627" t="str">
        <f>N135/L135</f>
        <v>#REF!</v>
      </c>
      <c r="P135" s="627">
        <f>P60+P69+P81+P88+P94+P104+P107+P111+P127+P131</f>
        <v>0</v>
      </c>
      <c r="Q135" s="706" t="str">
        <f>P135/P$29</f>
        <v>#DIV/0!</v>
      </c>
      <c r="R135" s="707" t="str">
        <f>R60+R69+R81+R88+R94+R104+R107+R111+R127+R131</f>
        <v>#REF!</v>
      </c>
      <c r="S135" s="698" t="str">
        <f>R135/R$29</f>
        <v>#REF!</v>
      </c>
      <c r="T135" s="711" t="str">
        <f>P135-R135</f>
        <v>#REF!</v>
      </c>
      <c r="U135" s="711" t="str">
        <f>T135/R135</f>
        <v>#REF!</v>
      </c>
      <c r="V135" s="425"/>
      <c r="W135" s="425"/>
      <c r="X135" s="425"/>
      <c r="Y135" s="425"/>
      <c r="Z135" s="425"/>
      <c r="AA135" s="425"/>
      <c r="AB135" s="425"/>
      <c r="AC135" s="425"/>
      <c r="AD135" s="425"/>
      <c r="AE135" s="425"/>
      <c r="AF135" s="425"/>
      <c r="AG135" s="425"/>
    </row>
    <row r="136" ht="15.75" customHeight="1">
      <c r="A136" s="425"/>
      <c r="B136" s="508"/>
      <c r="C136" s="508"/>
      <c r="D136" s="661"/>
      <c r="E136" s="661"/>
      <c r="F136" s="661"/>
      <c r="G136" s="661"/>
      <c r="H136" s="661"/>
      <c r="I136" s="661"/>
      <c r="J136" s="661"/>
      <c r="K136" s="586"/>
      <c r="L136" s="586"/>
      <c r="M136" s="440"/>
      <c r="N136" s="661"/>
      <c r="O136" s="661"/>
      <c r="P136" s="686"/>
      <c r="Q136" s="577"/>
      <c r="R136" s="526"/>
      <c r="S136" s="528"/>
      <c r="T136" s="662"/>
      <c r="U136" s="662"/>
      <c r="V136" s="425"/>
      <c r="W136" s="425"/>
      <c r="X136" s="425"/>
      <c r="Y136" s="425"/>
      <c r="Z136" s="425"/>
      <c r="AA136" s="425"/>
      <c r="AB136" s="425"/>
      <c r="AC136" s="425"/>
      <c r="AD136" s="425"/>
      <c r="AE136" s="425"/>
      <c r="AF136" s="425"/>
      <c r="AG136" s="425"/>
    </row>
    <row r="137" ht="15.75" customHeight="1">
      <c r="A137" s="425"/>
      <c r="B137" s="474"/>
      <c r="C137" s="474" t="s">
        <v>258</v>
      </c>
      <c r="D137" s="692">
        <f>D51-D135</f>
        <v>1086896.514</v>
      </c>
      <c r="E137" s="529">
        <f>D137/D$29</f>
        <v>0.08458206661</v>
      </c>
      <c r="F137" s="609" t="str">
        <f>F51-F135</f>
        <v>#REF!</v>
      </c>
      <c r="G137" s="529" t="str">
        <f>F137/F$29</f>
        <v>#REF!</v>
      </c>
      <c r="H137" s="609" t="str">
        <f>D137-F137</f>
        <v>#REF!</v>
      </c>
      <c r="I137" s="531" t="str">
        <f>H137/F137</f>
        <v>#REF!</v>
      </c>
      <c r="J137" s="692">
        <f>J51-J135</f>
        <v>631729.5839</v>
      </c>
      <c r="K137" s="529">
        <f>J137/J$29</f>
        <v>0.05081121889</v>
      </c>
      <c r="L137" s="609" t="str">
        <f>L51-L135</f>
        <v>#REF!</v>
      </c>
      <c r="M137" s="531" t="str">
        <f>L137/L$29</f>
        <v>#REF!</v>
      </c>
      <c r="N137" s="609" t="str">
        <f>J137-L137</f>
        <v>#REF!</v>
      </c>
      <c r="O137" s="531" t="str">
        <f>N137/L137</f>
        <v>#REF!</v>
      </c>
      <c r="P137" s="627">
        <f>P51-P135</f>
        <v>0</v>
      </c>
      <c r="Q137" s="532" t="str">
        <f>P137/P$29</f>
        <v>#DIV/0!</v>
      </c>
      <c r="R137" s="609" t="str">
        <f>R51-R135</f>
        <v>#REF!</v>
      </c>
      <c r="S137" s="531" t="str">
        <f>R137/R$29</f>
        <v>#REF!</v>
      </c>
      <c r="T137" s="609" t="str">
        <f>P137-R137</f>
        <v>#REF!</v>
      </c>
      <c r="U137" s="531" t="str">
        <f>T137/R137</f>
        <v>#REF!</v>
      </c>
      <c r="V137" s="425"/>
      <c r="W137" s="425"/>
      <c r="X137" s="425"/>
      <c r="Y137" s="425"/>
      <c r="Z137" s="425"/>
      <c r="AA137" s="425"/>
      <c r="AB137" s="425"/>
      <c r="AC137" s="425"/>
      <c r="AD137" s="425"/>
      <c r="AE137" s="425"/>
      <c r="AF137" s="425"/>
      <c r="AG137" s="425"/>
    </row>
    <row r="138" ht="15.75" customHeight="1">
      <c r="A138" s="425"/>
      <c r="B138" s="425"/>
      <c r="C138" s="425"/>
      <c r="D138" s="425"/>
      <c r="E138" s="425"/>
      <c r="F138" s="425"/>
      <c r="G138" s="425"/>
      <c r="H138" s="425"/>
      <c r="I138" s="425"/>
      <c r="J138" s="425"/>
      <c r="K138" s="425"/>
      <c r="L138" s="425"/>
      <c r="M138" s="425"/>
      <c r="N138" s="425"/>
      <c r="O138" s="425"/>
      <c r="P138" s="425"/>
      <c r="Q138" s="425"/>
      <c r="R138" s="425"/>
      <c r="S138" s="425"/>
      <c r="T138" s="425"/>
      <c r="U138" s="425"/>
      <c r="V138" s="425"/>
      <c r="W138" s="425"/>
      <c r="X138" s="425"/>
      <c r="Y138" s="425"/>
      <c r="Z138" s="425"/>
      <c r="AA138" s="425"/>
      <c r="AB138" s="425"/>
      <c r="AC138" s="425"/>
      <c r="AD138" s="425"/>
      <c r="AE138" s="425"/>
      <c r="AF138" s="425"/>
      <c r="AG138" s="425"/>
    </row>
    <row r="139" ht="15.75" customHeight="1">
      <c r="A139" s="425"/>
      <c r="B139" s="425"/>
      <c r="C139" s="425"/>
      <c r="D139" s="425"/>
      <c r="E139" s="425"/>
      <c r="F139" s="425"/>
      <c r="G139" s="425"/>
      <c r="H139" s="425"/>
      <c r="I139" s="425"/>
      <c r="J139" s="425"/>
      <c r="K139" s="425"/>
      <c r="L139" s="425"/>
      <c r="M139" s="425"/>
      <c r="N139" s="425"/>
      <c r="O139" s="425"/>
      <c r="P139" s="425"/>
      <c r="Q139" s="425"/>
      <c r="R139" s="425"/>
      <c r="S139" s="425"/>
      <c r="T139" s="425"/>
      <c r="U139" s="425"/>
      <c r="V139" s="425"/>
      <c r="W139" s="425"/>
      <c r="X139" s="425"/>
      <c r="Y139" s="425"/>
      <c r="Z139" s="425"/>
      <c r="AA139" s="425"/>
      <c r="AB139" s="425"/>
      <c r="AC139" s="425"/>
      <c r="AD139" s="425"/>
      <c r="AE139" s="425"/>
      <c r="AF139" s="425"/>
      <c r="AG139" s="425"/>
    </row>
    <row r="140" ht="15.75" customHeight="1">
      <c r="A140" s="425"/>
      <c r="B140" s="425"/>
      <c r="C140" s="425"/>
      <c r="D140" s="425"/>
      <c r="E140" s="425"/>
      <c r="F140" s="425"/>
      <c r="G140" s="425"/>
      <c r="H140" s="425"/>
      <c r="I140" s="425"/>
      <c r="J140" s="425"/>
      <c r="K140" s="425"/>
      <c r="L140" s="425"/>
      <c r="M140" s="425"/>
      <c r="N140" s="425"/>
      <c r="O140" s="425"/>
      <c r="P140" s="425"/>
      <c r="Q140" s="425"/>
      <c r="R140" s="425"/>
      <c r="S140" s="425"/>
      <c r="T140" s="425"/>
      <c r="U140" s="425"/>
      <c r="V140" s="425"/>
      <c r="W140" s="425"/>
      <c r="X140" s="425"/>
      <c r="Y140" s="425"/>
      <c r="Z140" s="425"/>
      <c r="AA140" s="425"/>
      <c r="AB140" s="425"/>
      <c r="AC140" s="425"/>
      <c r="AD140" s="425"/>
      <c r="AE140" s="425"/>
      <c r="AF140" s="425"/>
      <c r="AG140" s="425"/>
    </row>
    <row r="141" ht="15.75" customHeight="1">
      <c r="A141" s="425"/>
      <c r="B141" s="425"/>
      <c r="C141" s="425"/>
      <c r="D141" s="425"/>
      <c r="E141" s="425"/>
      <c r="F141" s="425"/>
      <c r="G141" s="425"/>
      <c r="H141" s="425"/>
      <c r="I141" s="425"/>
      <c r="J141" s="425"/>
      <c r="K141" s="425"/>
      <c r="L141" s="425"/>
      <c r="M141" s="425"/>
      <c r="N141" s="425"/>
      <c r="O141" s="425"/>
      <c r="P141" s="425"/>
      <c r="Q141" s="425"/>
      <c r="R141" s="425"/>
      <c r="S141" s="425"/>
      <c r="T141" s="425"/>
      <c r="U141" s="425"/>
      <c r="V141" s="425"/>
      <c r="W141" s="425"/>
      <c r="X141" s="425"/>
      <c r="Y141" s="425"/>
      <c r="Z141" s="425"/>
      <c r="AA141" s="425"/>
      <c r="AB141" s="425"/>
      <c r="AC141" s="425"/>
      <c r="AD141" s="425"/>
      <c r="AE141" s="425"/>
      <c r="AF141" s="425"/>
      <c r="AG141" s="425"/>
    </row>
    <row r="142" ht="15.75" customHeight="1">
      <c r="A142" s="425"/>
      <c r="B142" s="425"/>
      <c r="C142" s="425"/>
      <c r="D142" s="425"/>
      <c r="E142" s="425"/>
      <c r="F142" s="425"/>
      <c r="G142" s="425"/>
      <c r="H142" s="425"/>
      <c r="I142" s="425"/>
      <c r="J142" s="425"/>
      <c r="K142" s="425"/>
      <c r="L142" s="425"/>
      <c r="M142" s="425"/>
      <c r="N142" s="425"/>
      <c r="O142" s="425"/>
      <c r="P142" s="425"/>
      <c r="Q142" s="425"/>
      <c r="R142" s="425"/>
      <c r="S142" s="425"/>
      <c r="T142" s="425"/>
      <c r="U142" s="425"/>
      <c r="V142" s="425"/>
      <c r="W142" s="425"/>
      <c r="X142" s="425"/>
      <c r="Y142" s="425"/>
      <c r="Z142" s="425"/>
      <c r="AA142" s="425"/>
      <c r="AB142" s="425"/>
      <c r="AC142" s="425"/>
      <c r="AD142" s="425"/>
      <c r="AE142" s="425"/>
      <c r="AF142" s="425"/>
      <c r="AG142" s="425"/>
    </row>
    <row r="143" ht="15.75" customHeight="1">
      <c r="A143" s="425"/>
      <c r="B143" s="425"/>
      <c r="C143" s="425"/>
      <c r="D143" s="425"/>
      <c r="E143" s="425"/>
      <c r="F143" s="425"/>
      <c r="G143" s="425"/>
      <c r="H143" s="425"/>
      <c r="I143" s="425"/>
      <c r="J143" s="425"/>
      <c r="K143" s="425"/>
      <c r="L143" s="425"/>
      <c r="M143" s="425"/>
      <c r="N143" s="425"/>
      <c r="O143" s="425"/>
      <c r="P143" s="425"/>
      <c r="Q143" s="425"/>
      <c r="R143" s="425"/>
      <c r="S143" s="425"/>
      <c r="T143" s="425"/>
      <c r="U143" s="425"/>
      <c r="V143" s="425"/>
      <c r="W143" s="425"/>
      <c r="X143" s="425"/>
      <c r="Y143" s="425"/>
      <c r="Z143" s="425"/>
      <c r="AA143" s="425"/>
      <c r="AB143" s="425"/>
      <c r="AC143" s="425"/>
      <c r="AD143" s="425"/>
      <c r="AE143" s="425"/>
      <c r="AF143" s="425"/>
      <c r="AG143" s="425"/>
    </row>
    <row r="144" ht="15.75" customHeight="1">
      <c r="A144" s="425"/>
      <c r="B144" s="425"/>
      <c r="C144" s="425"/>
      <c r="D144" s="425"/>
      <c r="E144" s="425"/>
      <c r="F144" s="425"/>
      <c r="G144" s="425"/>
      <c r="H144" s="425"/>
      <c r="I144" s="425"/>
      <c r="J144" s="425"/>
      <c r="K144" s="425"/>
      <c r="L144" s="425"/>
      <c r="M144" s="425"/>
      <c r="N144" s="425"/>
      <c r="O144" s="425"/>
      <c r="P144" s="425"/>
      <c r="Q144" s="425"/>
      <c r="R144" s="425"/>
      <c r="S144" s="425"/>
      <c r="T144" s="425"/>
      <c r="U144" s="425"/>
      <c r="V144" s="425"/>
      <c r="W144" s="425"/>
      <c r="X144" s="425"/>
      <c r="Y144" s="425"/>
      <c r="Z144" s="425"/>
      <c r="AA144" s="425"/>
      <c r="AB144" s="425"/>
      <c r="AC144" s="425"/>
      <c r="AD144" s="425"/>
      <c r="AE144" s="425"/>
      <c r="AF144" s="425"/>
      <c r="AG144" s="425"/>
    </row>
    <row r="145" ht="15.75" customHeight="1">
      <c r="A145" s="425"/>
      <c r="B145" s="425"/>
      <c r="C145" s="425"/>
      <c r="D145" s="425"/>
      <c r="E145" s="425"/>
      <c r="F145" s="425"/>
      <c r="G145" s="425"/>
      <c r="H145" s="425"/>
      <c r="I145" s="425"/>
      <c r="J145" s="425"/>
      <c r="K145" s="425"/>
      <c r="L145" s="425"/>
      <c r="M145" s="425"/>
      <c r="N145" s="425"/>
      <c r="O145" s="425"/>
      <c r="P145" s="425"/>
      <c r="Q145" s="425"/>
      <c r="R145" s="425"/>
      <c r="S145" s="425"/>
      <c r="T145" s="425"/>
      <c r="U145" s="425"/>
      <c r="V145" s="425"/>
      <c r="W145" s="425"/>
      <c r="X145" s="425"/>
      <c r="Y145" s="425"/>
      <c r="Z145" s="425"/>
      <c r="AA145" s="425"/>
      <c r="AB145" s="425"/>
      <c r="AC145" s="425"/>
      <c r="AD145" s="425"/>
      <c r="AE145" s="425"/>
      <c r="AF145" s="425"/>
      <c r="AG145" s="425"/>
    </row>
    <row r="146" ht="15.75" customHeight="1">
      <c r="A146" s="425"/>
      <c r="B146" s="425"/>
      <c r="C146" s="425"/>
      <c r="D146" s="425"/>
      <c r="E146" s="425"/>
      <c r="F146" s="425"/>
      <c r="G146" s="425"/>
      <c r="H146" s="425"/>
      <c r="I146" s="425"/>
      <c r="J146" s="425"/>
      <c r="K146" s="425"/>
      <c r="L146" s="425"/>
      <c r="M146" s="425"/>
      <c r="N146" s="425"/>
      <c r="O146" s="425"/>
      <c r="P146" s="425"/>
      <c r="Q146" s="425"/>
      <c r="R146" s="425"/>
      <c r="S146" s="425"/>
      <c r="T146" s="425"/>
      <c r="U146" s="425"/>
      <c r="V146" s="425"/>
      <c r="W146" s="425"/>
      <c r="X146" s="425"/>
      <c r="Y146" s="425"/>
      <c r="Z146" s="425"/>
      <c r="AA146" s="425"/>
      <c r="AB146" s="425"/>
      <c r="AC146" s="425"/>
      <c r="AD146" s="425"/>
      <c r="AE146" s="425"/>
      <c r="AF146" s="425"/>
      <c r="AG146" s="425"/>
    </row>
    <row r="147" ht="15.75" customHeight="1">
      <c r="A147" s="425"/>
      <c r="B147" s="425"/>
      <c r="C147" s="425"/>
      <c r="D147" s="425"/>
      <c r="E147" s="425"/>
      <c r="F147" s="425"/>
      <c r="G147" s="425"/>
      <c r="H147" s="425"/>
      <c r="I147" s="425"/>
      <c r="J147" s="425"/>
      <c r="K147" s="425"/>
      <c r="L147" s="425"/>
      <c r="M147" s="425"/>
      <c r="N147" s="425"/>
      <c r="O147" s="425"/>
      <c r="P147" s="425"/>
      <c r="Q147" s="425"/>
      <c r="R147" s="425"/>
      <c r="S147" s="425"/>
      <c r="T147" s="425"/>
      <c r="U147" s="425"/>
      <c r="V147" s="425"/>
      <c r="W147" s="425"/>
      <c r="X147" s="425"/>
      <c r="Y147" s="425"/>
      <c r="Z147" s="425"/>
      <c r="AA147" s="425"/>
      <c r="AB147" s="425"/>
      <c r="AC147" s="425"/>
      <c r="AD147" s="425"/>
      <c r="AE147" s="425"/>
      <c r="AF147" s="425"/>
      <c r="AG147" s="425"/>
    </row>
    <row r="148" ht="15.75" customHeight="1">
      <c r="A148" s="425"/>
      <c r="B148" s="425"/>
      <c r="C148" s="425"/>
      <c r="D148" s="425"/>
      <c r="E148" s="425"/>
      <c r="F148" s="425"/>
      <c r="G148" s="425"/>
      <c r="H148" s="425"/>
      <c r="I148" s="425"/>
      <c r="J148" s="425"/>
      <c r="K148" s="425"/>
      <c r="L148" s="425"/>
      <c r="M148" s="425"/>
      <c r="N148" s="425"/>
      <c r="O148" s="425"/>
      <c r="P148" s="425"/>
      <c r="Q148" s="425"/>
      <c r="R148" s="425"/>
      <c r="S148" s="425"/>
      <c r="T148" s="425"/>
      <c r="U148" s="425"/>
      <c r="V148" s="425"/>
      <c r="W148" s="425"/>
      <c r="X148" s="425"/>
      <c r="Y148" s="425"/>
      <c r="Z148" s="425"/>
      <c r="AA148" s="425"/>
      <c r="AB148" s="425"/>
      <c r="AC148" s="425"/>
      <c r="AD148" s="425"/>
      <c r="AE148" s="425"/>
      <c r="AF148" s="425"/>
      <c r="AG148" s="425"/>
    </row>
    <row r="149" ht="15.75" customHeight="1">
      <c r="A149" s="425"/>
      <c r="B149" s="425"/>
      <c r="C149" s="425"/>
      <c r="D149" s="425"/>
      <c r="E149" s="425"/>
      <c r="F149" s="425"/>
      <c r="G149" s="425"/>
      <c r="H149" s="425"/>
      <c r="I149" s="425"/>
      <c r="J149" s="425"/>
      <c r="K149" s="425"/>
      <c r="L149" s="425"/>
      <c r="M149" s="425"/>
      <c r="N149" s="425"/>
      <c r="O149" s="425"/>
      <c r="P149" s="425"/>
      <c r="Q149" s="425"/>
      <c r="R149" s="425"/>
      <c r="S149" s="425"/>
      <c r="T149" s="425"/>
      <c r="U149" s="425"/>
      <c r="V149" s="425"/>
      <c r="W149" s="425"/>
      <c r="X149" s="425"/>
      <c r="Y149" s="425"/>
      <c r="Z149" s="425"/>
      <c r="AA149" s="425"/>
      <c r="AB149" s="425"/>
      <c r="AC149" s="425"/>
      <c r="AD149" s="425"/>
      <c r="AE149" s="425"/>
      <c r="AF149" s="425"/>
      <c r="AG149" s="425"/>
    </row>
    <row r="150" ht="15.75" customHeight="1">
      <c r="A150" s="425"/>
      <c r="B150" s="425"/>
      <c r="C150" s="425"/>
      <c r="D150" s="425"/>
      <c r="E150" s="425"/>
      <c r="F150" s="425"/>
      <c r="G150" s="425"/>
      <c r="H150" s="425"/>
      <c r="I150" s="425"/>
      <c r="J150" s="425"/>
      <c r="K150" s="425"/>
      <c r="L150" s="425"/>
      <c r="M150" s="425"/>
      <c r="N150" s="425"/>
      <c r="O150" s="425"/>
      <c r="P150" s="425"/>
      <c r="Q150" s="425"/>
      <c r="R150" s="425"/>
      <c r="S150" s="425"/>
      <c r="T150" s="425"/>
      <c r="U150" s="425"/>
      <c r="V150" s="425"/>
      <c r="W150" s="425"/>
      <c r="X150" s="425"/>
      <c r="Y150" s="425"/>
      <c r="Z150" s="425"/>
      <c r="AA150" s="425"/>
      <c r="AB150" s="425"/>
      <c r="AC150" s="425"/>
      <c r="AD150" s="425"/>
      <c r="AE150" s="425"/>
      <c r="AF150" s="425"/>
      <c r="AG150" s="425"/>
    </row>
    <row r="151" ht="15.75" customHeight="1">
      <c r="A151" s="425"/>
      <c r="B151" s="425"/>
      <c r="C151" s="425"/>
      <c r="D151" s="425"/>
      <c r="E151" s="425"/>
      <c r="F151" s="425"/>
      <c r="G151" s="425"/>
      <c r="H151" s="425"/>
      <c r="I151" s="425"/>
      <c r="J151" s="425"/>
      <c r="K151" s="425"/>
      <c r="L151" s="425"/>
      <c r="M151" s="425"/>
      <c r="N151" s="425"/>
      <c r="O151" s="425"/>
      <c r="P151" s="425"/>
      <c r="Q151" s="425"/>
      <c r="R151" s="425"/>
      <c r="S151" s="425"/>
      <c r="T151" s="425"/>
      <c r="U151" s="425"/>
      <c r="V151" s="425"/>
      <c r="W151" s="425"/>
      <c r="X151" s="425"/>
      <c r="Y151" s="425"/>
      <c r="Z151" s="425"/>
      <c r="AA151" s="425"/>
      <c r="AB151" s="425"/>
      <c r="AC151" s="425"/>
      <c r="AD151" s="425"/>
      <c r="AE151" s="425"/>
      <c r="AF151" s="425"/>
      <c r="AG151" s="425"/>
    </row>
    <row r="152" ht="15.75" customHeight="1">
      <c r="A152" s="425"/>
      <c r="B152" s="425"/>
      <c r="C152" s="425"/>
      <c r="D152" s="425"/>
      <c r="E152" s="425"/>
      <c r="F152" s="425"/>
      <c r="G152" s="425"/>
      <c r="H152" s="425"/>
      <c r="I152" s="425"/>
      <c r="J152" s="425"/>
      <c r="K152" s="425"/>
      <c r="L152" s="425"/>
      <c r="M152" s="425"/>
      <c r="N152" s="425"/>
      <c r="O152" s="425"/>
      <c r="P152" s="425"/>
      <c r="Q152" s="425"/>
      <c r="R152" s="425"/>
      <c r="S152" s="425"/>
      <c r="T152" s="425"/>
      <c r="U152" s="425"/>
      <c r="V152" s="425"/>
      <c r="W152" s="425"/>
      <c r="X152" s="425"/>
      <c r="Y152" s="425"/>
      <c r="Z152" s="425"/>
      <c r="AA152" s="425"/>
      <c r="AB152" s="425"/>
      <c r="AC152" s="425"/>
      <c r="AD152" s="425"/>
      <c r="AE152" s="425"/>
      <c r="AF152" s="425"/>
      <c r="AG152" s="425"/>
    </row>
    <row r="153" ht="15.75" customHeight="1">
      <c r="A153" s="425"/>
      <c r="B153" s="425"/>
      <c r="C153" s="425"/>
      <c r="D153" s="425"/>
      <c r="E153" s="425"/>
      <c r="F153" s="425"/>
      <c r="G153" s="425"/>
      <c r="H153" s="425"/>
      <c r="I153" s="425"/>
      <c r="J153" s="425"/>
      <c r="K153" s="425"/>
      <c r="L153" s="425"/>
      <c r="M153" s="425"/>
      <c r="N153" s="425"/>
      <c r="O153" s="425"/>
      <c r="P153" s="425"/>
      <c r="Q153" s="425"/>
      <c r="R153" s="425"/>
      <c r="S153" s="425"/>
      <c r="T153" s="425"/>
      <c r="U153" s="425"/>
      <c r="V153" s="425"/>
      <c r="W153" s="425"/>
      <c r="X153" s="425"/>
      <c r="Y153" s="425"/>
      <c r="Z153" s="425"/>
      <c r="AA153" s="425"/>
      <c r="AB153" s="425"/>
      <c r="AC153" s="425"/>
      <c r="AD153" s="425"/>
      <c r="AE153" s="425"/>
      <c r="AF153" s="425"/>
      <c r="AG153" s="425"/>
    </row>
    <row r="154" ht="15.75" customHeight="1">
      <c r="A154" s="425"/>
      <c r="B154" s="425"/>
      <c r="C154" s="425"/>
      <c r="D154" s="425"/>
      <c r="E154" s="425"/>
      <c r="F154" s="425"/>
      <c r="G154" s="425"/>
      <c r="H154" s="425"/>
      <c r="I154" s="425"/>
      <c r="J154" s="425"/>
      <c r="K154" s="425"/>
      <c r="L154" s="425"/>
      <c r="M154" s="425"/>
      <c r="N154" s="425"/>
      <c r="O154" s="425"/>
      <c r="P154" s="425"/>
      <c r="Q154" s="425"/>
      <c r="R154" s="425"/>
      <c r="S154" s="425"/>
      <c r="T154" s="425"/>
      <c r="U154" s="425"/>
      <c r="V154" s="425"/>
      <c r="W154" s="425"/>
      <c r="X154" s="425"/>
      <c r="Y154" s="425"/>
      <c r="Z154" s="425"/>
      <c r="AA154" s="425"/>
      <c r="AB154" s="425"/>
      <c r="AC154" s="425"/>
      <c r="AD154" s="425"/>
      <c r="AE154" s="425"/>
      <c r="AF154" s="425"/>
      <c r="AG154" s="425"/>
    </row>
    <row r="155" ht="15.75" customHeight="1">
      <c r="A155" s="425"/>
      <c r="B155" s="425"/>
      <c r="C155" s="425"/>
      <c r="D155" s="425"/>
      <c r="E155" s="425"/>
      <c r="F155" s="425"/>
      <c r="G155" s="425"/>
      <c r="H155" s="425"/>
      <c r="I155" s="425"/>
      <c r="J155" s="425"/>
      <c r="K155" s="425"/>
      <c r="L155" s="425"/>
      <c r="M155" s="425"/>
      <c r="N155" s="425"/>
      <c r="O155" s="425"/>
      <c r="P155" s="425"/>
      <c r="Q155" s="425"/>
      <c r="R155" s="425"/>
      <c r="S155" s="425"/>
      <c r="T155" s="425"/>
      <c r="U155" s="425"/>
      <c r="V155" s="425"/>
      <c r="W155" s="425"/>
      <c r="X155" s="425"/>
      <c r="Y155" s="425"/>
      <c r="Z155" s="425"/>
      <c r="AA155" s="425"/>
      <c r="AB155" s="425"/>
      <c r="AC155" s="425"/>
      <c r="AD155" s="425"/>
      <c r="AE155" s="425"/>
      <c r="AF155" s="425"/>
      <c r="AG155" s="425"/>
    </row>
    <row r="156" ht="15.75" customHeight="1">
      <c r="A156" s="425"/>
      <c r="B156" s="425"/>
      <c r="C156" s="425"/>
      <c r="D156" s="425"/>
      <c r="E156" s="425"/>
      <c r="F156" s="425"/>
      <c r="G156" s="425"/>
      <c r="H156" s="425"/>
      <c r="I156" s="425"/>
      <c r="J156" s="425"/>
      <c r="K156" s="425"/>
      <c r="L156" s="425"/>
      <c r="M156" s="425"/>
      <c r="N156" s="425"/>
      <c r="O156" s="425"/>
      <c r="P156" s="425"/>
      <c r="Q156" s="425"/>
      <c r="R156" s="425"/>
      <c r="S156" s="425"/>
      <c r="T156" s="425"/>
      <c r="U156" s="425"/>
      <c r="V156" s="425"/>
      <c r="W156" s="425"/>
      <c r="X156" s="425"/>
      <c r="Y156" s="425"/>
      <c r="Z156" s="425"/>
      <c r="AA156" s="425"/>
      <c r="AB156" s="425"/>
      <c r="AC156" s="425"/>
      <c r="AD156" s="425"/>
      <c r="AE156" s="425"/>
      <c r="AF156" s="425"/>
      <c r="AG156" s="425"/>
    </row>
    <row r="157" ht="15.75" customHeight="1">
      <c r="A157" s="425"/>
      <c r="B157" s="425"/>
      <c r="C157" s="425"/>
      <c r="D157" s="425"/>
      <c r="E157" s="425"/>
      <c r="F157" s="425"/>
      <c r="G157" s="425"/>
      <c r="H157" s="425"/>
      <c r="I157" s="425"/>
      <c r="J157" s="425"/>
      <c r="K157" s="425"/>
      <c r="L157" s="425"/>
      <c r="M157" s="425"/>
      <c r="N157" s="425"/>
      <c r="O157" s="425"/>
      <c r="P157" s="425"/>
      <c r="Q157" s="425"/>
      <c r="R157" s="425"/>
      <c r="S157" s="425"/>
      <c r="T157" s="425"/>
      <c r="U157" s="425"/>
      <c r="V157" s="425"/>
      <c r="W157" s="425"/>
      <c r="X157" s="425"/>
      <c r="Y157" s="425"/>
      <c r="Z157" s="425"/>
      <c r="AA157" s="425"/>
      <c r="AB157" s="425"/>
      <c r="AC157" s="425"/>
      <c r="AD157" s="425"/>
      <c r="AE157" s="425"/>
      <c r="AF157" s="425"/>
      <c r="AG157" s="425"/>
    </row>
    <row r="158" ht="15.75" customHeight="1">
      <c r="A158" s="425"/>
      <c r="B158" s="425"/>
      <c r="C158" s="425"/>
      <c r="D158" s="425"/>
      <c r="E158" s="425"/>
      <c r="F158" s="425"/>
      <c r="G158" s="425"/>
      <c r="H158" s="425"/>
      <c r="I158" s="425"/>
      <c r="J158" s="425"/>
      <c r="K158" s="425"/>
      <c r="L158" s="425"/>
      <c r="M158" s="425"/>
      <c r="N158" s="425"/>
      <c r="O158" s="425"/>
      <c r="P158" s="425"/>
      <c r="Q158" s="425"/>
      <c r="R158" s="425"/>
      <c r="S158" s="425"/>
      <c r="T158" s="425"/>
      <c r="U158" s="425"/>
      <c r="V158" s="425"/>
      <c r="W158" s="425"/>
      <c r="X158" s="425"/>
      <c r="Y158" s="425"/>
      <c r="Z158" s="425"/>
      <c r="AA158" s="425"/>
      <c r="AB158" s="425"/>
      <c r="AC158" s="425"/>
      <c r="AD158" s="425"/>
      <c r="AE158" s="425"/>
      <c r="AF158" s="425"/>
      <c r="AG158" s="425"/>
    </row>
    <row r="159" ht="15.75" customHeight="1">
      <c r="A159" s="425"/>
      <c r="B159" s="425"/>
      <c r="C159" s="425"/>
      <c r="D159" s="425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  <c r="P159" s="425"/>
      <c r="Q159" s="425"/>
      <c r="R159" s="425"/>
      <c r="S159" s="425"/>
      <c r="T159" s="425"/>
      <c r="U159" s="425"/>
      <c r="V159" s="425"/>
      <c r="W159" s="425"/>
      <c r="X159" s="425"/>
      <c r="Y159" s="425"/>
      <c r="Z159" s="425"/>
      <c r="AA159" s="425"/>
      <c r="AB159" s="425"/>
      <c r="AC159" s="425"/>
      <c r="AD159" s="425"/>
      <c r="AE159" s="425"/>
      <c r="AF159" s="425"/>
      <c r="AG159" s="425"/>
    </row>
    <row r="160" ht="15.75" customHeight="1">
      <c r="A160" s="425"/>
      <c r="B160" s="425"/>
      <c r="C160" s="425"/>
      <c r="D160" s="425"/>
      <c r="E160" s="425"/>
      <c r="F160" s="425"/>
      <c r="G160" s="425"/>
      <c r="H160" s="425"/>
      <c r="I160" s="425"/>
      <c r="J160" s="425"/>
      <c r="K160" s="425"/>
      <c r="L160" s="425"/>
      <c r="M160" s="425"/>
      <c r="N160" s="425"/>
      <c r="O160" s="425"/>
      <c r="P160" s="425"/>
      <c r="Q160" s="425"/>
      <c r="R160" s="425"/>
      <c r="S160" s="425"/>
      <c r="T160" s="425"/>
      <c r="U160" s="425"/>
      <c r="V160" s="425"/>
      <c r="W160" s="425"/>
      <c r="X160" s="425"/>
      <c r="Y160" s="425"/>
      <c r="Z160" s="425"/>
      <c r="AA160" s="425"/>
      <c r="AB160" s="425"/>
      <c r="AC160" s="425"/>
      <c r="AD160" s="425"/>
      <c r="AE160" s="425"/>
      <c r="AF160" s="425"/>
      <c r="AG160" s="425"/>
    </row>
    <row r="161" ht="15.75" customHeight="1">
      <c r="A161" s="425"/>
      <c r="B161" s="425"/>
      <c r="C161" s="425"/>
      <c r="D161" s="425"/>
      <c r="E161" s="425"/>
      <c r="F161" s="425"/>
      <c r="G161" s="425"/>
      <c r="H161" s="425"/>
      <c r="I161" s="425"/>
      <c r="J161" s="425"/>
      <c r="K161" s="425"/>
      <c r="L161" s="425"/>
      <c r="M161" s="425"/>
      <c r="N161" s="425"/>
      <c r="O161" s="425"/>
      <c r="P161" s="425"/>
      <c r="Q161" s="425"/>
      <c r="R161" s="425"/>
      <c r="S161" s="425"/>
      <c r="T161" s="425"/>
      <c r="U161" s="425"/>
      <c r="V161" s="425"/>
      <c r="W161" s="425"/>
      <c r="X161" s="425"/>
      <c r="Y161" s="425"/>
      <c r="Z161" s="425"/>
      <c r="AA161" s="425"/>
      <c r="AB161" s="425"/>
      <c r="AC161" s="425"/>
      <c r="AD161" s="425"/>
      <c r="AE161" s="425"/>
      <c r="AF161" s="425"/>
      <c r="AG161" s="425"/>
    </row>
    <row r="162" ht="15.75" customHeight="1">
      <c r="A162" s="425"/>
      <c r="B162" s="425"/>
      <c r="C162" s="425"/>
      <c r="D162" s="425"/>
      <c r="E162" s="425"/>
      <c r="F162" s="425"/>
      <c r="G162" s="425"/>
      <c r="H162" s="425"/>
      <c r="I162" s="425"/>
      <c r="J162" s="425"/>
      <c r="K162" s="425"/>
      <c r="L162" s="425"/>
      <c r="M162" s="425"/>
      <c r="N162" s="425"/>
      <c r="O162" s="425"/>
      <c r="P162" s="425"/>
      <c r="Q162" s="425"/>
      <c r="R162" s="425"/>
      <c r="S162" s="425"/>
      <c r="T162" s="425"/>
      <c r="U162" s="425"/>
      <c r="V162" s="425"/>
      <c r="W162" s="425"/>
      <c r="X162" s="425"/>
      <c r="Y162" s="425"/>
      <c r="Z162" s="425"/>
      <c r="AA162" s="425"/>
      <c r="AB162" s="425"/>
      <c r="AC162" s="425"/>
      <c r="AD162" s="425"/>
      <c r="AE162" s="425"/>
      <c r="AF162" s="425"/>
      <c r="AG162" s="425"/>
    </row>
    <row r="163" ht="15.75" customHeight="1">
      <c r="A163" s="425"/>
      <c r="B163" s="425"/>
      <c r="C163" s="425"/>
      <c r="D163" s="425"/>
      <c r="E163" s="425"/>
      <c r="F163" s="425"/>
      <c r="G163" s="425"/>
      <c r="H163" s="425"/>
      <c r="I163" s="425"/>
      <c r="J163" s="425"/>
      <c r="K163" s="425"/>
      <c r="L163" s="425"/>
      <c r="M163" s="425"/>
      <c r="N163" s="425"/>
      <c r="O163" s="425"/>
      <c r="P163" s="425"/>
      <c r="Q163" s="425"/>
      <c r="R163" s="425"/>
      <c r="S163" s="425"/>
      <c r="T163" s="425"/>
      <c r="U163" s="425"/>
      <c r="V163" s="425"/>
      <c r="W163" s="425"/>
      <c r="X163" s="425"/>
      <c r="Y163" s="425"/>
      <c r="Z163" s="425"/>
      <c r="AA163" s="425"/>
      <c r="AB163" s="425"/>
      <c r="AC163" s="425"/>
      <c r="AD163" s="425"/>
      <c r="AE163" s="425"/>
      <c r="AF163" s="425"/>
      <c r="AG163" s="425"/>
    </row>
    <row r="164" ht="15.75" customHeight="1">
      <c r="A164" s="425"/>
      <c r="B164" s="425"/>
      <c r="C164" s="425"/>
      <c r="D164" s="425"/>
      <c r="E164" s="425"/>
      <c r="F164" s="425"/>
      <c r="G164" s="425"/>
      <c r="H164" s="425"/>
      <c r="I164" s="425"/>
      <c r="J164" s="425"/>
      <c r="K164" s="425"/>
      <c r="L164" s="425"/>
      <c r="M164" s="425"/>
      <c r="N164" s="425"/>
      <c r="O164" s="425"/>
      <c r="P164" s="425"/>
      <c r="Q164" s="425"/>
      <c r="R164" s="425"/>
      <c r="S164" s="425"/>
      <c r="T164" s="425"/>
      <c r="U164" s="425"/>
      <c r="V164" s="425"/>
      <c r="W164" s="425"/>
      <c r="X164" s="425"/>
      <c r="Y164" s="425"/>
      <c r="Z164" s="425"/>
      <c r="AA164" s="425"/>
      <c r="AB164" s="425"/>
      <c r="AC164" s="425"/>
      <c r="AD164" s="425"/>
      <c r="AE164" s="425"/>
      <c r="AF164" s="425"/>
      <c r="AG164" s="425"/>
    </row>
    <row r="165" ht="15.75" customHeight="1">
      <c r="A165" s="425"/>
      <c r="B165" s="425"/>
      <c r="C165" s="425"/>
      <c r="D165" s="425"/>
      <c r="E165" s="425"/>
      <c r="F165" s="425"/>
      <c r="G165" s="425"/>
      <c r="H165" s="425"/>
      <c r="I165" s="425"/>
      <c r="J165" s="425"/>
      <c r="K165" s="425"/>
      <c r="L165" s="425"/>
      <c r="M165" s="425"/>
      <c r="N165" s="425"/>
      <c r="O165" s="425"/>
      <c r="P165" s="425"/>
      <c r="Q165" s="425"/>
      <c r="R165" s="425"/>
      <c r="S165" s="425"/>
      <c r="T165" s="425"/>
      <c r="U165" s="425"/>
      <c r="V165" s="425"/>
      <c r="W165" s="425"/>
      <c r="X165" s="425"/>
      <c r="Y165" s="425"/>
      <c r="Z165" s="425"/>
      <c r="AA165" s="425"/>
      <c r="AB165" s="425"/>
      <c r="AC165" s="425"/>
      <c r="AD165" s="425"/>
      <c r="AE165" s="425"/>
      <c r="AF165" s="425"/>
      <c r="AG165" s="425"/>
    </row>
    <row r="166" ht="15.75" customHeight="1">
      <c r="A166" s="425"/>
      <c r="B166" s="425"/>
      <c r="C166" s="425"/>
      <c r="D166" s="425"/>
      <c r="E166" s="425"/>
      <c r="F166" s="425"/>
      <c r="G166" s="425"/>
      <c r="H166" s="425"/>
      <c r="I166" s="425"/>
      <c r="J166" s="425"/>
      <c r="K166" s="425"/>
      <c r="L166" s="425"/>
      <c r="M166" s="425"/>
      <c r="N166" s="425"/>
      <c r="O166" s="425"/>
      <c r="P166" s="425"/>
      <c r="Q166" s="425"/>
      <c r="R166" s="425"/>
      <c r="S166" s="425"/>
      <c r="T166" s="425"/>
      <c r="U166" s="425"/>
      <c r="V166" s="425"/>
      <c r="W166" s="425"/>
      <c r="X166" s="425"/>
      <c r="Y166" s="425"/>
      <c r="Z166" s="425"/>
      <c r="AA166" s="425"/>
      <c r="AB166" s="425"/>
      <c r="AC166" s="425"/>
      <c r="AD166" s="425"/>
      <c r="AE166" s="425"/>
      <c r="AF166" s="425"/>
      <c r="AG166" s="425"/>
    </row>
    <row r="167" ht="15.75" customHeight="1">
      <c r="A167" s="425"/>
      <c r="B167" s="425"/>
      <c r="C167" s="425"/>
      <c r="D167" s="425"/>
      <c r="E167" s="425"/>
      <c r="F167" s="425"/>
      <c r="G167" s="425"/>
      <c r="H167" s="425"/>
      <c r="I167" s="425"/>
      <c r="J167" s="425"/>
      <c r="K167" s="425"/>
      <c r="L167" s="425"/>
      <c r="M167" s="425"/>
      <c r="N167" s="425"/>
      <c r="O167" s="425"/>
      <c r="P167" s="425"/>
      <c r="Q167" s="425"/>
      <c r="R167" s="425"/>
      <c r="S167" s="425"/>
      <c r="T167" s="425"/>
      <c r="U167" s="425"/>
      <c r="V167" s="425"/>
      <c r="W167" s="425"/>
      <c r="X167" s="425"/>
      <c r="Y167" s="425"/>
      <c r="Z167" s="425"/>
      <c r="AA167" s="425"/>
      <c r="AB167" s="425"/>
      <c r="AC167" s="425"/>
      <c r="AD167" s="425"/>
      <c r="AE167" s="425"/>
      <c r="AF167" s="425"/>
      <c r="AG167" s="425"/>
    </row>
    <row r="168" ht="15.75" customHeight="1">
      <c r="A168" s="425"/>
      <c r="B168" s="425"/>
      <c r="C168" s="425"/>
      <c r="D168" s="425"/>
      <c r="E168" s="425"/>
      <c r="F168" s="425"/>
      <c r="G168" s="425"/>
      <c r="H168" s="425"/>
      <c r="I168" s="425"/>
      <c r="J168" s="425"/>
      <c r="K168" s="425"/>
      <c r="L168" s="425"/>
      <c r="M168" s="425"/>
      <c r="N168" s="425"/>
      <c r="O168" s="425"/>
      <c r="P168" s="425"/>
      <c r="Q168" s="425"/>
      <c r="R168" s="425"/>
      <c r="S168" s="425"/>
      <c r="T168" s="425"/>
      <c r="U168" s="425"/>
      <c r="V168" s="425"/>
      <c r="W168" s="425"/>
      <c r="X168" s="425"/>
      <c r="Y168" s="425"/>
      <c r="Z168" s="425"/>
      <c r="AA168" s="425"/>
      <c r="AB168" s="425"/>
      <c r="AC168" s="425"/>
      <c r="AD168" s="425"/>
      <c r="AE168" s="425"/>
      <c r="AF168" s="425"/>
      <c r="AG168" s="425"/>
    </row>
    <row r="169" ht="15.75" customHeight="1">
      <c r="A169" s="425"/>
      <c r="B169" s="425"/>
      <c r="C169" s="425"/>
      <c r="D169" s="425"/>
      <c r="E169" s="425"/>
      <c r="F169" s="425"/>
      <c r="G169" s="425"/>
      <c r="H169" s="425"/>
      <c r="I169" s="425"/>
      <c r="J169" s="425"/>
      <c r="K169" s="425"/>
      <c r="L169" s="425"/>
      <c r="M169" s="425"/>
      <c r="N169" s="425"/>
      <c r="O169" s="425"/>
      <c r="P169" s="425"/>
      <c r="Q169" s="425"/>
      <c r="R169" s="425"/>
      <c r="S169" s="425"/>
      <c r="T169" s="425"/>
      <c r="U169" s="425"/>
      <c r="V169" s="425"/>
      <c r="W169" s="425"/>
      <c r="X169" s="425"/>
      <c r="Y169" s="425"/>
      <c r="Z169" s="425"/>
      <c r="AA169" s="425"/>
      <c r="AB169" s="425"/>
      <c r="AC169" s="425"/>
      <c r="AD169" s="425"/>
      <c r="AE169" s="425"/>
      <c r="AF169" s="425"/>
      <c r="AG169" s="425"/>
    </row>
    <row r="170" ht="15.75" customHeight="1">
      <c r="A170" s="425"/>
      <c r="B170" s="425"/>
      <c r="C170" s="425"/>
      <c r="D170" s="425"/>
      <c r="E170" s="425"/>
      <c r="F170" s="425"/>
      <c r="G170" s="425"/>
      <c r="H170" s="425"/>
      <c r="I170" s="425"/>
      <c r="J170" s="425"/>
      <c r="K170" s="425"/>
      <c r="L170" s="425"/>
      <c r="M170" s="425"/>
      <c r="N170" s="425"/>
      <c r="O170" s="425"/>
      <c r="P170" s="425"/>
      <c r="Q170" s="425"/>
      <c r="R170" s="425"/>
      <c r="S170" s="425"/>
      <c r="T170" s="425"/>
      <c r="U170" s="425"/>
      <c r="V170" s="425"/>
      <c r="W170" s="425"/>
      <c r="X170" s="425"/>
      <c r="Y170" s="425"/>
      <c r="Z170" s="425"/>
      <c r="AA170" s="425"/>
      <c r="AB170" s="425"/>
      <c r="AC170" s="425"/>
      <c r="AD170" s="425"/>
      <c r="AE170" s="425"/>
      <c r="AF170" s="425"/>
      <c r="AG170" s="425"/>
    </row>
    <row r="171" ht="15.75" customHeight="1">
      <c r="A171" s="425"/>
      <c r="B171" s="425"/>
      <c r="C171" s="425"/>
      <c r="D171" s="425"/>
      <c r="E171" s="425"/>
      <c r="F171" s="425"/>
      <c r="G171" s="425"/>
      <c r="H171" s="425"/>
      <c r="I171" s="425"/>
      <c r="J171" s="425"/>
      <c r="K171" s="425"/>
      <c r="L171" s="425"/>
      <c r="M171" s="425"/>
      <c r="N171" s="425"/>
      <c r="O171" s="425"/>
      <c r="P171" s="425"/>
      <c r="Q171" s="425"/>
      <c r="R171" s="425"/>
      <c r="S171" s="425"/>
      <c r="T171" s="425"/>
      <c r="U171" s="425"/>
      <c r="V171" s="425"/>
      <c r="W171" s="425"/>
      <c r="X171" s="425"/>
      <c r="Y171" s="425"/>
      <c r="Z171" s="425"/>
      <c r="AA171" s="425"/>
      <c r="AB171" s="425"/>
      <c r="AC171" s="425"/>
      <c r="AD171" s="425"/>
      <c r="AE171" s="425"/>
      <c r="AF171" s="425"/>
      <c r="AG171" s="425"/>
    </row>
    <row r="172" ht="15.75" customHeight="1">
      <c r="A172" s="425"/>
      <c r="B172" s="425"/>
      <c r="C172" s="425"/>
      <c r="D172" s="425"/>
      <c r="E172" s="425"/>
      <c r="F172" s="425"/>
      <c r="G172" s="425"/>
      <c r="H172" s="425"/>
      <c r="I172" s="425"/>
      <c r="J172" s="425"/>
      <c r="K172" s="425"/>
      <c r="L172" s="425"/>
      <c r="M172" s="425"/>
      <c r="N172" s="425"/>
      <c r="O172" s="425"/>
      <c r="P172" s="425"/>
      <c r="Q172" s="425"/>
      <c r="R172" s="425"/>
      <c r="S172" s="425"/>
      <c r="T172" s="425"/>
      <c r="U172" s="425"/>
      <c r="V172" s="425"/>
      <c r="W172" s="425"/>
      <c r="X172" s="425"/>
      <c r="Y172" s="425"/>
      <c r="Z172" s="425"/>
      <c r="AA172" s="425"/>
      <c r="AB172" s="425"/>
      <c r="AC172" s="425"/>
      <c r="AD172" s="425"/>
      <c r="AE172" s="425"/>
      <c r="AF172" s="425"/>
      <c r="AG172" s="425"/>
    </row>
    <row r="173" ht="15.75" customHeight="1">
      <c r="A173" s="425"/>
      <c r="B173" s="425"/>
      <c r="C173" s="425"/>
      <c r="D173" s="425"/>
      <c r="E173" s="425"/>
      <c r="F173" s="425"/>
      <c r="G173" s="425"/>
      <c r="H173" s="425"/>
      <c r="I173" s="425"/>
      <c r="J173" s="425"/>
      <c r="K173" s="425"/>
      <c r="L173" s="425"/>
      <c r="M173" s="425"/>
      <c r="N173" s="425"/>
      <c r="O173" s="425"/>
      <c r="P173" s="425"/>
      <c r="Q173" s="425"/>
      <c r="R173" s="425"/>
      <c r="S173" s="425"/>
      <c r="T173" s="425"/>
      <c r="U173" s="425"/>
      <c r="V173" s="425"/>
      <c r="W173" s="425"/>
      <c r="X173" s="425"/>
      <c r="Y173" s="425"/>
      <c r="Z173" s="425"/>
      <c r="AA173" s="425"/>
      <c r="AB173" s="425"/>
      <c r="AC173" s="425"/>
      <c r="AD173" s="425"/>
      <c r="AE173" s="425"/>
      <c r="AF173" s="425"/>
      <c r="AG173" s="425"/>
    </row>
    <row r="174" ht="15.75" customHeight="1">
      <c r="A174" s="425"/>
      <c r="B174" s="425"/>
      <c r="C174" s="425"/>
      <c r="D174" s="425"/>
      <c r="E174" s="425"/>
      <c r="F174" s="425"/>
      <c r="G174" s="425"/>
      <c r="H174" s="425"/>
      <c r="I174" s="425"/>
      <c r="J174" s="425"/>
      <c r="K174" s="425"/>
      <c r="L174" s="425"/>
      <c r="M174" s="425"/>
      <c r="N174" s="425"/>
      <c r="O174" s="425"/>
      <c r="P174" s="425"/>
      <c r="Q174" s="425"/>
      <c r="R174" s="425"/>
      <c r="S174" s="425"/>
      <c r="T174" s="425"/>
      <c r="U174" s="425"/>
      <c r="V174" s="425"/>
      <c r="W174" s="425"/>
      <c r="X174" s="425"/>
      <c r="Y174" s="425"/>
      <c r="Z174" s="425"/>
      <c r="AA174" s="425"/>
      <c r="AB174" s="425"/>
      <c r="AC174" s="425"/>
      <c r="AD174" s="425"/>
      <c r="AE174" s="425"/>
      <c r="AF174" s="425"/>
      <c r="AG174" s="425"/>
    </row>
    <row r="175" ht="15.75" customHeight="1">
      <c r="A175" s="425"/>
      <c r="B175" s="425"/>
      <c r="C175" s="425"/>
      <c r="D175" s="425"/>
      <c r="E175" s="425"/>
      <c r="F175" s="425"/>
      <c r="G175" s="425"/>
      <c r="H175" s="425"/>
      <c r="I175" s="425"/>
      <c r="J175" s="425"/>
      <c r="K175" s="425"/>
      <c r="L175" s="425"/>
      <c r="M175" s="425"/>
      <c r="N175" s="425"/>
      <c r="O175" s="425"/>
      <c r="P175" s="425"/>
      <c r="Q175" s="425"/>
      <c r="R175" s="425"/>
      <c r="S175" s="425"/>
      <c r="T175" s="425"/>
      <c r="U175" s="425"/>
      <c r="V175" s="425"/>
      <c r="W175" s="425"/>
      <c r="X175" s="425"/>
      <c r="Y175" s="425"/>
      <c r="Z175" s="425"/>
      <c r="AA175" s="425"/>
      <c r="AB175" s="425"/>
      <c r="AC175" s="425"/>
      <c r="AD175" s="425"/>
      <c r="AE175" s="425"/>
      <c r="AF175" s="425"/>
      <c r="AG175" s="425"/>
    </row>
    <row r="176" ht="15.75" customHeight="1">
      <c r="A176" s="425"/>
      <c r="B176" s="425"/>
      <c r="C176" s="425"/>
      <c r="D176" s="425"/>
      <c r="E176" s="425"/>
      <c r="F176" s="425"/>
      <c r="G176" s="425"/>
      <c r="H176" s="425"/>
      <c r="I176" s="425"/>
      <c r="J176" s="425"/>
      <c r="K176" s="425"/>
      <c r="L176" s="425"/>
      <c r="M176" s="425"/>
      <c r="N176" s="425"/>
      <c r="O176" s="425"/>
      <c r="P176" s="425"/>
      <c r="Q176" s="425"/>
      <c r="R176" s="425"/>
      <c r="S176" s="425"/>
      <c r="T176" s="425"/>
      <c r="U176" s="425"/>
      <c r="V176" s="425"/>
      <c r="W176" s="425"/>
      <c r="X176" s="425"/>
      <c r="Y176" s="425"/>
      <c r="Z176" s="425"/>
      <c r="AA176" s="425"/>
      <c r="AB176" s="425"/>
      <c r="AC176" s="425"/>
      <c r="AD176" s="425"/>
      <c r="AE176" s="425"/>
      <c r="AF176" s="425"/>
      <c r="AG176" s="425"/>
    </row>
    <row r="177" ht="15.75" customHeight="1">
      <c r="A177" s="425"/>
      <c r="B177" s="425"/>
      <c r="C177" s="425"/>
      <c r="D177" s="425"/>
      <c r="E177" s="425"/>
      <c r="F177" s="425"/>
      <c r="G177" s="425"/>
      <c r="H177" s="425"/>
      <c r="I177" s="425"/>
      <c r="J177" s="425"/>
      <c r="K177" s="425"/>
      <c r="L177" s="425"/>
      <c r="M177" s="425"/>
      <c r="N177" s="425"/>
      <c r="O177" s="425"/>
      <c r="P177" s="425"/>
      <c r="Q177" s="425"/>
      <c r="R177" s="425"/>
      <c r="S177" s="425"/>
      <c r="T177" s="425"/>
      <c r="U177" s="425"/>
      <c r="V177" s="425"/>
      <c r="W177" s="425"/>
      <c r="X177" s="425"/>
      <c r="Y177" s="425"/>
      <c r="Z177" s="425"/>
      <c r="AA177" s="425"/>
      <c r="AB177" s="425"/>
      <c r="AC177" s="425"/>
      <c r="AD177" s="425"/>
      <c r="AE177" s="425"/>
      <c r="AF177" s="425"/>
      <c r="AG177" s="425"/>
    </row>
    <row r="178" ht="15.75" customHeight="1">
      <c r="A178" s="425"/>
      <c r="B178" s="425"/>
      <c r="C178" s="425"/>
      <c r="D178" s="425"/>
      <c r="E178" s="425"/>
      <c r="F178" s="425"/>
      <c r="G178" s="425"/>
      <c r="H178" s="425"/>
      <c r="I178" s="425"/>
      <c r="J178" s="425"/>
      <c r="K178" s="425"/>
      <c r="L178" s="425"/>
      <c r="M178" s="425"/>
      <c r="N178" s="425"/>
      <c r="O178" s="425"/>
      <c r="P178" s="425"/>
      <c r="Q178" s="425"/>
      <c r="R178" s="425"/>
      <c r="S178" s="425"/>
      <c r="T178" s="425"/>
      <c r="U178" s="425"/>
      <c r="V178" s="425"/>
      <c r="W178" s="425"/>
      <c r="X178" s="425"/>
      <c r="Y178" s="425"/>
      <c r="Z178" s="425"/>
      <c r="AA178" s="425"/>
      <c r="AB178" s="425"/>
      <c r="AC178" s="425"/>
      <c r="AD178" s="425"/>
      <c r="AE178" s="425"/>
      <c r="AF178" s="425"/>
      <c r="AG178" s="425"/>
    </row>
    <row r="179" ht="15.75" customHeight="1">
      <c r="A179" s="425"/>
      <c r="B179" s="425"/>
      <c r="C179" s="425"/>
      <c r="D179" s="425"/>
      <c r="E179" s="425"/>
      <c r="F179" s="425"/>
      <c r="G179" s="425"/>
      <c r="H179" s="425"/>
      <c r="I179" s="425"/>
      <c r="J179" s="425"/>
      <c r="K179" s="425"/>
      <c r="L179" s="425"/>
      <c r="M179" s="425"/>
      <c r="N179" s="425"/>
      <c r="O179" s="425"/>
      <c r="P179" s="425"/>
      <c r="Q179" s="425"/>
      <c r="R179" s="425"/>
      <c r="S179" s="425"/>
      <c r="T179" s="425"/>
      <c r="U179" s="425"/>
      <c r="V179" s="425"/>
      <c r="W179" s="425"/>
      <c r="X179" s="425"/>
      <c r="Y179" s="425"/>
      <c r="Z179" s="425"/>
      <c r="AA179" s="425"/>
      <c r="AB179" s="425"/>
      <c r="AC179" s="425"/>
      <c r="AD179" s="425"/>
      <c r="AE179" s="425"/>
      <c r="AF179" s="425"/>
      <c r="AG179" s="425"/>
    </row>
    <row r="180" ht="15.75" customHeight="1">
      <c r="A180" s="425"/>
      <c r="B180" s="425"/>
      <c r="C180" s="425"/>
      <c r="D180" s="425"/>
      <c r="E180" s="425"/>
      <c r="F180" s="425"/>
      <c r="G180" s="425"/>
      <c r="H180" s="425"/>
      <c r="I180" s="425"/>
      <c r="J180" s="425"/>
      <c r="K180" s="425"/>
      <c r="L180" s="425"/>
      <c r="M180" s="425"/>
      <c r="N180" s="425"/>
      <c r="O180" s="425"/>
      <c r="P180" s="425"/>
      <c r="Q180" s="425"/>
      <c r="R180" s="425"/>
      <c r="S180" s="425"/>
      <c r="T180" s="425"/>
      <c r="U180" s="425"/>
      <c r="V180" s="425"/>
      <c r="W180" s="425"/>
      <c r="X180" s="425"/>
      <c r="Y180" s="425"/>
      <c r="Z180" s="425"/>
      <c r="AA180" s="425"/>
      <c r="AB180" s="425"/>
      <c r="AC180" s="425"/>
      <c r="AD180" s="425"/>
      <c r="AE180" s="425"/>
      <c r="AF180" s="425"/>
      <c r="AG180" s="425"/>
    </row>
    <row r="181" ht="15.75" customHeight="1">
      <c r="A181" s="425"/>
      <c r="B181" s="425"/>
      <c r="C181" s="425"/>
      <c r="D181" s="425"/>
      <c r="E181" s="425"/>
      <c r="F181" s="425"/>
      <c r="G181" s="425"/>
      <c r="H181" s="425"/>
      <c r="I181" s="425"/>
      <c r="J181" s="425"/>
      <c r="K181" s="425"/>
      <c r="L181" s="425"/>
      <c r="M181" s="425"/>
      <c r="N181" s="425"/>
      <c r="O181" s="425"/>
      <c r="P181" s="425"/>
      <c r="Q181" s="425"/>
      <c r="R181" s="425"/>
      <c r="S181" s="425"/>
      <c r="T181" s="425"/>
      <c r="U181" s="425"/>
      <c r="V181" s="425"/>
      <c r="W181" s="425"/>
      <c r="X181" s="425"/>
      <c r="Y181" s="425"/>
      <c r="Z181" s="425"/>
      <c r="AA181" s="425"/>
      <c r="AB181" s="425"/>
      <c r="AC181" s="425"/>
      <c r="AD181" s="425"/>
      <c r="AE181" s="425"/>
      <c r="AF181" s="425"/>
      <c r="AG181" s="425"/>
    </row>
    <row r="182" ht="15.75" customHeight="1">
      <c r="A182" s="425"/>
      <c r="B182" s="425"/>
      <c r="C182" s="425"/>
      <c r="D182" s="425"/>
      <c r="E182" s="425"/>
      <c r="F182" s="425"/>
      <c r="G182" s="425"/>
      <c r="H182" s="425"/>
      <c r="I182" s="425"/>
      <c r="J182" s="425"/>
      <c r="K182" s="425"/>
      <c r="L182" s="425"/>
      <c r="M182" s="425"/>
      <c r="N182" s="425"/>
      <c r="O182" s="425"/>
      <c r="P182" s="425"/>
      <c r="Q182" s="425"/>
      <c r="R182" s="425"/>
      <c r="S182" s="425"/>
      <c r="T182" s="425"/>
      <c r="U182" s="425"/>
      <c r="V182" s="425"/>
      <c r="W182" s="425"/>
      <c r="X182" s="425"/>
      <c r="Y182" s="425"/>
      <c r="Z182" s="425"/>
      <c r="AA182" s="425"/>
      <c r="AB182" s="425"/>
      <c r="AC182" s="425"/>
      <c r="AD182" s="425"/>
      <c r="AE182" s="425"/>
      <c r="AF182" s="425"/>
      <c r="AG182" s="425"/>
    </row>
    <row r="183" ht="15.75" customHeight="1">
      <c r="A183" s="425"/>
      <c r="B183" s="425"/>
      <c r="C183" s="425"/>
      <c r="D183" s="425"/>
      <c r="E183" s="425"/>
      <c r="F183" s="425"/>
      <c r="G183" s="425"/>
      <c r="H183" s="425"/>
      <c r="I183" s="425"/>
      <c r="J183" s="425"/>
      <c r="K183" s="425"/>
      <c r="L183" s="425"/>
      <c r="M183" s="425"/>
      <c r="N183" s="425"/>
      <c r="O183" s="425"/>
      <c r="P183" s="425"/>
      <c r="Q183" s="425"/>
      <c r="R183" s="425"/>
      <c r="S183" s="425"/>
      <c r="T183" s="425"/>
      <c r="U183" s="425"/>
      <c r="V183" s="425"/>
      <c r="W183" s="425"/>
      <c r="X183" s="425"/>
      <c r="Y183" s="425"/>
      <c r="Z183" s="425"/>
      <c r="AA183" s="425"/>
      <c r="AB183" s="425"/>
      <c r="AC183" s="425"/>
      <c r="AD183" s="425"/>
      <c r="AE183" s="425"/>
      <c r="AF183" s="425"/>
      <c r="AG183" s="425"/>
    </row>
    <row r="184" ht="15.75" customHeight="1">
      <c r="A184" s="425"/>
      <c r="B184" s="425"/>
      <c r="C184" s="425"/>
      <c r="D184" s="425"/>
      <c r="E184" s="425"/>
      <c r="F184" s="425"/>
      <c r="G184" s="425"/>
      <c r="H184" s="425"/>
      <c r="I184" s="425"/>
      <c r="J184" s="425"/>
      <c r="K184" s="425"/>
      <c r="L184" s="425"/>
      <c r="M184" s="425"/>
      <c r="N184" s="425"/>
      <c r="O184" s="425"/>
      <c r="P184" s="425"/>
      <c r="Q184" s="425"/>
      <c r="R184" s="425"/>
      <c r="S184" s="425"/>
      <c r="T184" s="425"/>
      <c r="U184" s="425"/>
      <c r="V184" s="425"/>
      <c r="W184" s="425"/>
      <c r="X184" s="425"/>
      <c r="Y184" s="425"/>
      <c r="Z184" s="425"/>
      <c r="AA184" s="425"/>
      <c r="AB184" s="425"/>
      <c r="AC184" s="425"/>
      <c r="AD184" s="425"/>
      <c r="AE184" s="425"/>
      <c r="AF184" s="425"/>
      <c r="AG184" s="425"/>
    </row>
    <row r="185" ht="15.75" customHeight="1">
      <c r="A185" s="425"/>
      <c r="B185" s="425"/>
      <c r="C185" s="425"/>
      <c r="D185" s="425"/>
      <c r="E185" s="425"/>
      <c r="F185" s="425"/>
      <c r="G185" s="425"/>
      <c r="H185" s="425"/>
      <c r="I185" s="425"/>
      <c r="J185" s="425"/>
      <c r="K185" s="425"/>
      <c r="L185" s="425"/>
      <c r="M185" s="425"/>
      <c r="N185" s="425"/>
      <c r="O185" s="425"/>
      <c r="P185" s="425"/>
      <c r="Q185" s="425"/>
      <c r="R185" s="425"/>
      <c r="S185" s="425"/>
      <c r="T185" s="425"/>
      <c r="U185" s="425"/>
      <c r="V185" s="425"/>
      <c r="W185" s="425"/>
      <c r="X185" s="425"/>
      <c r="Y185" s="425"/>
      <c r="Z185" s="425"/>
      <c r="AA185" s="425"/>
      <c r="AB185" s="425"/>
      <c r="AC185" s="425"/>
      <c r="AD185" s="425"/>
      <c r="AE185" s="425"/>
      <c r="AF185" s="425"/>
      <c r="AG185" s="425"/>
    </row>
    <row r="186" ht="15.75" customHeight="1">
      <c r="A186" s="425"/>
      <c r="B186" s="425"/>
      <c r="C186" s="425"/>
      <c r="D186" s="425"/>
      <c r="E186" s="425"/>
      <c r="F186" s="425"/>
      <c r="G186" s="425"/>
      <c r="H186" s="425"/>
      <c r="I186" s="425"/>
      <c r="J186" s="425"/>
      <c r="K186" s="425"/>
      <c r="L186" s="425"/>
      <c r="M186" s="425"/>
      <c r="N186" s="425"/>
      <c r="O186" s="425"/>
      <c r="P186" s="425"/>
      <c r="Q186" s="425"/>
      <c r="R186" s="425"/>
      <c r="S186" s="425"/>
      <c r="T186" s="425"/>
      <c r="U186" s="425"/>
      <c r="V186" s="425"/>
      <c r="W186" s="425"/>
      <c r="X186" s="425"/>
      <c r="Y186" s="425"/>
      <c r="Z186" s="425"/>
      <c r="AA186" s="425"/>
      <c r="AB186" s="425"/>
      <c r="AC186" s="425"/>
      <c r="AD186" s="425"/>
      <c r="AE186" s="425"/>
      <c r="AF186" s="425"/>
      <c r="AG186" s="425"/>
    </row>
    <row r="187" ht="15.75" customHeight="1">
      <c r="A187" s="425"/>
      <c r="B187" s="425"/>
      <c r="C187" s="425"/>
      <c r="D187" s="425"/>
      <c r="E187" s="425"/>
      <c r="F187" s="425"/>
      <c r="G187" s="425"/>
      <c r="H187" s="425"/>
      <c r="I187" s="425"/>
      <c r="J187" s="425"/>
      <c r="K187" s="425"/>
      <c r="L187" s="425"/>
      <c r="M187" s="425"/>
      <c r="N187" s="425"/>
      <c r="O187" s="425"/>
      <c r="P187" s="425"/>
      <c r="Q187" s="425"/>
      <c r="R187" s="425"/>
      <c r="S187" s="425"/>
      <c r="T187" s="425"/>
      <c r="U187" s="425"/>
      <c r="V187" s="425"/>
      <c r="W187" s="425"/>
      <c r="X187" s="425"/>
      <c r="Y187" s="425"/>
      <c r="Z187" s="425"/>
      <c r="AA187" s="425"/>
      <c r="AB187" s="425"/>
      <c r="AC187" s="425"/>
      <c r="AD187" s="425"/>
      <c r="AE187" s="425"/>
      <c r="AF187" s="425"/>
      <c r="AG187" s="425"/>
    </row>
    <row r="188" ht="15.75" customHeight="1">
      <c r="A188" s="425"/>
      <c r="B188" s="425"/>
      <c r="C188" s="425"/>
      <c r="D188" s="425"/>
      <c r="E188" s="425"/>
      <c r="F188" s="425"/>
      <c r="G188" s="425"/>
      <c r="H188" s="425"/>
      <c r="I188" s="425"/>
      <c r="J188" s="425"/>
      <c r="K188" s="425"/>
      <c r="L188" s="425"/>
      <c r="M188" s="425"/>
      <c r="N188" s="425"/>
      <c r="O188" s="425"/>
      <c r="P188" s="425"/>
      <c r="Q188" s="425"/>
      <c r="R188" s="425"/>
      <c r="S188" s="425"/>
      <c r="T188" s="425"/>
      <c r="U188" s="425"/>
      <c r="V188" s="425"/>
      <c r="W188" s="425"/>
      <c r="X188" s="425"/>
      <c r="Y188" s="425"/>
      <c r="Z188" s="425"/>
      <c r="AA188" s="425"/>
      <c r="AB188" s="425"/>
      <c r="AC188" s="425"/>
      <c r="AD188" s="425"/>
      <c r="AE188" s="425"/>
      <c r="AF188" s="425"/>
      <c r="AG188" s="425"/>
    </row>
    <row r="189" ht="15.75" customHeight="1">
      <c r="A189" s="425"/>
      <c r="B189" s="425"/>
      <c r="C189" s="425"/>
      <c r="D189" s="425"/>
      <c r="E189" s="425"/>
      <c r="F189" s="425"/>
      <c r="G189" s="425"/>
      <c r="H189" s="425"/>
      <c r="I189" s="425"/>
      <c r="J189" s="425"/>
      <c r="K189" s="425"/>
      <c r="L189" s="425"/>
      <c r="M189" s="425"/>
      <c r="N189" s="425"/>
      <c r="O189" s="425"/>
      <c r="P189" s="425"/>
      <c r="Q189" s="425"/>
      <c r="R189" s="425"/>
      <c r="S189" s="425"/>
      <c r="T189" s="425"/>
      <c r="U189" s="425"/>
      <c r="V189" s="425"/>
      <c r="W189" s="425"/>
      <c r="X189" s="425"/>
      <c r="Y189" s="425"/>
      <c r="Z189" s="425"/>
      <c r="AA189" s="425"/>
      <c r="AB189" s="425"/>
      <c r="AC189" s="425"/>
      <c r="AD189" s="425"/>
      <c r="AE189" s="425"/>
      <c r="AF189" s="425"/>
      <c r="AG189" s="425"/>
    </row>
    <row r="190" ht="15.75" customHeight="1">
      <c r="A190" s="425"/>
      <c r="B190" s="425"/>
      <c r="C190" s="425"/>
      <c r="D190" s="425"/>
      <c r="E190" s="425"/>
      <c r="F190" s="425"/>
      <c r="G190" s="425"/>
      <c r="H190" s="425"/>
      <c r="I190" s="425"/>
      <c r="J190" s="425"/>
      <c r="K190" s="425"/>
      <c r="L190" s="425"/>
      <c r="M190" s="425"/>
      <c r="N190" s="425"/>
      <c r="O190" s="425"/>
      <c r="P190" s="425"/>
      <c r="Q190" s="425"/>
      <c r="R190" s="425"/>
      <c r="S190" s="425"/>
      <c r="T190" s="425"/>
      <c r="U190" s="425"/>
      <c r="V190" s="425"/>
      <c r="W190" s="425"/>
      <c r="X190" s="425"/>
      <c r="Y190" s="425"/>
      <c r="Z190" s="425"/>
      <c r="AA190" s="425"/>
      <c r="AB190" s="425"/>
      <c r="AC190" s="425"/>
      <c r="AD190" s="425"/>
      <c r="AE190" s="425"/>
      <c r="AF190" s="425"/>
      <c r="AG190" s="425"/>
    </row>
    <row r="191" ht="15.75" customHeight="1">
      <c r="A191" s="425"/>
      <c r="B191" s="425"/>
      <c r="C191" s="425"/>
      <c r="D191" s="425"/>
      <c r="E191" s="425"/>
      <c r="F191" s="425"/>
      <c r="G191" s="425"/>
      <c r="H191" s="425"/>
      <c r="I191" s="425"/>
      <c r="J191" s="425"/>
      <c r="K191" s="425"/>
      <c r="L191" s="425"/>
      <c r="M191" s="425"/>
      <c r="N191" s="425"/>
      <c r="O191" s="425"/>
      <c r="P191" s="425"/>
      <c r="Q191" s="425"/>
      <c r="R191" s="425"/>
      <c r="S191" s="425"/>
      <c r="T191" s="425"/>
      <c r="U191" s="425"/>
      <c r="V191" s="425"/>
      <c r="W191" s="425"/>
      <c r="X191" s="425"/>
      <c r="Y191" s="425"/>
      <c r="Z191" s="425"/>
      <c r="AA191" s="425"/>
      <c r="AB191" s="425"/>
      <c r="AC191" s="425"/>
      <c r="AD191" s="425"/>
      <c r="AE191" s="425"/>
      <c r="AF191" s="425"/>
      <c r="AG191" s="425"/>
    </row>
    <row r="192" ht="15.75" customHeight="1">
      <c r="A192" s="425"/>
      <c r="B192" s="425"/>
      <c r="C192" s="425"/>
      <c r="D192" s="425"/>
      <c r="E192" s="425"/>
      <c r="F192" s="425"/>
      <c r="G192" s="425"/>
      <c r="H192" s="425"/>
      <c r="I192" s="425"/>
      <c r="J192" s="425"/>
      <c r="K192" s="425"/>
      <c r="L192" s="425"/>
      <c r="M192" s="425"/>
      <c r="N192" s="425"/>
      <c r="O192" s="425"/>
      <c r="P192" s="425"/>
      <c r="Q192" s="425"/>
      <c r="R192" s="425"/>
      <c r="S192" s="425"/>
      <c r="T192" s="425"/>
      <c r="U192" s="425"/>
      <c r="V192" s="425"/>
      <c r="W192" s="425"/>
      <c r="X192" s="425"/>
      <c r="Y192" s="425"/>
      <c r="Z192" s="425"/>
      <c r="AA192" s="425"/>
      <c r="AB192" s="425"/>
      <c r="AC192" s="425"/>
      <c r="AD192" s="425"/>
      <c r="AE192" s="425"/>
      <c r="AF192" s="425"/>
      <c r="AG192" s="425"/>
    </row>
    <row r="193" ht="15.75" customHeight="1">
      <c r="A193" s="425"/>
      <c r="B193" s="425"/>
      <c r="C193" s="425"/>
      <c r="D193" s="425"/>
      <c r="E193" s="425"/>
      <c r="F193" s="425"/>
      <c r="G193" s="425"/>
      <c r="H193" s="425"/>
      <c r="I193" s="425"/>
      <c r="J193" s="425"/>
      <c r="K193" s="425"/>
      <c r="L193" s="425"/>
      <c r="M193" s="425"/>
      <c r="N193" s="425"/>
      <c r="O193" s="425"/>
      <c r="P193" s="425"/>
      <c r="Q193" s="425"/>
      <c r="R193" s="425"/>
      <c r="S193" s="425"/>
      <c r="T193" s="425"/>
      <c r="U193" s="425"/>
      <c r="V193" s="425"/>
      <c r="W193" s="425"/>
      <c r="X193" s="425"/>
      <c r="Y193" s="425"/>
      <c r="Z193" s="425"/>
      <c r="AA193" s="425"/>
      <c r="AB193" s="425"/>
      <c r="AC193" s="425"/>
      <c r="AD193" s="425"/>
      <c r="AE193" s="425"/>
      <c r="AF193" s="425"/>
      <c r="AG193" s="425"/>
    </row>
    <row r="194" ht="15.75" customHeight="1">
      <c r="A194" s="425"/>
      <c r="B194" s="425"/>
      <c r="C194" s="425"/>
      <c r="D194" s="425"/>
      <c r="E194" s="425"/>
      <c r="F194" s="425"/>
      <c r="G194" s="425"/>
      <c r="H194" s="425"/>
      <c r="I194" s="425"/>
      <c r="J194" s="425"/>
      <c r="K194" s="425"/>
      <c r="L194" s="425"/>
      <c r="M194" s="425"/>
      <c r="N194" s="425"/>
      <c r="O194" s="425"/>
      <c r="P194" s="425"/>
      <c r="Q194" s="425"/>
      <c r="R194" s="425"/>
      <c r="S194" s="425"/>
      <c r="T194" s="425"/>
      <c r="U194" s="425"/>
      <c r="V194" s="425"/>
      <c r="W194" s="425"/>
      <c r="X194" s="425"/>
      <c r="Y194" s="425"/>
      <c r="Z194" s="425"/>
      <c r="AA194" s="425"/>
      <c r="AB194" s="425"/>
      <c r="AC194" s="425"/>
      <c r="AD194" s="425"/>
      <c r="AE194" s="425"/>
      <c r="AF194" s="425"/>
      <c r="AG194" s="425"/>
    </row>
    <row r="195" ht="15.75" customHeight="1">
      <c r="A195" s="425"/>
      <c r="B195" s="425"/>
      <c r="C195" s="425"/>
      <c r="D195" s="425"/>
      <c r="E195" s="425"/>
      <c r="F195" s="425"/>
      <c r="G195" s="425"/>
      <c r="H195" s="425"/>
      <c r="I195" s="425"/>
      <c r="J195" s="425"/>
      <c r="K195" s="425"/>
      <c r="L195" s="425"/>
      <c r="M195" s="425"/>
      <c r="N195" s="425"/>
      <c r="O195" s="425"/>
      <c r="P195" s="425"/>
      <c r="Q195" s="425"/>
      <c r="R195" s="425"/>
      <c r="S195" s="425"/>
      <c r="T195" s="425"/>
      <c r="U195" s="425"/>
      <c r="V195" s="425"/>
      <c r="W195" s="425"/>
      <c r="X195" s="425"/>
      <c r="Y195" s="425"/>
      <c r="Z195" s="425"/>
      <c r="AA195" s="425"/>
      <c r="AB195" s="425"/>
      <c r="AC195" s="425"/>
      <c r="AD195" s="425"/>
      <c r="AE195" s="425"/>
      <c r="AF195" s="425"/>
      <c r="AG195" s="425"/>
    </row>
    <row r="196" ht="15.75" customHeight="1">
      <c r="A196" s="425"/>
      <c r="B196" s="425"/>
      <c r="C196" s="425"/>
      <c r="D196" s="425"/>
      <c r="E196" s="425"/>
      <c r="F196" s="425"/>
      <c r="G196" s="425"/>
      <c r="H196" s="425"/>
      <c r="I196" s="425"/>
      <c r="J196" s="425"/>
      <c r="K196" s="425"/>
      <c r="L196" s="425"/>
      <c r="M196" s="425"/>
      <c r="N196" s="425"/>
      <c r="O196" s="425"/>
      <c r="P196" s="425"/>
      <c r="Q196" s="425"/>
      <c r="R196" s="425"/>
      <c r="S196" s="425"/>
      <c r="T196" s="425"/>
      <c r="U196" s="425"/>
      <c r="V196" s="425"/>
      <c r="W196" s="425"/>
      <c r="X196" s="425"/>
      <c r="Y196" s="425"/>
      <c r="Z196" s="425"/>
      <c r="AA196" s="425"/>
      <c r="AB196" s="425"/>
      <c r="AC196" s="425"/>
      <c r="AD196" s="425"/>
      <c r="AE196" s="425"/>
      <c r="AF196" s="425"/>
      <c r="AG196" s="425"/>
    </row>
    <row r="197" ht="15.75" customHeight="1">
      <c r="A197" s="425"/>
      <c r="B197" s="425"/>
      <c r="C197" s="425"/>
      <c r="D197" s="425"/>
      <c r="E197" s="425"/>
      <c r="F197" s="425"/>
      <c r="G197" s="425"/>
      <c r="H197" s="425"/>
      <c r="I197" s="425"/>
      <c r="J197" s="425"/>
      <c r="K197" s="425"/>
      <c r="L197" s="425"/>
      <c r="M197" s="425"/>
      <c r="N197" s="425"/>
      <c r="O197" s="425"/>
      <c r="P197" s="425"/>
      <c r="Q197" s="425"/>
      <c r="R197" s="425"/>
      <c r="S197" s="425"/>
      <c r="T197" s="425"/>
      <c r="U197" s="425"/>
      <c r="V197" s="425"/>
      <c r="W197" s="425"/>
      <c r="X197" s="425"/>
      <c r="Y197" s="425"/>
      <c r="Z197" s="425"/>
      <c r="AA197" s="425"/>
      <c r="AB197" s="425"/>
      <c r="AC197" s="425"/>
      <c r="AD197" s="425"/>
      <c r="AE197" s="425"/>
      <c r="AF197" s="425"/>
      <c r="AG197" s="425"/>
    </row>
    <row r="198" ht="15.75" customHeight="1">
      <c r="A198" s="425"/>
      <c r="B198" s="425"/>
      <c r="C198" s="425"/>
      <c r="D198" s="425"/>
      <c r="E198" s="425"/>
      <c r="F198" s="425"/>
      <c r="G198" s="425"/>
      <c r="H198" s="425"/>
      <c r="I198" s="425"/>
      <c r="J198" s="425"/>
      <c r="K198" s="425"/>
      <c r="L198" s="425"/>
      <c r="M198" s="425"/>
      <c r="N198" s="425"/>
      <c r="O198" s="425"/>
      <c r="P198" s="425"/>
      <c r="Q198" s="425"/>
      <c r="R198" s="425"/>
      <c r="S198" s="425"/>
      <c r="T198" s="425"/>
      <c r="U198" s="425"/>
      <c r="V198" s="425"/>
      <c r="W198" s="425"/>
      <c r="X198" s="425"/>
      <c r="Y198" s="425"/>
      <c r="Z198" s="425"/>
      <c r="AA198" s="425"/>
      <c r="AB198" s="425"/>
      <c r="AC198" s="425"/>
      <c r="AD198" s="425"/>
      <c r="AE198" s="425"/>
      <c r="AF198" s="425"/>
      <c r="AG198" s="425"/>
    </row>
    <row r="199" ht="15.75" customHeight="1">
      <c r="A199" s="425"/>
      <c r="B199" s="425"/>
      <c r="C199" s="425"/>
      <c r="D199" s="425"/>
      <c r="E199" s="425"/>
      <c r="F199" s="425"/>
      <c r="G199" s="425"/>
      <c r="H199" s="425"/>
      <c r="I199" s="425"/>
      <c r="J199" s="425"/>
      <c r="K199" s="425"/>
      <c r="L199" s="425"/>
      <c r="M199" s="425"/>
      <c r="N199" s="425"/>
      <c r="O199" s="425"/>
      <c r="P199" s="425"/>
      <c r="Q199" s="425"/>
      <c r="R199" s="425"/>
      <c r="S199" s="425"/>
      <c r="T199" s="425"/>
      <c r="U199" s="425"/>
      <c r="V199" s="425"/>
      <c r="W199" s="425"/>
      <c r="X199" s="425"/>
      <c r="Y199" s="425"/>
      <c r="Z199" s="425"/>
      <c r="AA199" s="425"/>
      <c r="AB199" s="425"/>
      <c r="AC199" s="425"/>
      <c r="AD199" s="425"/>
      <c r="AE199" s="425"/>
      <c r="AF199" s="425"/>
      <c r="AG199" s="425"/>
    </row>
    <row r="200" ht="15.75" customHeight="1">
      <c r="A200" s="425"/>
      <c r="B200" s="425"/>
      <c r="C200" s="425"/>
      <c r="D200" s="425"/>
      <c r="E200" s="425"/>
      <c r="F200" s="425"/>
      <c r="G200" s="425"/>
      <c r="H200" s="425"/>
      <c r="I200" s="425"/>
      <c r="J200" s="425"/>
      <c r="K200" s="425"/>
      <c r="L200" s="425"/>
      <c r="M200" s="425"/>
      <c r="N200" s="425"/>
      <c r="O200" s="425"/>
      <c r="P200" s="425"/>
      <c r="Q200" s="425"/>
      <c r="R200" s="425"/>
      <c r="S200" s="425"/>
      <c r="T200" s="425"/>
      <c r="U200" s="425"/>
      <c r="V200" s="425"/>
      <c r="W200" s="425"/>
      <c r="X200" s="425"/>
      <c r="Y200" s="425"/>
      <c r="Z200" s="425"/>
      <c r="AA200" s="425"/>
      <c r="AB200" s="425"/>
      <c r="AC200" s="425"/>
      <c r="AD200" s="425"/>
      <c r="AE200" s="425"/>
      <c r="AF200" s="425"/>
      <c r="AG200" s="425"/>
    </row>
    <row r="201" ht="15.75" customHeight="1">
      <c r="A201" s="425"/>
      <c r="B201" s="425"/>
      <c r="C201" s="425"/>
      <c r="D201" s="425"/>
      <c r="E201" s="425"/>
      <c r="F201" s="425"/>
      <c r="G201" s="425"/>
      <c r="H201" s="425"/>
      <c r="I201" s="425"/>
      <c r="J201" s="425"/>
      <c r="K201" s="425"/>
      <c r="L201" s="425"/>
      <c r="M201" s="425"/>
      <c r="N201" s="425"/>
      <c r="O201" s="425"/>
      <c r="P201" s="425"/>
      <c r="Q201" s="425"/>
      <c r="R201" s="425"/>
      <c r="S201" s="425"/>
      <c r="T201" s="425"/>
      <c r="U201" s="425"/>
      <c r="V201" s="425"/>
      <c r="W201" s="425"/>
      <c r="X201" s="425"/>
      <c r="Y201" s="425"/>
      <c r="Z201" s="425"/>
      <c r="AA201" s="425"/>
      <c r="AB201" s="425"/>
      <c r="AC201" s="425"/>
      <c r="AD201" s="425"/>
      <c r="AE201" s="425"/>
      <c r="AF201" s="425"/>
      <c r="AG201" s="425"/>
    </row>
    <row r="202" ht="15.75" customHeight="1">
      <c r="A202" s="425"/>
      <c r="B202" s="425"/>
      <c r="C202" s="425"/>
      <c r="D202" s="425"/>
      <c r="E202" s="425"/>
      <c r="F202" s="425"/>
      <c r="G202" s="425"/>
      <c r="H202" s="425"/>
      <c r="I202" s="425"/>
      <c r="J202" s="425"/>
      <c r="K202" s="425"/>
      <c r="L202" s="425"/>
      <c r="M202" s="425"/>
      <c r="N202" s="425"/>
      <c r="O202" s="425"/>
      <c r="P202" s="425"/>
      <c r="Q202" s="425"/>
      <c r="R202" s="425"/>
      <c r="S202" s="425"/>
      <c r="T202" s="425"/>
      <c r="U202" s="425"/>
      <c r="V202" s="425"/>
      <c r="W202" s="425"/>
      <c r="X202" s="425"/>
      <c r="Y202" s="425"/>
      <c r="Z202" s="425"/>
      <c r="AA202" s="425"/>
      <c r="AB202" s="425"/>
      <c r="AC202" s="425"/>
      <c r="AD202" s="425"/>
      <c r="AE202" s="425"/>
      <c r="AF202" s="425"/>
      <c r="AG202" s="425"/>
    </row>
    <row r="203" ht="15.75" customHeight="1">
      <c r="A203" s="425"/>
      <c r="B203" s="425"/>
      <c r="C203" s="425"/>
      <c r="D203" s="425"/>
      <c r="E203" s="425"/>
      <c r="F203" s="425"/>
      <c r="G203" s="425"/>
      <c r="H203" s="425"/>
      <c r="I203" s="425"/>
      <c r="J203" s="425"/>
      <c r="K203" s="425"/>
      <c r="L203" s="425"/>
      <c r="M203" s="425"/>
      <c r="N203" s="425"/>
      <c r="O203" s="425"/>
      <c r="P203" s="425"/>
      <c r="Q203" s="42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  <c r="AC203" s="425"/>
      <c r="AD203" s="425"/>
      <c r="AE203" s="425"/>
      <c r="AF203" s="425"/>
      <c r="AG203" s="425"/>
    </row>
    <row r="204" ht="15.75" customHeight="1">
      <c r="A204" s="425"/>
      <c r="B204" s="425"/>
      <c r="C204" s="425"/>
      <c r="D204" s="425"/>
      <c r="E204" s="425"/>
      <c r="F204" s="425"/>
      <c r="G204" s="425"/>
      <c r="H204" s="425"/>
      <c r="I204" s="425"/>
      <c r="J204" s="425"/>
      <c r="K204" s="425"/>
      <c r="L204" s="425"/>
      <c r="M204" s="425"/>
      <c r="N204" s="425"/>
      <c r="O204" s="425"/>
      <c r="P204" s="425"/>
      <c r="Q204" s="425"/>
      <c r="R204" s="425"/>
      <c r="S204" s="425"/>
      <c r="T204" s="425"/>
      <c r="U204" s="425"/>
      <c r="V204" s="425"/>
      <c r="W204" s="425"/>
      <c r="X204" s="425"/>
      <c r="Y204" s="425"/>
      <c r="Z204" s="425"/>
      <c r="AA204" s="425"/>
      <c r="AB204" s="425"/>
      <c r="AC204" s="425"/>
      <c r="AD204" s="425"/>
      <c r="AE204" s="425"/>
      <c r="AF204" s="425"/>
      <c r="AG204" s="425"/>
    </row>
    <row r="205" ht="15.75" customHeight="1">
      <c r="A205" s="425"/>
      <c r="B205" s="425"/>
      <c r="C205" s="425"/>
      <c r="D205" s="425"/>
      <c r="E205" s="425"/>
      <c r="F205" s="425"/>
      <c r="G205" s="425"/>
      <c r="H205" s="425"/>
      <c r="I205" s="425"/>
      <c r="J205" s="425"/>
      <c r="K205" s="425"/>
      <c r="L205" s="425"/>
      <c r="M205" s="425"/>
      <c r="N205" s="425"/>
      <c r="O205" s="425"/>
      <c r="P205" s="425"/>
      <c r="Q205" s="425"/>
      <c r="R205" s="425"/>
      <c r="S205" s="425"/>
      <c r="T205" s="425"/>
      <c r="U205" s="425"/>
      <c r="V205" s="425"/>
      <c r="W205" s="425"/>
      <c r="X205" s="425"/>
      <c r="Y205" s="425"/>
      <c r="Z205" s="425"/>
      <c r="AA205" s="425"/>
      <c r="AB205" s="425"/>
      <c r="AC205" s="425"/>
      <c r="AD205" s="425"/>
      <c r="AE205" s="425"/>
      <c r="AF205" s="425"/>
      <c r="AG205" s="425"/>
    </row>
    <row r="206" ht="15.75" customHeight="1">
      <c r="A206" s="425"/>
      <c r="B206" s="425"/>
      <c r="C206" s="425"/>
      <c r="D206" s="425"/>
      <c r="E206" s="425"/>
      <c r="F206" s="425"/>
      <c r="G206" s="425"/>
      <c r="H206" s="425"/>
      <c r="I206" s="425"/>
      <c r="J206" s="425"/>
      <c r="K206" s="425"/>
      <c r="L206" s="425"/>
      <c r="M206" s="425"/>
      <c r="N206" s="425"/>
      <c r="O206" s="425"/>
      <c r="P206" s="425"/>
      <c r="Q206" s="425"/>
      <c r="R206" s="425"/>
      <c r="S206" s="425"/>
      <c r="T206" s="425"/>
      <c r="U206" s="425"/>
      <c r="V206" s="425"/>
      <c r="W206" s="425"/>
      <c r="X206" s="425"/>
      <c r="Y206" s="425"/>
      <c r="Z206" s="425"/>
      <c r="AA206" s="425"/>
      <c r="AB206" s="425"/>
      <c r="AC206" s="425"/>
      <c r="AD206" s="425"/>
      <c r="AE206" s="425"/>
      <c r="AF206" s="425"/>
      <c r="AG206" s="425"/>
    </row>
    <row r="207" ht="15.75" customHeight="1">
      <c r="A207" s="425"/>
      <c r="B207" s="425"/>
      <c r="C207" s="425"/>
      <c r="D207" s="425"/>
      <c r="E207" s="425"/>
      <c r="F207" s="425"/>
      <c r="G207" s="425"/>
      <c r="H207" s="425"/>
      <c r="I207" s="425"/>
      <c r="J207" s="425"/>
      <c r="K207" s="425"/>
      <c r="L207" s="425"/>
      <c r="M207" s="425"/>
      <c r="N207" s="425"/>
      <c r="O207" s="425"/>
      <c r="P207" s="425"/>
      <c r="Q207" s="425"/>
      <c r="R207" s="425"/>
      <c r="S207" s="425"/>
      <c r="T207" s="425"/>
      <c r="U207" s="425"/>
      <c r="V207" s="425"/>
      <c r="W207" s="425"/>
      <c r="X207" s="425"/>
      <c r="Y207" s="425"/>
      <c r="Z207" s="425"/>
      <c r="AA207" s="425"/>
      <c r="AB207" s="425"/>
      <c r="AC207" s="425"/>
      <c r="AD207" s="425"/>
      <c r="AE207" s="425"/>
      <c r="AF207" s="425"/>
      <c r="AG207" s="425"/>
    </row>
    <row r="208" ht="15.75" customHeight="1">
      <c r="A208" s="425"/>
      <c r="B208" s="425"/>
      <c r="C208" s="425"/>
      <c r="D208" s="425"/>
      <c r="E208" s="425"/>
      <c r="F208" s="425"/>
      <c r="G208" s="425"/>
      <c r="H208" s="425"/>
      <c r="I208" s="425"/>
      <c r="J208" s="425"/>
      <c r="K208" s="425"/>
      <c r="L208" s="425"/>
      <c r="M208" s="425"/>
      <c r="N208" s="425"/>
      <c r="O208" s="425"/>
      <c r="P208" s="425"/>
      <c r="Q208" s="425"/>
      <c r="R208" s="425"/>
      <c r="S208" s="425"/>
      <c r="T208" s="425"/>
      <c r="U208" s="425"/>
      <c r="V208" s="425"/>
      <c r="W208" s="425"/>
      <c r="X208" s="425"/>
      <c r="Y208" s="425"/>
      <c r="Z208" s="425"/>
      <c r="AA208" s="425"/>
      <c r="AB208" s="425"/>
      <c r="AC208" s="425"/>
      <c r="AD208" s="425"/>
      <c r="AE208" s="425"/>
      <c r="AF208" s="425"/>
      <c r="AG208" s="425"/>
    </row>
    <row r="209" ht="15.75" customHeight="1">
      <c r="A209" s="425"/>
      <c r="B209" s="425"/>
      <c r="C209" s="425"/>
      <c r="D209" s="425"/>
      <c r="E209" s="425"/>
      <c r="F209" s="425"/>
      <c r="G209" s="425"/>
      <c r="H209" s="425"/>
      <c r="I209" s="425"/>
      <c r="J209" s="425"/>
      <c r="K209" s="425"/>
      <c r="L209" s="425"/>
      <c r="M209" s="425"/>
      <c r="N209" s="425"/>
      <c r="O209" s="425"/>
      <c r="P209" s="425"/>
      <c r="Q209" s="425"/>
      <c r="R209" s="425"/>
      <c r="S209" s="425"/>
      <c r="T209" s="425"/>
      <c r="U209" s="425"/>
      <c r="V209" s="425"/>
      <c r="W209" s="425"/>
      <c r="X209" s="425"/>
      <c r="Y209" s="425"/>
      <c r="Z209" s="425"/>
      <c r="AA209" s="425"/>
      <c r="AB209" s="425"/>
      <c r="AC209" s="425"/>
      <c r="AD209" s="425"/>
      <c r="AE209" s="425"/>
      <c r="AF209" s="425"/>
      <c r="AG209" s="425"/>
    </row>
    <row r="210" ht="15.75" customHeight="1">
      <c r="A210" s="425"/>
      <c r="B210" s="425"/>
      <c r="C210" s="425"/>
      <c r="D210" s="425"/>
      <c r="E210" s="425"/>
      <c r="F210" s="425"/>
      <c r="G210" s="425"/>
      <c r="H210" s="425"/>
      <c r="I210" s="425"/>
      <c r="J210" s="425"/>
      <c r="K210" s="425"/>
      <c r="L210" s="425"/>
      <c r="M210" s="425"/>
      <c r="N210" s="425"/>
      <c r="O210" s="425"/>
      <c r="P210" s="425"/>
      <c r="Q210" s="425"/>
      <c r="R210" s="425"/>
      <c r="S210" s="425"/>
      <c r="T210" s="425"/>
      <c r="U210" s="425"/>
      <c r="V210" s="425"/>
      <c r="W210" s="425"/>
      <c r="X210" s="425"/>
      <c r="Y210" s="425"/>
      <c r="Z210" s="425"/>
      <c r="AA210" s="425"/>
      <c r="AB210" s="425"/>
      <c r="AC210" s="425"/>
      <c r="AD210" s="425"/>
      <c r="AE210" s="425"/>
      <c r="AF210" s="425"/>
      <c r="AG210" s="425"/>
    </row>
    <row r="211" ht="15.75" customHeight="1">
      <c r="A211" s="425"/>
      <c r="B211" s="425"/>
      <c r="C211" s="425"/>
      <c r="D211" s="425"/>
      <c r="E211" s="425"/>
      <c r="F211" s="425"/>
      <c r="G211" s="425"/>
      <c r="H211" s="425"/>
      <c r="I211" s="425"/>
      <c r="J211" s="425"/>
      <c r="K211" s="425"/>
      <c r="L211" s="425"/>
      <c r="M211" s="425"/>
      <c r="N211" s="425"/>
      <c r="O211" s="425"/>
      <c r="P211" s="425"/>
      <c r="Q211" s="425"/>
      <c r="R211" s="425"/>
      <c r="S211" s="425"/>
      <c r="T211" s="425"/>
      <c r="U211" s="425"/>
      <c r="V211" s="425"/>
      <c r="W211" s="425"/>
      <c r="X211" s="425"/>
      <c r="Y211" s="425"/>
      <c r="Z211" s="425"/>
      <c r="AA211" s="425"/>
      <c r="AB211" s="425"/>
      <c r="AC211" s="425"/>
      <c r="AD211" s="425"/>
      <c r="AE211" s="425"/>
      <c r="AF211" s="425"/>
      <c r="AG211" s="425"/>
    </row>
    <row r="212" ht="15.75" customHeight="1">
      <c r="A212" s="425"/>
      <c r="B212" s="425"/>
      <c r="C212" s="425"/>
      <c r="D212" s="425"/>
      <c r="E212" s="425"/>
      <c r="F212" s="425"/>
      <c r="G212" s="425"/>
      <c r="H212" s="425"/>
      <c r="I212" s="425"/>
      <c r="J212" s="425"/>
      <c r="K212" s="425"/>
      <c r="L212" s="425"/>
      <c r="M212" s="425"/>
      <c r="N212" s="425"/>
      <c r="O212" s="425"/>
      <c r="P212" s="425"/>
      <c r="Q212" s="425"/>
      <c r="R212" s="425"/>
      <c r="S212" s="425"/>
      <c r="T212" s="425"/>
      <c r="U212" s="425"/>
      <c r="V212" s="425"/>
      <c r="W212" s="425"/>
      <c r="X212" s="425"/>
      <c r="Y212" s="425"/>
      <c r="Z212" s="425"/>
      <c r="AA212" s="425"/>
      <c r="AB212" s="425"/>
      <c r="AC212" s="425"/>
      <c r="AD212" s="425"/>
      <c r="AE212" s="425"/>
      <c r="AF212" s="425"/>
      <c r="AG212" s="425"/>
    </row>
    <row r="213" ht="15.75" customHeight="1">
      <c r="A213" s="425"/>
      <c r="B213" s="425"/>
      <c r="C213" s="425"/>
      <c r="D213" s="425"/>
      <c r="E213" s="425"/>
      <c r="F213" s="425"/>
      <c r="G213" s="425"/>
      <c r="H213" s="425"/>
      <c r="I213" s="425"/>
      <c r="J213" s="425"/>
      <c r="K213" s="425"/>
      <c r="L213" s="425"/>
      <c r="M213" s="425"/>
      <c r="N213" s="425"/>
      <c r="O213" s="425"/>
      <c r="P213" s="425"/>
      <c r="Q213" s="425"/>
      <c r="R213" s="425"/>
      <c r="S213" s="425"/>
      <c r="T213" s="425"/>
      <c r="U213" s="425"/>
      <c r="V213" s="425"/>
      <c r="W213" s="425"/>
      <c r="X213" s="425"/>
      <c r="Y213" s="425"/>
      <c r="Z213" s="425"/>
      <c r="AA213" s="425"/>
      <c r="AB213" s="425"/>
      <c r="AC213" s="425"/>
      <c r="AD213" s="425"/>
      <c r="AE213" s="425"/>
      <c r="AF213" s="425"/>
      <c r="AG213" s="425"/>
    </row>
    <row r="214" ht="15.75" customHeight="1">
      <c r="A214" s="425"/>
      <c r="B214" s="425"/>
      <c r="C214" s="425"/>
      <c r="D214" s="425"/>
      <c r="E214" s="425"/>
      <c r="F214" s="425"/>
      <c r="G214" s="425"/>
      <c r="H214" s="425"/>
      <c r="I214" s="425"/>
      <c r="J214" s="425"/>
      <c r="K214" s="425"/>
      <c r="L214" s="425"/>
      <c r="M214" s="425"/>
      <c r="N214" s="425"/>
      <c r="O214" s="425"/>
      <c r="P214" s="425"/>
      <c r="Q214" s="425"/>
      <c r="R214" s="425"/>
      <c r="S214" s="425"/>
      <c r="T214" s="425"/>
      <c r="U214" s="425"/>
      <c r="V214" s="425"/>
      <c r="W214" s="425"/>
      <c r="X214" s="425"/>
      <c r="Y214" s="425"/>
      <c r="Z214" s="425"/>
      <c r="AA214" s="425"/>
      <c r="AB214" s="425"/>
      <c r="AC214" s="425"/>
      <c r="AD214" s="425"/>
      <c r="AE214" s="425"/>
      <c r="AF214" s="425"/>
      <c r="AG214" s="425"/>
    </row>
    <row r="215" ht="15.75" customHeight="1">
      <c r="A215" s="425"/>
      <c r="B215" s="425"/>
      <c r="C215" s="425"/>
      <c r="D215" s="425"/>
      <c r="E215" s="425"/>
      <c r="F215" s="425"/>
      <c r="G215" s="425"/>
      <c r="H215" s="425"/>
      <c r="I215" s="425"/>
      <c r="J215" s="425"/>
      <c r="K215" s="425"/>
      <c r="L215" s="425"/>
      <c r="M215" s="425"/>
      <c r="N215" s="425"/>
      <c r="O215" s="425"/>
      <c r="P215" s="425"/>
      <c r="Q215" s="425"/>
      <c r="R215" s="425"/>
      <c r="S215" s="425"/>
      <c r="T215" s="425"/>
      <c r="U215" s="425"/>
      <c r="V215" s="425"/>
      <c r="W215" s="425"/>
      <c r="X215" s="425"/>
      <c r="Y215" s="425"/>
      <c r="Z215" s="425"/>
      <c r="AA215" s="425"/>
      <c r="AB215" s="425"/>
      <c r="AC215" s="425"/>
      <c r="AD215" s="425"/>
      <c r="AE215" s="425"/>
      <c r="AF215" s="425"/>
      <c r="AG215" s="425"/>
    </row>
    <row r="216" ht="15.75" customHeight="1">
      <c r="A216" s="425"/>
      <c r="B216" s="425"/>
      <c r="C216" s="425"/>
      <c r="D216" s="425"/>
      <c r="E216" s="425"/>
      <c r="F216" s="425"/>
      <c r="G216" s="425"/>
      <c r="H216" s="425"/>
      <c r="I216" s="425"/>
      <c r="J216" s="425"/>
      <c r="K216" s="425"/>
      <c r="L216" s="425"/>
      <c r="M216" s="425"/>
      <c r="N216" s="425"/>
      <c r="O216" s="425"/>
      <c r="P216" s="425"/>
      <c r="Q216" s="42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  <c r="AD216" s="425"/>
      <c r="AE216" s="425"/>
      <c r="AF216" s="425"/>
      <c r="AG216" s="425"/>
    </row>
    <row r="217" ht="15.75" customHeight="1">
      <c r="A217" s="425"/>
      <c r="B217" s="425"/>
      <c r="C217" s="425"/>
      <c r="D217" s="425"/>
      <c r="E217" s="425"/>
      <c r="F217" s="425"/>
      <c r="G217" s="425"/>
      <c r="H217" s="425"/>
      <c r="I217" s="425"/>
      <c r="J217" s="425"/>
      <c r="K217" s="425"/>
      <c r="L217" s="425"/>
      <c r="M217" s="425"/>
      <c r="N217" s="425"/>
      <c r="O217" s="425"/>
      <c r="P217" s="425"/>
      <c r="Q217" s="425"/>
      <c r="R217" s="425"/>
      <c r="S217" s="425"/>
      <c r="T217" s="425"/>
      <c r="U217" s="425"/>
      <c r="V217" s="425"/>
      <c r="W217" s="425"/>
      <c r="X217" s="425"/>
      <c r="Y217" s="425"/>
      <c r="Z217" s="425"/>
      <c r="AA217" s="425"/>
      <c r="AB217" s="425"/>
      <c r="AC217" s="425"/>
      <c r="AD217" s="425"/>
      <c r="AE217" s="425"/>
      <c r="AF217" s="425"/>
      <c r="AG217" s="425"/>
    </row>
    <row r="218" ht="15.75" customHeight="1">
      <c r="A218" s="425"/>
      <c r="B218" s="425"/>
      <c r="C218" s="425"/>
      <c r="D218" s="425"/>
      <c r="E218" s="425"/>
      <c r="F218" s="425"/>
      <c r="G218" s="425"/>
      <c r="H218" s="425"/>
      <c r="I218" s="425"/>
      <c r="J218" s="425"/>
      <c r="K218" s="425"/>
      <c r="L218" s="425"/>
      <c r="M218" s="425"/>
      <c r="N218" s="425"/>
      <c r="O218" s="425"/>
      <c r="P218" s="425"/>
      <c r="Q218" s="42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  <c r="AD218" s="425"/>
      <c r="AE218" s="425"/>
      <c r="AF218" s="425"/>
      <c r="AG218" s="425"/>
    </row>
    <row r="219" ht="15.75" customHeight="1">
      <c r="A219" s="425"/>
      <c r="B219" s="425"/>
      <c r="C219" s="425"/>
      <c r="D219" s="425"/>
      <c r="E219" s="425"/>
      <c r="F219" s="425"/>
      <c r="G219" s="425"/>
      <c r="H219" s="425"/>
      <c r="I219" s="425"/>
      <c r="J219" s="425"/>
      <c r="K219" s="425"/>
      <c r="L219" s="425"/>
      <c r="M219" s="425"/>
      <c r="N219" s="425"/>
      <c r="O219" s="425"/>
      <c r="P219" s="425"/>
      <c r="Q219" s="425"/>
      <c r="R219" s="425"/>
      <c r="S219" s="425"/>
      <c r="T219" s="425"/>
      <c r="U219" s="425"/>
      <c r="V219" s="425"/>
      <c r="W219" s="425"/>
      <c r="X219" s="425"/>
      <c r="Y219" s="425"/>
      <c r="Z219" s="425"/>
      <c r="AA219" s="425"/>
      <c r="AB219" s="425"/>
      <c r="AC219" s="425"/>
      <c r="AD219" s="425"/>
      <c r="AE219" s="425"/>
      <c r="AF219" s="425"/>
      <c r="AG219" s="425"/>
    </row>
    <row r="220" ht="15.75" customHeight="1">
      <c r="A220" s="425"/>
      <c r="B220" s="425"/>
      <c r="C220" s="425"/>
      <c r="D220" s="425"/>
      <c r="E220" s="425"/>
      <c r="F220" s="425"/>
      <c r="G220" s="425"/>
      <c r="H220" s="425"/>
      <c r="I220" s="425"/>
      <c r="J220" s="425"/>
      <c r="K220" s="425"/>
      <c r="L220" s="425"/>
      <c r="M220" s="425"/>
      <c r="N220" s="425"/>
      <c r="O220" s="425"/>
      <c r="P220" s="425"/>
      <c r="Q220" s="425"/>
      <c r="R220" s="425"/>
      <c r="S220" s="425"/>
      <c r="T220" s="425"/>
      <c r="U220" s="425"/>
      <c r="V220" s="425"/>
      <c r="W220" s="425"/>
      <c r="X220" s="425"/>
      <c r="Y220" s="425"/>
      <c r="Z220" s="425"/>
      <c r="AA220" s="425"/>
      <c r="AB220" s="425"/>
      <c r="AC220" s="425"/>
      <c r="AD220" s="425"/>
      <c r="AE220" s="425"/>
      <c r="AF220" s="425"/>
      <c r="AG220" s="425"/>
    </row>
    <row r="221" ht="15.75" customHeight="1">
      <c r="A221" s="425"/>
      <c r="B221" s="425"/>
      <c r="C221" s="425"/>
      <c r="D221" s="425"/>
      <c r="E221" s="425"/>
      <c r="F221" s="425"/>
      <c r="G221" s="425"/>
      <c r="H221" s="425"/>
      <c r="I221" s="425"/>
      <c r="J221" s="425"/>
      <c r="K221" s="425"/>
      <c r="L221" s="425"/>
      <c r="M221" s="425"/>
      <c r="N221" s="425"/>
      <c r="O221" s="425"/>
      <c r="P221" s="425"/>
      <c r="Q221" s="425"/>
      <c r="R221" s="425"/>
      <c r="S221" s="425"/>
      <c r="T221" s="425"/>
      <c r="U221" s="425"/>
      <c r="V221" s="425"/>
      <c r="W221" s="425"/>
      <c r="X221" s="425"/>
      <c r="Y221" s="425"/>
      <c r="Z221" s="425"/>
      <c r="AA221" s="425"/>
      <c r="AB221" s="425"/>
      <c r="AC221" s="425"/>
      <c r="AD221" s="425"/>
      <c r="AE221" s="425"/>
      <c r="AF221" s="425"/>
      <c r="AG221" s="425"/>
    </row>
    <row r="222" ht="15.75" customHeight="1">
      <c r="A222" s="425"/>
      <c r="B222" s="425"/>
      <c r="C222" s="425"/>
      <c r="D222" s="425"/>
      <c r="E222" s="425"/>
      <c r="F222" s="425"/>
      <c r="G222" s="425"/>
      <c r="H222" s="425"/>
      <c r="I222" s="425"/>
      <c r="J222" s="425"/>
      <c r="K222" s="425"/>
      <c r="L222" s="425"/>
      <c r="M222" s="425"/>
      <c r="N222" s="425"/>
      <c r="O222" s="425"/>
      <c r="P222" s="425"/>
      <c r="Q222" s="425"/>
      <c r="R222" s="425"/>
      <c r="S222" s="425"/>
      <c r="T222" s="425"/>
      <c r="U222" s="425"/>
      <c r="V222" s="425"/>
      <c r="W222" s="425"/>
      <c r="X222" s="425"/>
      <c r="Y222" s="425"/>
      <c r="Z222" s="425"/>
      <c r="AA222" s="425"/>
      <c r="AB222" s="425"/>
      <c r="AC222" s="425"/>
      <c r="AD222" s="425"/>
      <c r="AE222" s="425"/>
      <c r="AF222" s="425"/>
      <c r="AG222" s="425"/>
    </row>
    <row r="223" ht="15.75" customHeight="1">
      <c r="A223" s="425"/>
      <c r="B223" s="425"/>
      <c r="C223" s="425"/>
      <c r="D223" s="425"/>
      <c r="E223" s="425"/>
      <c r="F223" s="425"/>
      <c r="G223" s="425"/>
      <c r="H223" s="425"/>
      <c r="I223" s="425"/>
      <c r="J223" s="425"/>
      <c r="K223" s="425"/>
      <c r="L223" s="425"/>
      <c r="M223" s="425"/>
      <c r="N223" s="425"/>
      <c r="O223" s="425"/>
      <c r="P223" s="425"/>
      <c r="Q223" s="425"/>
      <c r="R223" s="425"/>
      <c r="S223" s="425"/>
      <c r="T223" s="425"/>
      <c r="U223" s="425"/>
      <c r="V223" s="425"/>
      <c r="W223" s="425"/>
      <c r="X223" s="425"/>
      <c r="Y223" s="425"/>
      <c r="Z223" s="425"/>
      <c r="AA223" s="425"/>
      <c r="AB223" s="425"/>
      <c r="AC223" s="425"/>
      <c r="AD223" s="425"/>
      <c r="AE223" s="425"/>
      <c r="AF223" s="425"/>
      <c r="AG223" s="425"/>
    </row>
    <row r="224" ht="15.75" customHeight="1">
      <c r="A224" s="425"/>
      <c r="B224" s="425"/>
      <c r="C224" s="425"/>
      <c r="D224" s="425"/>
      <c r="E224" s="425"/>
      <c r="F224" s="425"/>
      <c r="G224" s="425"/>
      <c r="H224" s="425"/>
      <c r="I224" s="425"/>
      <c r="J224" s="425"/>
      <c r="K224" s="425"/>
      <c r="L224" s="425"/>
      <c r="M224" s="425"/>
      <c r="N224" s="425"/>
      <c r="O224" s="425"/>
      <c r="P224" s="425"/>
      <c r="Q224" s="425"/>
      <c r="R224" s="425"/>
      <c r="S224" s="425"/>
      <c r="T224" s="425"/>
      <c r="U224" s="425"/>
      <c r="V224" s="425"/>
      <c r="W224" s="425"/>
      <c r="X224" s="425"/>
      <c r="Y224" s="425"/>
      <c r="Z224" s="425"/>
      <c r="AA224" s="425"/>
      <c r="AB224" s="425"/>
      <c r="AC224" s="425"/>
      <c r="AD224" s="425"/>
      <c r="AE224" s="425"/>
      <c r="AF224" s="425"/>
      <c r="AG224" s="425"/>
    </row>
    <row r="225" ht="15.75" customHeight="1">
      <c r="A225" s="425"/>
      <c r="B225" s="425"/>
      <c r="C225" s="425"/>
      <c r="D225" s="425"/>
      <c r="E225" s="425"/>
      <c r="F225" s="425"/>
      <c r="G225" s="425"/>
      <c r="H225" s="425"/>
      <c r="I225" s="425"/>
      <c r="J225" s="425"/>
      <c r="K225" s="425"/>
      <c r="L225" s="425"/>
      <c r="M225" s="425"/>
      <c r="N225" s="425"/>
      <c r="O225" s="425"/>
      <c r="P225" s="425"/>
      <c r="Q225" s="425"/>
      <c r="R225" s="425"/>
      <c r="S225" s="425"/>
      <c r="T225" s="425"/>
      <c r="U225" s="425"/>
      <c r="V225" s="425"/>
      <c r="W225" s="425"/>
      <c r="X225" s="425"/>
      <c r="Y225" s="425"/>
      <c r="Z225" s="425"/>
      <c r="AA225" s="425"/>
      <c r="AB225" s="425"/>
      <c r="AC225" s="425"/>
      <c r="AD225" s="425"/>
      <c r="AE225" s="425"/>
      <c r="AF225" s="425"/>
      <c r="AG225" s="425"/>
    </row>
    <row r="226" ht="15.75" customHeight="1">
      <c r="A226" s="425"/>
      <c r="B226" s="425"/>
      <c r="C226" s="425"/>
      <c r="D226" s="425"/>
      <c r="E226" s="425"/>
      <c r="F226" s="425"/>
      <c r="G226" s="425"/>
      <c r="H226" s="425"/>
      <c r="I226" s="425"/>
      <c r="J226" s="425"/>
      <c r="K226" s="425"/>
      <c r="L226" s="425"/>
      <c r="M226" s="425"/>
      <c r="N226" s="425"/>
      <c r="O226" s="425"/>
      <c r="P226" s="425"/>
      <c r="Q226" s="425"/>
      <c r="R226" s="425"/>
      <c r="S226" s="425"/>
      <c r="T226" s="425"/>
      <c r="U226" s="425"/>
      <c r="V226" s="425"/>
      <c r="W226" s="425"/>
      <c r="X226" s="425"/>
      <c r="Y226" s="425"/>
      <c r="Z226" s="425"/>
      <c r="AA226" s="425"/>
      <c r="AB226" s="425"/>
      <c r="AC226" s="425"/>
      <c r="AD226" s="425"/>
      <c r="AE226" s="425"/>
      <c r="AF226" s="425"/>
      <c r="AG226" s="425"/>
    </row>
    <row r="227" ht="15.75" customHeight="1">
      <c r="A227" s="425"/>
      <c r="B227" s="425"/>
      <c r="C227" s="425"/>
      <c r="D227" s="425"/>
      <c r="E227" s="425"/>
      <c r="F227" s="425"/>
      <c r="G227" s="425"/>
      <c r="H227" s="425"/>
      <c r="I227" s="425"/>
      <c r="J227" s="425"/>
      <c r="K227" s="425"/>
      <c r="L227" s="425"/>
      <c r="M227" s="425"/>
      <c r="N227" s="425"/>
      <c r="O227" s="425"/>
      <c r="P227" s="425"/>
      <c r="Q227" s="425"/>
      <c r="R227" s="425"/>
      <c r="S227" s="425"/>
      <c r="T227" s="425"/>
      <c r="U227" s="425"/>
      <c r="V227" s="425"/>
      <c r="W227" s="425"/>
      <c r="X227" s="425"/>
      <c r="Y227" s="425"/>
      <c r="Z227" s="425"/>
      <c r="AA227" s="425"/>
      <c r="AB227" s="425"/>
      <c r="AC227" s="425"/>
      <c r="AD227" s="425"/>
      <c r="AE227" s="425"/>
      <c r="AF227" s="425"/>
      <c r="AG227" s="425"/>
    </row>
    <row r="228" ht="15.75" customHeight="1">
      <c r="A228" s="425"/>
      <c r="B228" s="425"/>
      <c r="C228" s="425"/>
      <c r="D228" s="425"/>
      <c r="E228" s="425"/>
      <c r="F228" s="425"/>
      <c r="G228" s="425"/>
      <c r="H228" s="425"/>
      <c r="I228" s="425"/>
      <c r="J228" s="425"/>
      <c r="K228" s="425"/>
      <c r="L228" s="425"/>
      <c r="M228" s="425"/>
      <c r="N228" s="425"/>
      <c r="O228" s="425"/>
      <c r="P228" s="425"/>
      <c r="Q228" s="425"/>
      <c r="R228" s="425"/>
      <c r="S228" s="425"/>
      <c r="T228" s="425"/>
      <c r="U228" s="425"/>
      <c r="V228" s="425"/>
      <c r="W228" s="425"/>
      <c r="X228" s="425"/>
      <c r="Y228" s="425"/>
      <c r="Z228" s="425"/>
      <c r="AA228" s="425"/>
      <c r="AB228" s="425"/>
      <c r="AC228" s="425"/>
      <c r="AD228" s="425"/>
      <c r="AE228" s="425"/>
      <c r="AF228" s="425"/>
      <c r="AG228" s="425"/>
    </row>
    <row r="229" ht="15.75" customHeight="1">
      <c r="A229" s="425"/>
      <c r="B229" s="425"/>
      <c r="C229" s="425"/>
      <c r="D229" s="425"/>
      <c r="E229" s="425"/>
      <c r="F229" s="425"/>
      <c r="G229" s="425"/>
      <c r="H229" s="425"/>
      <c r="I229" s="425"/>
      <c r="J229" s="425"/>
      <c r="K229" s="425"/>
      <c r="L229" s="425"/>
      <c r="M229" s="425"/>
      <c r="N229" s="425"/>
      <c r="O229" s="425"/>
      <c r="P229" s="425"/>
      <c r="Q229" s="425"/>
      <c r="R229" s="425"/>
      <c r="S229" s="425"/>
      <c r="T229" s="425"/>
      <c r="U229" s="425"/>
      <c r="V229" s="425"/>
      <c r="W229" s="425"/>
      <c r="X229" s="425"/>
      <c r="Y229" s="425"/>
      <c r="Z229" s="425"/>
      <c r="AA229" s="425"/>
      <c r="AB229" s="425"/>
      <c r="AC229" s="425"/>
      <c r="AD229" s="425"/>
      <c r="AE229" s="425"/>
      <c r="AF229" s="425"/>
      <c r="AG229" s="425"/>
    </row>
    <row r="230" ht="15.75" customHeight="1">
      <c r="A230" s="425"/>
      <c r="B230" s="425"/>
      <c r="C230" s="425"/>
      <c r="D230" s="425"/>
      <c r="E230" s="425"/>
      <c r="F230" s="425"/>
      <c r="G230" s="425"/>
      <c r="H230" s="425"/>
      <c r="I230" s="425"/>
      <c r="J230" s="425"/>
      <c r="K230" s="425"/>
      <c r="L230" s="425"/>
      <c r="M230" s="425"/>
      <c r="N230" s="425"/>
      <c r="O230" s="425"/>
      <c r="P230" s="425"/>
      <c r="Q230" s="425"/>
      <c r="R230" s="425"/>
      <c r="S230" s="425"/>
      <c r="T230" s="425"/>
      <c r="U230" s="425"/>
      <c r="V230" s="425"/>
      <c r="W230" s="425"/>
      <c r="X230" s="425"/>
      <c r="Y230" s="425"/>
      <c r="Z230" s="425"/>
      <c r="AA230" s="425"/>
      <c r="AB230" s="425"/>
      <c r="AC230" s="425"/>
      <c r="AD230" s="425"/>
      <c r="AE230" s="425"/>
      <c r="AF230" s="425"/>
      <c r="AG230" s="425"/>
    </row>
    <row r="231" ht="15.75" customHeight="1">
      <c r="A231" s="425"/>
      <c r="B231" s="425"/>
      <c r="C231" s="425"/>
      <c r="D231" s="425"/>
      <c r="E231" s="425"/>
      <c r="F231" s="425"/>
      <c r="G231" s="425"/>
      <c r="H231" s="425"/>
      <c r="I231" s="425"/>
      <c r="J231" s="425"/>
      <c r="K231" s="425"/>
      <c r="L231" s="425"/>
      <c r="M231" s="425"/>
      <c r="N231" s="425"/>
      <c r="O231" s="425"/>
      <c r="P231" s="425"/>
      <c r="Q231" s="425"/>
      <c r="R231" s="425"/>
      <c r="S231" s="425"/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  <c r="AD231" s="425"/>
      <c r="AE231" s="425"/>
      <c r="AF231" s="425"/>
      <c r="AG231" s="425"/>
    </row>
    <row r="232" ht="15.75" customHeight="1">
      <c r="A232" s="425"/>
      <c r="B232" s="425"/>
      <c r="C232" s="425"/>
      <c r="D232" s="425"/>
      <c r="E232" s="425"/>
      <c r="F232" s="425"/>
      <c r="G232" s="425"/>
      <c r="H232" s="425"/>
      <c r="I232" s="425"/>
      <c r="J232" s="425"/>
      <c r="K232" s="425"/>
      <c r="L232" s="425"/>
      <c r="M232" s="425"/>
      <c r="N232" s="425"/>
      <c r="O232" s="425"/>
      <c r="P232" s="425"/>
      <c r="Q232" s="425"/>
      <c r="R232" s="425"/>
      <c r="S232" s="425"/>
      <c r="T232" s="425"/>
      <c r="U232" s="425"/>
      <c r="V232" s="425"/>
      <c r="W232" s="425"/>
      <c r="X232" s="425"/>
      <c r="Y232" s="425"/>
      <c r="Z232" s="425"/>
      <c r="AA232" s="425"/>
      <c r="AB232" s="425"/>
      <c r="AC232" s="425"/>
      <c r="AD232" s="425"/>
      <c r="AE232" s="425"/>
      <c r="AF232" s="425"/>
      <c r="AG232" s="425"/>
    </row>
    <row r="233" ht="15.75" customHeight="1">
      <c r="A233" s="425"/>
      <c r="B233" s="425"/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  <c r="P233" s="425"/>
      <c r="Q233" s="425"/>
      <c r="R233" s="425"/>
      <c r="S233" s="425"/>
      <c r="T233" s="425"/>
      <c r="U233" s="425"/>
      <c r="V233" s="425"/>
      <c r="W233" s="425"/>
      <c r="X233" s="425"/>
      <c r="Y233" s="425"/>
      <c r="Z233" s="425"/>
      <c r="AA233" s="425"/>
      <c r="AB233" s="425"/>
      <c r="AC233" s="425"/>
      <c r="AD233" s="425"/>
      <c r="AE233" s="425"/>
      <c r="AF233" s="425"/>
      <c r="AG233" s="425"/>
    </row>
    <row r="234" ht="15.75" customHeight="1">
      <c r="A234" s="425"/>
      <c r="B234" s="425"/>
      <c r="C234" s="425"/>
      <c r="D234" s="425"/>
      <c r="E234" s="425"/>
      <c r="F234" s="425"/>
      <c r="G234" s="425"/>
      <c r="H234" s="425"/>
      <c r="I234" s="425"/>
      <c r="J234" s="425"/>
      <c r="K234" s="425"/>
      <c r="L234" s="425"/>
      <c r="M234" s="425"/>
      <c r="N234" s="425"/>
      <c r="O234" s="425"/>
      <c r="P234" s="425"/>
      <c r="Q234" s="425"/>
      <c r="R234" s="425"/>
      <c r="S234" s="425"/>
      <c r="T234" s="425"/>
      <c r="U234" s="425"/>
      <c r="V234" s="425"/>
      <c r="W234" s="425"/>
      <c r="X234" s="425"/>
      <c r="Y234" s="425"/>
      <c r="Z234" s="425"/>
      <c r="AA234" s="425"/>
      <c r="AB234" s="425"/>
      <c r="AC234" s="425"/>
      <c r="AD234" s="425"/>
      <c r="AE234" s="425"/>
      <c r="AF234" s="425"/>
      <c r="AG234" s="425"/>
    </row>
    <row r="235" ht="15.75" customHeight="1">
      <c r="A235" s="425"/>
      <c r="B235" s="425"/>
      <c r="C235" s="425"/>
      <c r="D235" s="425"/>
      <c r="E235" s="425"/>
      <c r="F235" s="425"/>
      <c r="G235" s="425"/>
      <c r="H235" s="425"/>
      <c r="I235" s="425"/>
      <c r="J235" s="425"/>
      <c r="K235" s="425"/>
      <c r="L235" s="425"/>
      <c r="M235" s="425"/>
      <c r="N235" s="425"/>
      <c r="O235" s="425"/>
      <c r="P235" s="425"/>
      <c r="Q235" s="425"/>
      <c r="R235" s="425"/>
      <c r="S235" s="425"/>
      <c r="T235" s="425"/>
      <c r="U235" s="425"/>
      <c r="V235" s="425"/>
      <c r="W235" s="425"/>
      <c r="X235" s="425"/>
      <c r="Y235" s="425"/>
      <c r="Z235" s="425"/>
      <c r="AA235" s="425"/>
      <c r="AB235" s="425"/>
      <c r="AC235" s="425"/>
      <c r="AD235" s="425"/>
      <c r="AE235" s="425"/>
      <c r="AF235" s="425"/>
      <c r="AG235" s="425"/>
    </row>
    <row r="236" ht="15.75" customHeight="1">
      <c r="A236" s="425"/>
      <c r="B236" s="425"/>
      <c r="C236" s="425"/>
      <c r="D236" s="425"/>
      <c r="E236" s="425"/>
      <c r="F236" s="425"/>
      <c r="G236" s="425"/>
      <c r="H236" s="425"/>
      <c r="I236" s="425"/>
      <c r="J236" s="425"/>
      <c r="K236" s="425"/>
      <c r="L236" s="425"/>
      <c r="M236" s="425"/>
      <c r="N236" s="425"/>
      <c r="O236" s="425"/>
      <c r="P236" s="425"/>
      <c r="Q236" s="425"/>
      <c r="R236" s="425"/>
      <c r="S236" s="425"/>
      <c r="T236" s="425"/>
      <c r="U236" s="425"/>
      <c r="V236" s="425"/>
      <c r="W236" s="425"/>
      <c r="X236" s="425"/>
      <c r="Y236" s="425"/>
      <c r="Z236" s="425"/>
      <c r="AA236" s="425"/>
      <c r="AB236" s="425"/>
      <c r="AC236" s="425"/>
      <c r="AD236" s="425"/>
      <c r="AE236" s="425"/>
      <c r="AF236" s="425"/>
      <c r="AG236" s="425"/>
    </row>
    <row r="237" ht="15.75" customHeight="1">
      <c r="A237" s="425"/>
      <c r="B237" s="425"/>
      <c r="C237" s="425"/>
      <c r="D237" s="425"/>
      <c r="E237" s="425"/>
      <c r="F237" s="425"/>
      <c r="G237" s="425"/>
      <c r="H237" s="425"/>
      <c r="I237" s="425"/>
      <c r="J237" s="425"/>
      <c r="K237" s="425"/>
      <c r="L237" s="425"/>
      <c r="M237" s="425"/>
      <c r="N237" s="425"/>
      <c r="O237" s="425"/>
      <c r="P237" s="425"/>
      <c r="Q237" s="425"/>
      <c r="R237" s="425"/>
      <c r="S237" s="425"/>
      <c r="T237" s="425"/>
      <c r="U237" s="425"/>
      <c r="V237" s="425"/>
      <c r="W237" s="425"/>
      <c r="X237" s="425"/>
      <c r="Y237" s="425"/>
      <c r="Z237" s="425"/>
      <c r="AA237" s="425"/>
      <c r="AB237" s="425"/>
      <c r="AC237" s="425"/>
      <c r="AD237" s="425"/>
      <c r="AE237" s="425"/>
      <c r="AF237" s="425"/>
      <c r="AG237" s="425"/>
    </row>
    <row r="238" ht="15.75" customHeight="1">
      <c r="A238" s="425"/>
      <c r="B238" s="425"/>
      <c r="C238" s="425"/>
      <c r="D238" s="425"/>
      <c r="E238" s="425"/>
      <c r="F238" s="425"/>
      <c r="G238" s="425"/>
      <c r="H238" s="425"/>
      <c r="I238" s="425"/>
      <c r="J238" s="425"/>
      <c r="K238" s="425"/>
      <c r="L238" s="425"/>
      <c r="M238" s="425"/>
      <c r="N238" s="425"/>
      <c r="O238" s="425"/>
      <c r="P238" s="425"/>
      <c r="Q238" s="425"/>
      <c r="R238" s="425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5"/>
      <c r="AC238" s="425"/>
      <c r="AD238" s="425"/>
      <c r="AE238" s="425"/>
      <c r="AF238" s="425"/>
      <c r="AG238" s="425"/>
    </row>
    <row r="239" ht="15.75" customHeight="1">
      <c r="A239" s="425"/>
      <c r="B239" s="425"/>
      <c r="C239" s="425"/>
      <c r="D239" s="425"/>
      <c r="E239" s="425"/>
      <c r="F239" s="425"/>
      <c r="G239" s="425"/>
      <c r="H239" s="425"/>
      <c r="I239" s="425"/>
      <c r="J239" s="425"/>
      <c r="K239" s="425"/>
      <c r="L239" s="425"/>
      <c r="M239" s="425"/>
      <c r="N239" s="425"/>
      <c r="O239" s="425"/>
      <c r="P239" s="425"/>
      <c r="Q239" s="425"/>
      <c r="R239" s="425"/>
      <c r="S239" s="425"/>
      <c r="T239" s="425"/>
      <c r="U239" s="425"/>
      <c r="V239" s="425"/>
      <c r="W239" s="425"/>
      <c r="X239" s="425"/>
      <c r="Y239" s="425"/>
      <c r="Z239" s="425"/>
      <c r="AA239" s="425"/>
      <c r="AB239" s="425"/>
      <c r="AC239" s="425"/>
      <c r="AD239" s="425"/>
      <c r="AE239" s="425"/>
      <c r="AF239" s="425"/>
      <c r="AG239" s="425"/>
    </row>
    <row r="240" ht="15.75" customHeight="1">
      <c r="A240" s="425"/>
      <c r="B240" s="425"/>
      <c r="C240" s="425"/>
      <c r="D240" s="425"/>
      <c r="E240" s="425"/>
      <c r="F240" s="425"/>
      <c r="G240" s="425"/>
      <c r="H240" s="425"/>
      <c r="I240" s="425"/>
      <c r="J240" s="425"/>
      <c r="K240" s="425"/>
      <c r="L240" s="425"/>
      <c r="M240" s="425"/>
      <c r="N240" s="425"/>
      <c r="O240" s="425"/>
      <c r="P240" s="425"/>
      <c r="Q240" s="425"/>
      <c r="R240" s="425"/>
      <c r="S240" s="425"/>
      <c r="T240" s="425"/>
      <c r="U240" s="425"/>
      <c r="V240" s="425"/>
      <c r="W240" s="425"/>
      <c r="X240" s="425"/>
      <c r="Y240" s="425"/>
      <c r="Z240" s="425"/>
      <c r="AA240" s="425"/>
      <c r="AB240" s="425"/>
      <c r="AC240" s="425"/>
      <c r="AD240" s="425"/>
      <c r="AE240" s="425"/>
      <c r="AF240" s="425"/>
      <c r="AG240" s="425"/>
    </row>
    <row r="241" ht="15.75" customHeight="1">
      <c r="A241" s="425"/>
      <c r="B241" s="425"/>
      <c r="C241" s="425"/>
      <c r="D241" s="425"/>
      <c r="E241" s="425"/>
      <c r="F241" s="425"/>
      <c r="G241" s="425"/>
      <c r="H241" s="425"/>
      <c r="I241" s="425"/>
      <c r="J241" s="425"/>
      <c r="K241" s="425"/>
      <c r="L241" s="425"/>
      <c r="M241" s="425"/>
      <c r="N241" s="425"/>
      <c r="O241" s="425"/>
      <c r="P241" s="425"/>
      <c r="Q241" s="425"/>
      <c r="R241" s="425"/>
      <c r="S241" s="425"/>
      <c r="T241" s="425"/>
      <c r="U241" s="425"/>
      <c r="V241" s="425"/>
      <c r="W241" s="425"/>
      <c r="X241" s="425"/>
      <c r="Y241" s="425"/>
      <c r="Z241" s="425"/>
      <c r="AA241" s="425"/>
      <c r="AB241" s="425"/>
      <c r="AC241" s="425"/>
      <c r="AD241" s="425"/>
      <c r="AE241" s="425"/>
      <c r="AF241" s="425"/>
      <c r="AG241" s="425"/>
    </row>
    <row r="242" ht="15.75" customHeight="1">
      <c r="A242" s="425"/>
      <c r="B242" s="425"/>
      <c r="C242" s="425"/>
      <c r="D242" s="425"/>
      <c r="E242" s="425"/>
      <c r="F242" s="425"/>
      <c r="G242" s="425"/>
      <c r="H242" s="425"/>
      <c r="I242" s="425"/>
      <c r="J242" s="425"/>
      <c r="K242" s="425"/>
      <c r="L242" s="425"/>
      <c r="M242" s="425"/>
      <c r="N242" s="425"/>
      <c r="O242" s="425"/>
      <c r="P242" s="425"/>
      <c r="Q242" s="425"/>
      <c r="R242" s="425"/>
      <c r="S242" s="425"/>
      <c r="T242" s="425"/>
      <c r="U242" s="425"/>
      <c r="V242" s="425"/>
      <c r="W242" s="425"/>
      <c r="X242" s="425"/>
      <c r="Y242" s="425"/>
      <c r="Z242" s="425"/>
      <c r="AA242" s="425"/>
      <c r="AB242" s="425"/>
      <c r="AC242" s="425"/>
      <c r="AD242" s="425"/>
      <c r="AE242" s="425"/>
      <c r="AF242" s="425"/>
      <c r="AG242" s="425"/>
    </row>
    <row r="243" ht="15.75" customHeight="1">
      <c r="A243" s="425"/>
      <c r="B243" s="425"/>
      <c r="C243" s="425"/>
      <c r="D243" s="425"/>
      <c r="E243" s="425"/>
      <c r="F243" s="425"/>
      <c r="G243" s="425"/>
      <c r="H243" s="425"/>
      <c r="I243" s="425"/>
      <c r="J243" s="425"/>
      <c r="K243" s="425"/>
      <c r="L243" s="425"/>
      <c r="M243" s="425"/>
      <c r="N243" s="425"/>
      <c r="O243" s="425"/>
      <c r="P243" s="425"/>
      <c r="Q243" s="425"/>
      <c r="R243" s="425"/>
      <c r="S243" s="425"/>
      <c r="T243" s="425"/>
      <c r="U243" s="425"/>
      <c r="V243" s="425"/>
      <c r="W243" s="425"/>
      <c r="X243" s="425"/>
      <c r="Y243" s="425"/>
      <c r="Z243" s="425"/>
      <c r="AA243" s="425"/>
      <c r="AB243" s="425"/>
      <c r="AC243" s="425"/>
      <c r="AD243" s="425"/>
      <c r="AE243" s="425"/>
      <c r="AF243" s="425"/>
      <c r="AG243" s="425"/>
    </row>
    <row r="244" ht="15.75" customHeight="1">
      <c r="A244" s="425"/>
      <c r="B244" s="425"/>
      <c r="C244" s="425"/>
      <c r="D244" s="425"/>
      <c r="E244" s="425"/>
      <c r="F244" s="425"/>
      <c r="G244" s="425"/>
      <c r="H244" s="425"/>
      <c r="I244" s="425"/>
      <c r="J244" s="425"/>
      <c r="K244" s="425"/>
      <c r="L244" s="425"/>
      <c r="M244" s="425"/>
      <c r="N244" s="425"/>
      <c r="O244" s="425"/>
      <c r="P244" s="425"/>
      <c r="Q244" s="425"/>
      <c r="R244" s="425"/>
      <c r="S244" s="425"/>
      <c r="T244" s="425"/>
      <c r="U244" s="425"/>
      <c r="V244" s="425"/>
      <c r="W244" s="425"/>
      <c r="X244" s="425"/>
      <c r="Y244" s="425"/>
      <c r="Z244" s="425"/>
      <c r="AA244" s="425"/>
      <c r="AB244" s="425"/>
      <c r="AC244" s="425"/>
      <c r="AD244" s="425"/>
      <c r="AE244" s="425"/>
      <c r="AF244" s="425"/>
      <c r="AG244" s="425"/>
    </row>
    <row r="245" ht="15.75" customHeight="1">
      <c r="A245" s="425"/>
      <c r="B245" s="425"/>
      <c r="C245" s="425"/>
      <c r="D245" s="425"/>
      <c r="E245" s="425"/>
      <c r="F245" s="425"/>
      <c r="G245" s="425"/>
      <c r="H245" s="425"/>
      <c r="I245" s="425"/>
      <c r="J245" s="425"/>
      <c r="K245" s="425"/>
      <c r="L245" s="425"/>
      <c r="M245" s="425"/>
      <c r="N245" s="425"/>
      <c r="O245" s="425"/>
      <c r="P245" s="425"/>
      <c r="Q245" s="425"/>
      <c r="R245" s="425"/>
      <c r="S245" s="425"/>
      <c r="T245" s="425"/>
      <c r="U245" s="425"/>
      <c r="V245" s="425"/>
      <c r="W245" s="425"/>
      <c r="X245" s="425"/>
      <c r="Y245" s="425"/>
      <c r="Z245" s="425"/>
      <c r="AA245" s="425"/>
      <c r="AB245" s="425"/>
      <c r="AC245" s="425"/>
      <c r="AD245" s="425"/>
      <c r="AE245" s="425"/>
      <c r="AF245" s="425"/>
      <c r="AG245" s="425"/>
    </row>
    <row r="246" ht="15.75" customHeight="1">
      <c r="A246" s="425"/>
      <c r="B246" s="425"/>
      <c r="C246" s="425"/>
      <c r="D246" s="425"/>
      <c r="E246" s="425"/>
      <c r="F246" s="425"/>
      <c r="G246" s="425"/>
      <c r="H246" s="425"/>
      <c r="I246" s="425"/>
      <c r="J246" s="425"/>
      <c r="K246" s="425"/>
      <c r="L246" s="425"/>
      <c r="M246" s="425"/>
      <c r="N246" s="425"/>
      <c r="O246" s="425"/>
      <c r="P246" s="425"/>
      <c r="Q246" s="425"/>
      <c r="R246" s="425"/>
      <c r="S246" s="425"/>
      <c r="T246" s="425"/>
      <c r="U246" s="425"/>
      <c r="V246" s="425"/>
      <c r="W246" s="425"/>
      <c r="X246" s="425"/>
      <c r="Y246" s="425"/>
      <c r="Z246" s="425"/>
      <c r="AA246" s="425"/>
      <c r="AB246" s="425"/>
      <c r="AC246" s="425"/>
      <c r="AD246" s="425"/>
      <c r="AE246" s="425"/>
      <c r="AF246" s="425"/>
      <c r="AG246" s="425"/>
    </row>
    <row r="247" ht="15.75" customHeight="1">
      <c r="A247" s="425"/>
      <c r="B247" s="425"/>
      <c r="C247" s="425"/>
      <c r="D247" s="425"/>
      <c r="E247" s="425"/>
      <c r="F247" s="425"/>
      <c r="G247" s="425"/>
      <c r="H247" s="425"/>
      <c r="I247" s="425"/>
      <c r="J247" s="425"/>
      <c r="K247" s="425"/>
      <c r="L247" s="425"/>
      <c r="M247" s="425"/>
      <c r="N247" s="425"/>
      <c r="O247" s="425"/>
      <c r="P247" s="425"/>
      <c r="Q247" s="425"/>
      <c r="R247" s="425"/>
      <c r="S247" s="425"/>
      <c r="T247" s="425"/>
      <c r="U247" s="425"/>
      <c r="V247" s="425"/>
      <c r="W247" s="425"/>
      <c r="X247" s="425"/>
      <c r="Y247" s="425"/>
      <c r="Z247" s="425"/>
      <c r="AA247" s="425"/>
      <c r="AB247" s="425"/>
      <c r="AC247" s="425"/>
      <c r="AD247" s="425"/>
      <c r="AE247" s="425"/>
      <c r="AF247" s="425"/>
      <c r="AG247" s="425"/>
    </row>
    <row r="248" ht="15.75" customHeight="1">
      <c r="A248" s="425"/>
      <c r="B248" s="425"/>
      <c r="C248" s="425"/>
      <c r="D248" s="425"/>
      <c r="E248" s="425"/>
      <c r="F248" s="425"/>
      <c r="G248" s="425"/>
      <c r="H248" s="425"/>
      <c r="I248" s="425"/>
      <c r="J248" s="425"/>
      <c r="K248" s="425"/>
      <c r="L248" s="425"/>
      <c r="M248" s="425"/>
      <c r="N248" s="425"/>
      <c r="O248" s="425"/>
      <c r="P248" s="425"/>
      <c r="Q248" s="425"/>
      <c r="R248" s="425"/>
      <c r="S248" s="425"/>
      <c r="T248" s="425"/>
      <c r="U248" s="425"/>
      <c r="V248" s="425"/>
      <c r="W248" s="425"/>
      <c r="X248" s="425"/>
      <c r="Y248" s="425"/>
      <c r="Z248" s="425"/>
      <c r="AA248" s="425"/>
      <c r="AB248" s="425"/>
      <c r="AC248" s="425"/>
      <c r="AD248" s="425"/>
      <c r="AE248" s="425"/>
      <c r="AF248" s="425"/>
      <c r="AG248" s="425"/>
    </row>
    <row r="249" ht="15.75" customHeight="1">
      <c r="A249" s="425"/>
      <c r="B249" s="425"/>
      <c r="C249" s="425"/>
      <c r="D249" s="425"/>
      <c r="E249" s="425"/>
      <c r="F249" s="425"/>
      <c r="G249" s="425"/>
      <c r="H249" s="425"/>
      <c r="I249" s="425"/>
      <c r="J249" s="425"/>
      <c r="K249" s="425"/>
      <c r="L249" s="425"/>
      <c r="M249" s="425"/>
      <c r="N249" s="425"/>
      <c r="O249" s="425"/>
      <c r="P249" s="425"/>
      <c r="Q249" s="425"/>
      <c r="R249" s="425"/>
      <c r="S249" s="425"/>
      <c r="T249" s="425"/>
      <c r="U249" s="425"/>
      <c r="V249" s="425"/>
      <c r="W249" s="425"/>
      <c r="X249" s="425"/>
      <c r="Y249" s="425"/>
      <c r="Z249" s="425"/>
      <c r="AA249" s="425"/>
      <c r="AB249" s="425"/>
      <c r="AC249" s="425"/>
      <c r="AD249" s="425"/>
      <c r="AE249" s="425"/>
      <c r="AF249" s="425"/>
      <c r="AG249" s="425"/>
    </row>
    <row r="250" ht="15.75" customHeight="1">
      <c r="A250" s="425"/>
      <c r="B250" s="425"/>
      <c r="C250" s="425"/>
      <c r="D250" s="425"/>
      <c r="E250" s="425"/>
      <c r="F250" s="425"/>
      <c r="G250" s="425"/>
      <c r="H250" s="425"/>
      <c r="I250" s="425"/>
      <c r="J250" s="425"/>
      <c r="K250" s="425"/>
      <c r="L250" s="425"/>
      <c r="M250" s="425"/>
      <c r="N250" s="425"/>
      <c r="O250" s="425"/>
      <c r="P250" s="425"/>
      <c r="Q250" s="425"/>
      <c r="R250" s="425"/>
      <c r="S250" s="425"/>
      <c r="T250" s="425"/>
      <c r="U250" s="425"/>
      <c r="V250" s="425"/>
      <c r="W250" s="425"/>
      <c r="X250" s="425"/>
      <c r="Y250" s="425"/>
      <c r="Z250" s="425"/>
      <c r="AA250" s="425"/>
      <c r="AB250" s="425"/>
      <c r="AC250" s="425"/>
      <c r="AD250" s="425"/>
      <c r="AE250" s="425"/>
      <c r="AF250" s="425"/>
      <c r="AG250" s="425"/>
    </row>
    <row r="251" ht="15.75" customHeight="1">
      <c r="A251" s="425"/>
      <c r="B251" s="425"/>
      <c r="C251" s="425"/>
      <c r="D251" s="425"/>
      <c r="E251" s="425"/>
      <c r="F251" s="425"/>
      <c r="G251" s="425"/>
      <c r="H251" s="425"/>
      <c r="I251" s="425"/>
      <c r="J251" s="425"/>
      <c r="K251" s="425"/>
      <c r="L251" s="425"/>
      <c r="M251" s="425"/>
      <c r="N251" s="425"/>
      <c r="O251" s="425"/>
      <c r="P251" s="425"/>
      <c r="Q251" s="425"/>
      <c r="R251" s="425"/>
      <c r="S251" s="425"/>
      <c r="T251" s="425"/>
      <c r="U251" s="425"/>
      <c r="V251" s="425"/>
      <c r="W251" s="425"/>
      <c r="X251" s="425"/>
      <c r="Y251" s="425"/>
      <c r="Z251" s="425"/>
      <c r="AA251" s="425"/>
      <c r="AB251" s="425"/>
      <c r="AC251" s="425"/>
      <c r="AD251" s="425"/>
      <c r="AE251" s="425"/>
      <c r="AF251" s="425"/>
      <c r="AG251" s="425"/>
    </row>
    <row r="252" ht="15.75" customHeight="1">
      <c r="A252" s="425"/>
      <c r="B252" s="425"/>
      <c r="C252" s="425"/>
      <c r="D252" s="425"/>
      <c r="E252" s="425"/>
      <c r="F252" s="425"/>
      <c r="G252" s="425"/>
      <c r="H252" s="425"/>
      <c r="I252" s="425"/>
      <c r="J252" s="425"/>
      <c r="K252" s="425"/>
      <c r="L252" s="425"/>
      <c r="M252" s="425"/>
      <c r="N252" s="425"/>
      <c r="O252" s="425"/>
      <c r="P252" s="425"/>
      <c r="Q252" s="425"/>
      <c r="R252" s="425"/>
      <c r="S252" s="425"/>
      <c r="T252" s="425"/>
      <c r="U252" s="425"/>
      <c r="V252" s="425"/>
      <c r="W252" s="425"/>
      <c r="X252" s="425"/>
      <c r="Y252" s="425"/>
      <c r="Z252" s="425"/>
      <c r="AA252" s="425"/>
      <c r="AB252" s="425"/>
      <c r="AC252" s="425"/>
      <c r="AD252" s="425"/>
      <c r="AE252" s="425"/>
      <c r="AF252" s="425"/>
      <c r="AG252" s="425"/>
    </row>
    <row r="253" ht="15.75" customHeight="1">
      <c r="A253" s="425"/>
      <c r="B253" s="425"/>
      <c r="C253" s="425"/>
      <c r="D253" s="425"/>
      <c r="E253" s="425"/>
      <c r="F253" s="425"/>
      <c r="G253" s="425"/>
      <c r="H253" s="425"/>
      <c r="I253" s="425"/>
      <c r="J253" s="425"/>
      <c r="K253" s="425"/>
      <c r="L253" s="425"/>
      <c r="M253" s="425"/>
      <c r="N253" s="425"/>
      <c r="O253" s="425"/>
      <c r="P253" s="425"/>
      <c r="Q253" s="425"/>
      <c r="R253" s="425"/>
      <c r="S253" s="425"/>
      <c r="T253" s="425"/>
      <c r="U253" s="425"/>
      <c r="V253" s="425"/>
      <c r="W253" s="425"/>
      <c r="X253" s="425"/>
      <c r="Y253" s="425"/>
      <c r="Z253" s="425"/>
      <c r="AA253" s="425"/>
      <c r="AB253" s="425"/>
      <c r="AC253" s="425"/>
      <c r="AD253" s="425"/>
      <c r="AE253" s="425"/>
      <c r="AF253" s="425"/>
      <c r="AG253" s="425"/>
    </row>
    <row r="254" ht="15.75" customHeight="1">
      <c r="A254" s="425"/>
      <c r="B254" s="425"/>
      <c r="C254" s="425"/>
      <c r="D254" s="425"/>
      <c r="E254" s="425"/>
      <c r="F254" s="425"/>
      <c r="G254" s="425"/>
      <c r="H254" s="425"/>
      <c r="I254" s="425"/>
      <c r="J254" s="425"/>
      <c r="K254" s="425"/>
      <c r="L254" s="425"/>
      <c r="M254" s="425"/>
      <c r="N254" s="425"/>
      <c r="O254" s="425"/>
      <c r="P254" s="425"/>
      <c r="Q254" s="425"/>
      <c r="R254" s="425"/>
      <c r="S254" s="425"/>
      <c r="T254" s="425"/>
      <c r="U254" s="425"/>
      <c r="V254" s="425"/>
      <c r="W254" s="425"/>
      <c r="X254" s="425"/>
      <c r="Y254" s="425"/>
      <c r="Z254" s="425"/>
      <c r="AA254" s="425"/>
      <c r="AB254" s="425"/>
      <c r="AC254" s="425"/>
      <c r="AD254" s="425"/>
      <c r="AE254" s="425"/>
      <c r="AF254" s="425"/>
      <c r="AG254" s="425"/>
    </row>
    <row r="255" ht="15.75" customHeight="1">
      <c r="A255" s="425"/>
      <c r="B255" s="425"/>
      <c r="C255" s="425"/>
      <c r="D255" s="425"/>
      <c r="E255" s="425"/>
      <c r="F255" s="425"/>
      <c r="G255" s="425"/>
      <c r="H255" s="425"/>
      <c r="I255" s="425"/>
      <c r="J255" s="425"/>
      <c r="K255" s="425"/>
      <c r="L255" s="425"/>
      <c r="M255" s="425"/>
      <c r="N255" s="425"/>
      <c r="O255" s="425"/>
      <c r="P255" s="425"/>
      <c r="Q255" s="425"/>
      <c r="R255" s="425"/>
      <c r="S255" s="425"/>
      <c r="T255" s="425"/>
      <c r="U255" s="425"/>
      <c r="V255" s="425"/>
      <c r="W255" s="425"/>
      <c r="X255" s="425"/>
      <c r="Y255" s="425"/>
      <c r="Z255" s="425"/>
      <c r="AA255" s="425"/>
      <c r="AB255" s="425"/>
      <c r="AC255" s="425"/>
      <c r="AD255" s="425"/>
      <c r="AE255" s="425"/>
      <c r="AF255" s="425"/>
      <c r="AG255" s="425"/>
    </row>
    <row r="256" ht="15.75" customHeight="1">
      <c r="A256" s="425"/>
      <c r="B256" s="425"/>
      <c r="C256" s="425"/>
      <c r="D256" s="425"/>
      <c r="E256" s="425"/>
      <c r="F256" s="425"/>
      <c r="G256" s="425"/>
      <c r="H256" s="425"/>
      <c r="I256" s="425"/>
      <c r="J256" s="425"/>
      <c r="K256" s="425"/>
      <c r="L256" s="425"/>
      <c r="M256" s="425"/>
      <c r="N256" s="425"/>
      <c r="O256" s="425"/>
      <c r="P256" s="425"/>
      <c r="Q256" s="425"/>
      <c r="R256" s="425"/>
      <c r="S256" s="425"/>
      <c r="T256" s="425"/>
      <c r="U256" s="425"/>
      <c r="V256" s="425"/>
      <c r="W256" s="425"/>
      <c r="X256" s="425"/>
      <c r="Y256" s="425"/>
      <c r="Z256" s="425"/>
      <c r="AA256" s="425"/>
      <c r="AB256" s="425"/>
      <c r="AC256" s="425"/>
      <c r="AD256" s="425"/>
      <c r="AE256" s="425"/>
      <c r="AF256" s="425"/>
      <c r="AG256" s="425"/>
    </row>
    <row r="257" ht="15.75" customHeight="1">
      <c r="A257" s="425"/>
      <c r="B257" s="425"/>
      <c r="C257" s="425"/>
      <c r="D257" s="425"/>
      <c r="E257" s="425"/>
      <c r="F257" s="425"/>
      <c r="G257" s="425"/>
      <c r="H257" s="425"/>
      <c r="I257" s="425"/>
      <c r="J257" s="425"/>
      <c r="K257" s="425"/>
      <c r="L257" s="425"/>
      <c r="M257" s="425"/>
      <c r="N257" s="425"/>
      <c r="O257" s="425"/>
      <c r="P257" s="425"/>
      <c r="Q257" s="425"/>
      <c r="R257" s="425"/>
      <c r="S257" s="425"/>
      <c r="T257" s="425"/>
      <c r="U257" s="425"/>
      <c r="V257" s="425"/>
      <c r="W257" s="425"/>
      <c r="X257" s="425"/>
      <c r="Y257" s="425"/>
      <c r="Z257" s="425"/>
      <c r="AA257" s="425"/>
      <c r="AB257" s="425"/>
      <c r="AC257" s="425"/>
      <c r="AD257" s="425"/>
      <c r="AE257" s="425"/>
      <c r="AF257" s="425"/>
      <c r="AG257" s="425"/>
    </row>
    <row r="258" ht="15.75" customHeight="1">
      <c r="A258" s="425"/>
      <c r="B258" s="425"/>
      <c r="C258" s="425"/>
      <c r="D258" s="425"/>
      <c r="E258" s="425"/>
      <c r="F258" s="425"/>
      <c r="G258" s="425"/>
      <c r="H258" s="425"/>
      <c r="I258" s="425"/>
      <c r="J258" s="425"/>
      <c r="K258" s="425"/>
      <c r="L258" s="425"/>
      <c r="M258" s="425"/>
      <c r="N258" s="425"/>
      <c r="O258" s="425"/>
      <c r="P258" s="425"/>
      <c r="Q258" s="425"/>
      <c r="R258" s="425"/>
      <c r="S258" s="425"/>
      <c r="T258" s="425"/>
      <c r="U258" s="425"/>
      <c r="V258" s="425"/>
      <c r="W258" s="425"/>
      <c r="X258" s="425"/>
      <c r="Y258" s="425"/>
      <c r="Z258" s="425"/>
      <c r="AA258" s="425"/>
      <c r="AB258" s="425"/>
      <c r="AC258" s="425"/>
      <c r="AD258" s="425"/>
      <c r="AE258" s="425"/>
      <c r="AF258" s="425"/>
      <c r="AG258" s="425"/>
    </row>
    <row r="259" ht="15.75" customHeight="1">
      <c r="A259" s="425"/>
      <c r="B259" s="425"/>
      <c r="C259" s="425"/>
      <c r="D259" s="425"/>
      <c r="E259" s="425"/>
      <c r="F259" s="425"/>
      <c r="G259" s="425"/>
      <c r="H259" s="425"/>
      <c r="I259" s="425"/>
      <c r="J259" s="425"/>
      <c r="K259" s="425"/>
      <c r="L259" s="425"/>
      <c r="M259" s="425"/>
      <c r="N259" s="425"/>
      <c r="O259" s="425"/>
      <c r="P259" s="425"/>
      <c r="Q259" s="425"/>
      <c r="R259" s="425"/>
      <c r="S259" s="425"/>
      <c r="T259" s="425"/>
      <c r="U259" s="425"/>
      <c r="V259" s="425"/>
      <c r="W259" s="425"/>
      <c r="X259" s="425"/>
      <c r="Y259" s="425"/>
      <c r="Z259" s="425"/>
      <c r="AA259" s="425"/>
      <c r="AB259" s="425"/>
      <c r="AC259" s="425"/>
      <c r="AD259" s="425"/>
      <c r="AE259" s="425"/>
      <c r="AF259" s="425"/>
      <c r="AG259" s="425"/>
    </row>
    <row r="260" ht="15.75" customHeight="1">
      <c r="A260" s="425"/>
      <c r="B260" s="425"/>
      <c r="C260" s="425"/>
      <c r="D260" s="425"/>
      <c r="E260" s="425"/>
      <c r="F260" s="425"/>
      <c r="G260" s="425"/>
      <c r="H260" s="425"/>
      <c r="I260" s="425"/>
      <c r="J260" s="425"/>
      <c r="K260" s="425"/>
      <c r="L260" s="425"/>
      <c r="M260" s="425"/>
      <c r="N260" s="425"/>
      <c r="O260" s="425"/>
      <c r="P260" s="425"/>
      <c r="Q260" s="425"/>
      <c r="R260" s="425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5"/>
      <c r="AC260" s="425"/>
      <c r="AD260" s="425"/>
      <c r="AE260" s="425"/>
      <c r="AF260" s="425"/>
      <c r="AG260" s="425"/>
    </row>
    <row r="261" ht="15.75" customHeight="1">
      <c r="A261" s="425"/>
      <c r="B261" s="425"/>
      <c r="C261" s="425"/>
      <c r="D261" s="425"/>
      <c r="E261" s="425"/>
      <c r="F261" s="425"/>
      <c r="G261" s="425"/>
      <c r="H261" s="425"/>
      <c r="I261" s="425"/>
      <c r="J261" s="425"/>
      <c r="K261" s="425"/>
      <c r="L261" s="425"/>
      <c r="M261" s="425"/>
      <c r="N261" s="425"/>
      <c r="O261" s="425"/>
      <c r="P261" s="425"/>
      <c r="Q261" s="425"/>
      <c r="R261" s="425"/>
      <c r="S261" s="425"/>
      <c r="T261" s="425"/>
      <c r="U261" s="425"/>
      <c r="V261" s="425"/>
      <c r="W261" s="425"/>
      <c r="X261" s="425"/>
      <c r="Y261" s="425"/>
      <c r="Z261" s="425"/>
      <c r="AA261" s="425"/>
      <c r="AB261" s="425"/>
      <c r="AC261" s="425"/>
      <c r="AD261" s="425"/>
      <c r="AE261" s="425"/>
      <c r="AF261" s="425"/>
      <c r="AG261" s="425"/>
    </row>
    <row r="262" ht="15.75" customHeight="1">
      <c r="A262" s="425"/>
      <c r="B262" s="425"/>
      <c r="C262" s="425"/>
      <c r="D262" s="425"/>
      <c r="E262" s="425"/>
      <c r="F262" s="425"/>
      <c r="G262" s="425"/>
      <c r="H262" s="425"/>
      <c r="I262" s="425"/>
      <c r="J262" s="425"/>
      <c r="K262" s="425"/>
      <c r="L262" s="425"/>
      <c r="M262" s="425"/>
      <c r="N262" s="425"/>
      <c r="O262" s="425"/>
      <c r="P262" s="425"/>
      <c r="Q262" s="425"/>
      <c r="R262" s="425"/>
      <c r="S262" s="425"/>
      <c r="T262" s="425"/>
      <c r="U262" s="425"/>
      <c r="V262" s="425"/>
      <c r="W262" s="425"/>
      <c r="X262" s="425"/>
      <c r="Y262" s="425"/>
      <c r="Z262" s="425"/>
      <c r="AA262" s="425"/>
      <c r="AB262" s="425"/>
      <c r="AC262" s="425"/>
      <c r="AD262" s="425"/>
      <c r="AE262" s="425"/>
      <c r="AF262" s="425"/>
      <c r="AG262" s="425"/>
    </row>
    <row r="263" ht="15.75" customHeight="1">
      <c r="A263" s="425"/>
      <c r="B263" s="425"/>
      <c r="C263" s="425"/>
      <c r="D263" s="425"/>
      <c r="E263" s="425"/>
      <c r="F263" s="425"/>
      <c r="G263" s="425"/>
      <c r="H263" s="425"/>
      <c r="I263" s="425"/>
      <c r="J263" s="425"/>
      <c r="K263" s="425"/>
      <c r="L263" s="425"/>
      <c r="M263" s="425"/>
      <c r="N263" s="425"/>
      <c r="O263" s="425"/>
      <c r="P263" s="425"/>
      <c r="Q263" s="425"/>
      <c r="R263" s="425"/>
      <c r="S263" s="425"/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  <c r="AD263" s="425"/>
      <c r="AE263" s="425"/>
      <c r="AF263" s="425"/>
      <c r="AG263" s="425"/>
    </row>
    <row r="264" ht="15.75" customHeight="1">
      <c r="A264" s="425"/>
      <c r="B264" s="425"/>
      <c r="C264" s="425"/>
      <c r="D264" s="425"/>
      <c r="E264" s="425"/>
      <c r="F264" s="425"/>
      <c r="G264" s="425"/>
      <c r="H264" s="425"/>
      <c r="I264" s="425"/>
      <c r="J264" s="425"/>
      <c r="K264" s="425"/>
      <c r="L264" s="425"/>
      <c r="M264" s="425"/>
      <c r="N264" s="425"/>
      <c r="O264" s="425"/>
      <c r="P264" s="425"/>
      <c r="Q264" s="425"/>
      <c r="R264" s="425"/>
      <c r="S264" s="425"/>
      <c r="T264" s="425"/>
      <c r="U264" s="425"/>
      <c r="V264" s="425"/>
      <c r="W264" s="425"/>
      <c r="X264" s="425"/>
      <c r="Y264" s="425"/>
      <c r="Z264" s="425"/>
      <c r="AA264" s="425"/>
      <c r="AB264" s="425"/>
      <c r="AC264" s="425"/>
      <c r="AD264" s="425"/>
      <c r="AE264" s="425"/>
      <c r="AF264" s="425"/>
      <c r="AG264" s="425"/>
    </row>
    <row r="265" ht="15.75" customHeight="1">
      <c r="A265" s="425"/>
      <c r="B265" s="425"/>
      <c r="C265" s="425"/>
      <c r="D265" s="425"/>
      <c r="E265" s="425"/>
      <c r="F265" s="425"/>
      <c r="G265" s="425"/>
      <c r="H265" s="425"/>
      <c r="I265" s="425"/>
      <c r="J265" s="425"/>
      <c r="K265" s="425"/>
      <c r="L265" s="425"/>
      <c r="M265" s="425"/>
      <c r="N265" s="425"/>
      <c r="O265" s="425"/>
      <c r="P265" s="425"/>
      <c r="Q265" s="425"/>
      <c r="R265" s="425"/>
      <c r="S265" s="425"/>
      <c r="T265" s="425"/>
      <c r="U265" s="425"/>
      <c r="V265" s="425"/>
      <c r="W265" s="425"/>
      <c r="X265" s="425"/>
      <c r="Y265" s="425"/>
      <c r="Z265" s="425"/>
      <c r="AA265" s="425"/>
      <c r="AB265" s="425"/>
      <c r="AC265" s="425"/>
      <c r="AD265" s="425"/>
      <c r="AE265" s="425"/>
      <c r="AF265" s="425"/>
      <c r="AG265" s="425"/>
    </row>
    <row r="266" ht="15.75" customHeight="1">
      <c r="A266" s="425"/>
      <c r="B266" s="425"/>
      <c r="C266" s="425"/>
      <c r="D266" s="425"/>
      <c r="E266" s="425"/>
      <c r="F266" s="425"/>
      <c r="G266" s="425"/>
      <c r="H266" s="425"/>
      <c r="I266" s="425"/>
      <c r="J266" s="425"/>
      <c r="K266" s="425"/>
      <c r="L266" s="425"/>
      <c r="M266" s="425"/>
      <c r="N266" s="425"/>
      <c r="O266" s="425"/>
      <c r="P266" s="425"/>
      <c r="Q266" s="425"/>
      <c r="R266" s="425"/>
      <c r="S266" s="425"/>
      <c r="T266" s="425"/>
      <c r="U266" s="425"/>
      <c r="V266" s="425"/>
      <c r="W266" s="425"/>
      <c r="X266" s="425"/>
      <c r="Y266" s="425"/>
      <c r="Z266" s="425"/>
      <c r="AA266" s="425"/>
      <c r="AB266" s="425"/>
      <c r="AC266" s="425"/>
      <c r="AD266" s="425"/>
      <c r="AE266" s="425"/>
      <c r="AF266" s="425"/>
      <c r="AG266" s="425"/>
    </row>
    <row r="267" ht="15.75" customHeight="1">
      <c r="A267" s="425"/>
      <c r="B267" s="425"/>
      <c r="C267" s="425"/>
      <c r="D267" s="425"/>
      <c r="E267" s="425"/>
      <c r="F267" s="425"/>
      <c r="G267" s="425"/>
      <c r="H267" s="425"/>
      <c r="I267" s="425"/>
      <c r="J267" s="425"/>
      <c r="K267" s="425"/>
      <c r="L267" s="425"/>
      <c r="M267" s="425"/>
      <c r="N267" s="425"/>
      <c r="O267" s="425"/>
      <c r="P267" s="425"/>
      <c r="Q267" s="425"/>
      <c r="R267" s="425"/>
      <c r="S267" s="425"/>
      <c r="T267" s="425"/>
      <c r="U267" s="425"/>
      <c r="V267" s="425"/>
      <c r="W267" s="425"/>
      <c r="X267" s="425"/>
      <c r="Y267" s="425"/>
      <c r="Z267" s="425"/>
      <c r="AA267" s="425"/>
      <c r="AB267" s="425"/>
      <c r="AC267" s="425"/>
      <c r="AD267" s="425"/>
      <c r="AE267" s="425"/>
      <c r="AF267" s="425"/>
      <c r="AG267" s="425"/>
    </row>
    <row r="268" ht="15.75" customHeight="1">
      <c r="A268" s="425"/>
      <c r="B268" s="425"/>
      <c r="C268" s="425"/>
      <c r="D268" s="425"/>
      <c r="E268" s="425"/>
      <c r="F268" s="425"/>
      <c r="G268" s="425"/>
      <c r="H268" s="425"/>
      <c r="I268" s="425"/>
      <c r="J268" s="425"/>
      <c r="K268" s="425"/>
      <c r="L268" s="425"/>
      <c r="M268" s="425"/>
      <c r="N268" s="425"/>
      <c r="O268" s="425"/>
      <c r="P268" s="425"/>
      <c r="Q268" s="425"/>
      <c r="R268" s="425"/>
      <c r="S268" s="425"/>
      <c r="T268" s="425"/>
      <c r="U268" s="425"/>
      <c r="V268" s="425"/>
      <c r="W268" s="425"/>
      <c r="X268" s="425"/>
      <c r="Y268" s="425"/>
      <c r="Z268" s="425"/>
      <c r="AA268" s="425"/>
      <c r="AB268" s="425"/>
      <c r="AC268" s="425"/>
      <c r="AD268" s="425"/>
      <c r="AE268" s="425"/>
      <c r="AF268" s="425"/>
      <c r="AG268" s="425"/>
    </row>
    <row r="269" ht="15.75" customHeight="1">
      <c r="A269" s="425"/>
      <c r="B269" s="425"/>
      <c r="C269" s="425"/>
      <c r="D269" s="425"/>
      <c r="E269" s="425"/>
      <c r="F269" s="425"/>
      <c r="G269" s="425"/>
      <c r="H269" s="425"/>
      <c r="I269" s="425"/>
      <c r="J269" s="425"/>
      <c r="K269" s="425"/>
      <c r="L269" s="425"/>
      <c r="M269" s="425"/>
      <c r="N269" s="425"/>
      <c r="O269" s="425"/>
      <c r="P269" s="425"/>
      <c r="Q269" s="425"/>
      <c r="R269" s="425"/>
      <c r="S269" s="425"/>
      <c r="T269" s="425"/>
      <c r="U269" s="425"/>
      <c r="V269" s="425"/>
      <c r="W269" s="425"/>
      <c r="X269" s="425"/>
      <c r="Y269" s="425"/>
      <c r="Z269" s="425"/>
      <c r="AA269" s="425"/>
      <c r="AB269" s="425"/>
      <c r="AC269" s="425"/>
      <c r="AD269" s="425"/>
      <c r="AE269" s="425"/>
      <c r="AF269" s="425"/>
      <c r="AG269" s="425"/>
    </row>
    <row r="270" ht="15.75" customHeight="1">
      <c r="A270" s="425"/>
      <c r="B270" s="425"/>
      <c r="C270" s="425"/>
      <c r="D270" s="425"/>
      <c r="E270" s="425"/>
      <c r="F270" s="425"/>
      <c r="G270" s="425"/>
      <c r="H270" s="425"/>
      <c r="I270" s="425"/>
      <c r="J270" s="425"/>
      <c r="K270" s="425"/>
      <c r="L270" s="425"/>
      <c r="M270" s="425"/>
      <c r="N270" s="425"/>
      <c r="O270" s="425"/>
      <c r="P270" s="425"/>
      <c r="Q270" s="425"/>
      <c r="R270" s="425"/>
      <c r="S270" s="425"/>
      <c r="T270" s="425"/>
      <c r="U270" s="425"/>
      <c r="V270" s="425"/>
      <c r="W270" s="425"/>
      <c r="X270" s="425"/>
      <c r="Y270" s="425"/>
      <c r="Z270" s="425"/>
      <c r="AA270" s="425"/>
      <c r="AB270" s="425"/>
      <c r="AC270" s="425"/>
      <c r="AD270" s="425"/>
      <c r="AE270" s="425"/>
      <c r="AF270" s="425"/>
      <c r="AG270" s="425"/>
    </row>
    <row r="271" ht="15.75" customHeight="1">
      <c r="A271" s="425"/>
      <c r="B271" s="425"/>
      <c r="C271" s="425"/>
      <c r="D271" s="425"/>
      <c r="E271" s="425"/>
      <c r="F271" s="425"/>
      <c r="G271" s="425"/>
      <c r="H271" s="425"/>
      <c r="I271" s="425"/>
      <c r="J271" s="425"/>
      <c r="K271" s="425"/>
      <c r="L271" s="425"/>
      <c r="M271" s="425"/>
      <c r="N271" s="425"/>
      <c r="O271" s="425"/>
      <c r="P271" s="425"/>
      <c r="Q271" s="425"/>
      <c r="R271" s="425"/>
      <c r="S271" s="425"/>
      <c r="T271" s="425"/>
      <c r="U271" s="425"/>
      <c r="V271" s="425"/>
      <c r="W271" s="425"/>
      <c r="X271" s="425"/>
      <c r="Y271" s="425"/>
      <c r="Z271" s="425"/>
      <c r="AA271" s="425"/>
      <c r="AB271" s="425"/>
      <c r="AC271" s="425"/>
      <c r="AD271" s="425"/>
      <c r="AE271" s="425"/>
      <c r="AF271" s="425"/>
      <c r="AG271" s="425"/>
    </row>
    <row r="272" ht="15.75" customHeight="1">
      <c r="A272" s="425"/>
      <c r="B272" s="425"/>
      <c r="C272" s="425"/>
      <c r="D272" s="425"/>
      <c r="E272" s="425"/>
      <c r="F272" s="425"/>
      <c r="G272" s="425"/>
      <c r="H272" s="425"/>
      <c r="I272" s="425"/>
      <c r="J272" s="425"/>
      <c r="K272" s="425"/>
      <c r="L272" s="425"/>
      <c r="M272" s="425"/>
      <c r="N272" s="425"/>
      <c r="O272" s="425"/>
      <c r="P272" s="425"/>
      <c r="Q272" s="425"/>
      <c r="R272" s="425"/>
      <c r="S272" s="425"/>
      <c r="T272" s="425"/>
      <c r="U272" s="425"/>
      <c r="V272" s="425"/>
      <c r="W272" s="425"/>
      <c r="X272" s="425"/>
      <c r="Y272" s="425"/>
      <c r="Z272" s="425"/>
      <c r="AA272" s="425"/>
      <c r="AB272" s="425"/>
      <c r="AC272" s="425"/>
      <c r="AD272" s="425"/>
      <c r="AE272" s="425"/>
      <c r="AF272" s="425"/>
      <c r="AG272" s="425"/>
    </row>
    <row r="273" ht="15.75" customHeight="1">
      <c r="A273" s="425"/>
      <c r="B273" s="425"/>
      <c r="C273" s="425"/>
      <c r="D273" s="425"/>
      <c r="E273" s="425"/>
      <c r="F273" s="425"/>
      <c r="G273" s="425"/>
      <c r="H273" s="425"/>
      <c r="I273" s="425"/>
      <c r="J273" s="425"/>
      <c r="K273" s="425"/>
      <c r="L273" s="425"/>
      <c r="M273" s="425"/>
      <c r="N273" s="425"/>
      <c r="O273" s="425"/>
      <c r="P273" s="425"/>
      <c r="Q273" s="425"/>
      <c r="R273" s="425"/>
      <c r="S273" s="425"/>
      <c r="T273" s="425"/>
      <c r="U273" s="425"/>
      <c r="V273" s="425"/>
      <c r="W273" s="425"/>
      <c r="X273" s="425"/>
      <c r="Y273" s="425"/>
      <c r="Z273" s="425"/>
      <c r="AA273" s="425"/>
      <c r="AB273" s="425"/>
      <c r="AC273" s="425"/>
      <c r="AD273" s="425"/>
      <c r="AE273" s="425"/>
      <c r="AF273" s="425"/>
      <c r="AG273" s="425"/>
    </row>
    <row r="274" ht="15.75" customHeight="1">
      <c r="A274" s="425"/>
      <c r="B274" s="425"/>
      <c r="C274" s="425"/>
      <c r="D274" s="425"/>
      <c r="E274" s="425"/>
      <c r="F274" s="425"/>
      <c r="G274" s="425"/>
      <c r="H274" s="425"/>
      <c r="I274" s="425"/>
      <c r="J274" s="425"/>
      <c r="K274" s="425"/>
      <c r="L274" s="425"/>
      <c r="M274" s="425"/>
      <c r="N274" s="425"/>
      <c r="O274" s="425"/>
      <c r="P274" s="425"/>
      <c r="Q274" s="425"/>
      <c r="R274" s="425"/>
      <c r="S274" s="425"/>
      <c r="T274" s="425"/>
      <c r="U274" s="425"/>
      <c r="V274" s="425"/>
      <c r="W274" s="425"/>
      <c r="X274" s="425"/>
      <c r="Y274" s="425"/>
      <c r="Z274" s="425"/>
      <c r="AA274" s="425"/>
      <c r="AB274" s="425"/>
      <c r="AC274" s="425"/>
      <c r="AD274" s="425"/>
      <c r="AE274" s="425"/>
      <c r="AF274" s="425"/>
      <c r="AG274" s="425"/>
    </row>
    <row r="275" ht="15.75" customHeight="1">
      <c r="A275" s="425"/>
      <c r="B275" s="425"/>
      <c r="C275" s="425"/>
      <c r="D275" s="425"/>
      <c r="E275" s="425"/>
      <c r="F275" s="425"/>
      <c r="G275" s="425"/>
      <c r="H275" s="425"/>
      <c r="I275" s="425"/>
      <c r="J275" s="425"/>
      <c r="K275" s="425"/>
      <c r="L275" s="425"/>
      <c r="M275" s="425"/>
      <c r="N275" s="425"/>
      <c r="O275" s="425"/>
      <c r="P275" s="425"/>
      <c r="Q275" s="425"/>
      <c r="R275" s="425"/>
      <c r="S275" s="425"/>
      <c r="T275" s="425"/>
      <c r="U275" s="425"/>
      <c r="V275" s="425"/>
      <c r="W275" s="425"/>
      <c r="X275" s="425"/>
      <c r="Y275" s="425"/>
      <c r="Z275" s="425"/>
      <c r="AA275" s="425"/>
      <c r="AB275" s="425"/>
      <c r="AC275" s="425"/>
      <c r="AD275" s="425"/>
      <c r="AE275" s="425"/>
      <c r="AF275" s="425"/>
      <c r="AG275" s="425"/>
    </row>
    <row r="276" ht="15.75" customHeight="1">
      <c r="A276" s="425"/>
      <c r="B276" s="425"/>
      <c r="C276" s="425"/>
      <c r="D276" s="425"/>
      <c r="E276" s="425"/>
      <c r="F276" s="425"/>
      <c r="G276" s="425"/>
      <c r="H276" s="425"/>
      <c r="I276" s="425"/>
      <c r="J276" s="425"/>
      <c r="K276" s="425"/>
      <c r="L276" s="425"/>
      <c r="M276" s="425"/>
      <c r="N276" s="425"/>
      <c r="O276" s="425"/>
      <c r="P276" s="425"/>
      <c r="Q276" s="425"/>
      <c r="R276" s="425"/>
      <c r="S276" s="425"/>
      <c r="T276" s="425"/>
      <c r="U276" s="425"/>
      <c r="V276" s="425"/>
      <c r="W276" s="425"/>
      <c r="X276" s="425"/>
      <c r="Y276" s="425"/>
      <c r="Z276" s="425"/>
      <c r="AA276" s="425"/>
      <c r="AB276" s="425"/>
      <c r="AC276" s="425"/>
      <c r="AD276" s="425"/>
      <c r="AE276" s="425"/>
      <c r="AF276" s="425"/>
      <c r="AG276" s="425"/>
    </row>
    <row r="277" ht="15.75" customHeight="1">
      <c r="A277" s="425"/>
      <c r="B277" s="425"/>
      <c r="C277" s="425"/>
      <c r="D277" s="425"/>
      <c r="E277" s="425"/>
      <c r="F277" s="425"/>
      <c r="G277" s="425"/>
      <c r="H277" s="425"/>
      <c r="I277" s="425"/>
      <c r="J277" s="425"/>
      <c r="K277" s="425"/>
      <c r="L277" s="425"/>
      <c r="M277" s="425"/>
      <c r="N277" s="425"/>
      <c r="O277" s="425"/>
      <c r="P277" s="425"/>
      <c r="Q277" s="425"/>
      <c r="R277" s="425"/>
      <c r="S277" s="425"/>
      <c r="T277" s="425"/>
      <c r="U277" s="425"/>
      <c r="V277" s="425"/>
      <c r="W277" s="425"/>
      <c r="X277" s="425"/>
      <c r="Y277" s="425"/>
      <c r="Z277" s="425"/>
      <c r="AA277" s="425"/>
      <c r="AB277" s="425"/>
      <c r="AC277" s="425"/>
      <c r="AD277" s="425"/>
      <c r="AE277" s="425"/>
      <c r="AF277" s="425"/>
      <c r="AG277" s="425"/>
    </row>
    <row r="278" ht="15.75" customHeight="1">
      <c r="A278" s="425"/>
      <c r="B278" s="425"/>
      <c r="C278" s="425"/>
      <c r="D278" s="425"/>
      <c r="E278" s="425"/>
      <c r="F278" s="425"/>
      <c r="G278" s="425"/>
      <c r="H278" s="425"/>
      <c r="I278" s="425"/>
      <c r="J278" s="425"/>
      <c r="K278" s="425"/>
      <c r="L278" s="425"/>
      <c r="M278" s="425"/>
      <c r="N278" s="425"/>
      <c r="O278" s="425"/>
      <c r="P278" s="425"/>
      <c r="Q278" s="425"/>
      <c r="R278" s="425"/>
      <c r="S278" s="425"/>
      <c r="T278" s="425"/>
      <c r="U278" s="425"/>
      <c r="V278" s="425"/>
      <c r="W278" s="425"/>
      <c r="X278" s="425"/>
      <c r="Y278" s="425"/>
      <c r="Z278" s="425"/>
      <c r="AA278" s="425"/>
      <c r="AB278" s="425"/>
      <c r="AC278" s="425"/>
      <c r="AD278" s="425"/>
      <c r="AE278" s="425"/>
      <c r="AF278" s="425"/>
      <c r="AG278" s="425"/>
    </row>
    <row r="279" ht="15.75" customHeight="1">
      <c r="A279" s="425"/>
      <c r="B279" s="425"/>
      <c r="C279" s="425"/>
      <c r="D279" s="425"/>
      <c r="E279" s="425"/>
      <c r="F279" s="425"/>
      <c r="G279" s="425"/>
      <c r="H279" s="425"/>
      <c r="I279" s="425"/>
      <c r="J279" s="425"/>
      <c r="K279" s="425"/>
      <c r="L279" s="425"/>
      <c r="M279" s="425"/>
      <c r="N279" s="425"/>
      <c r="O279" s="425"/>
      <c r="P279" s="425"/>
      <c r="Q279" s="425"/>
      <c r="R279" s="425"/>
      <c r="S279" s="425"/>
      <c r="T279" s="425"/>
      <c r="U279" s="425"/>
      <c r="V279" s="425"/>
      <c r="W279" s="425"/>
      <c r="X279" s="425"/>
      <c r="Y279" s="425"/>
      <c r="Z279" s="425"/>
      <c r="AA279" s="425"/>
      <c r="AB279" s="425"/>
      <c r="AC279" s="425"/>
      <c r="AD279" s="425"/>
      <c r="AE279" s="425"/>
      <c r="AF279" s="425"/>
      <c r="AG279" s="425"/>
    </row>
    <row r="280" ht="15.75" customHeight="1">
      <c r="A280" s="425"/>
      <c r="B280" s="425"/>
      <c r="C280" s="425"/>
      <c r="D280" s="425"/>
      <c r="E280" s="425"/>
      <c r="F280" s="425"/>
      <c r="G280" s="425"/>
      <c r="H280" s="425"/>
      <c r="I280" s="425"/>
      <c r="J280" s="425"/>
      <c r="K280" s="425"/>
      <c r="L280" s="425"/>
      <c r="M280" s="425"/>
      <c r="N280" s="425"/>
      <c r="O280" s="425"/>
      <c r="P280" s="425"/>
      <c r="Q280" s="425"/>
      <c r="R280" s="425"/>
      <c r="S280" s="425"/>
      <c r="T280" s="425"/>
      <c r="U280" s="425"/>
      <c r="V280" s="425"/>
      <c r="W280" s="425"/>
      <c r="X280" s="425"/>
      <c r="Y280" s="425"/>
      <c r="Z280" s="425"/>
      <c r="AA280" s="425"/>
      <c r="AB280" s="425"/>
      <c r="AC280" s="425"/>
      <c r="AD280" s="425"/>
      <c r="AE280" s="425"/>
      <c r="AF280" s="425"/>
      <c r="AG280" s="425"/>
    </row>
    <row r="281" ht="15.75" customHeight="1">
      <c r="A281" s="425"/>
      <c r="B281" s="425"/>
      <c r="C281" s="425"/>
      <c r="D281" s="425"/>
      <c r="E281" s="425"/>
      <c r="F281" s="425"/>
      <c r="G281" s="425"/>
      <c r="H281" s="425"/>
      <c r="I281" s="425"/>
      <c r="J281" s="425"/>
      <c r="K281" s="425"/>
      <c r="L281" s="425"/>
      <c r="M281" s="425"/>
      <c r="N281" s="425"/>
      <c r="O281" s="425"/>
      <c r="P281" s="425"/>
      <c r="Q281" s="425"/>
      <c r="R281" s="425"/>
      <c r="S281" s="425"/>
      <c r="T281" s="425"/>
      <c r="U281" s="425"/>
      <c r="V281" s="425"/>
      <c r="W281" s="425"/>
      <c r="X281" s="425"/>
      <c r="Y281" s="425"/>
      <c r="Z281" s="425"/>
      <c r="AA281" s="425"/>
      <c r="AB281" s="425"/>
      <c r="AC281" s="425"/>
      <c r="AD281" s="425"/>
      <c r="AE281" s="425"/>
      <c r="AF281" s="425"/>
      <c r="AG281" s="425"/>
    </row>
    <row r="282" ht="15.75" customHeight="1">
      <c r="A282" s="425"/>
      <c r="B282" s="425"/>
      <c r="C282" s="425"/>
      <c r="D282" s="425"/>
      <c r="E282" s="425"/>
      <c r="F282" s="425"/>
      <c r="G282" s="425"/>
      <c r="H282" s="425"/>
      <c r="I282" s="425"/>
      <c r="J282" s="425"/>
      <c r="K282" s="425"/>
      <c r="L282" s="425"/>
      <c r="M282" s="425"/>
      <c r="N282" s="425"/>
      <c r="O282" s="425"/>
      <c r="P282" s="425"/>
      <c r="Q282" s="425"/>
      <c r="R282" s="425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5"/>
      <c r="AC282" s="425"/>
      <c r="AD282" s="425"/>
      <c r="AE282" s="425"/>
      <c r="AF282" s="425"/>
      <c r="AG282" s="425"/>
    </row>
    <row r="283" ht="15.75" customHeight="1">
      <c r="A283" s="425"/>
      <c r="B283" s="425"/>
      <c r="C283" s="425"/>
      <c r="D283" s="425"/>
      <c r="E283" s="425"/>
      <c r="F283" s="425"/>
      <c r="G283" s="425"/>
      <c r="H283" s="425"/>
      <c r="I283" s="425"/>
      <c r="J283" s="425"/>
      <c r="K283" s="425"/>
      <c r="L283" s="425"/>
      <c r="M283" s="425"/>
      <c r="N283" s="425"/>
      <c r="O283" s="425"/>
      <c r="P283" s="425"/>
      <c r="Q283" s="425"/>
      <c r="R283" s="425"/>
      <c r="S283" s="425"/>
      <c r="T283" s="425"/>
      <c r="U283" s="425"/>
      <c r="V283" s="425"/>
      <c r="W283" s="425"/>
      <c r="X283" s="425"/>
      <c r="Y283" s="425"/>
      <c r="Z283" s="425"/>
      <c r="AA283" s="425"/>
      <c r="AB283" s="425"/>
      <c r="AC283" s="425"/>
      <c r="AD283" s="425"/>
      <c r="AE283" s="425"/>
      <c r="AF283" s="425"/>
      <c r="AG283" s="425"/>
    </row>
    <row r="284" ht="15.75" customHeight="1">
      <c r="A284" s="425"/>
      <c r="B284" s="425"/>
      <c r="C284" s="425"/>
      <c r="D284" s="425"/>
      <c r="E284" s="425"/>
      <c r="F284" s="425"/>
      <c r="G284" s="425"/>
      <c r="H284" s="425"/>
      <c r="I284" s="425"/>
      <c r="J284" s="425"/>
      <c r="K284" s="425"/>
      <c r="L284" s="425"/>
      <c r="M284" s="425"/>
      <c r="N284" s="425"/>
      <c r="O284" s="425"/>
      <c r="P284" s="425"/>
      <c r="Q284" s="425"/>
      <c r="R284" s="425"/>
      <c r="S284" s="425"/>
      <c r="T284" s="425"/>
      <c r="U284" s="425"/>
      <c r="V284" s="425"/>
      <c r="W284" s="425"/>
      <c r="X284" s="425"/>
      <c r="Y284" s="425"/>
      <c r="Z284" s="425"/>
      <c r="AA284" s="425"/>
      <c r="AB284" s="425"/>
      <c r="AC284" s="425"/>
      <c r="AD284" s="425"/>
      <c r="AE284" s="425"/>
      <c r="AF284" s="425"/>
      <c r="AG284" s="425"/>
    </row>
    <row r="285" ht="15.75" customHeight="1">
      <c r="A285" s="425"/>
      <c r="B285" s="425"/>
      <c r="C285" s="425"/>
      <c r="D285" s="425"/>
      <c r="E285" s="425"/>
      <c r="F285" s="425"/>
      <c r="G285" s="425"/>
      <c r="H285" s="425"/>
      <c r="I285" s="425"/>
      <c r="J285" s="425"/>
      <c r="K285" s="425"/>
      <c r="L285" s="425"/>
      <c r="M285" s="425"/>
      <c r="N285" s="425"/>
      <c r="O285" s="425"/>
      <c r="P285" s="425"/>
      <c r="Q285" s="425"/>
      <c r="R285" s="425"/>
      <c r="S285" s="425"/>
      <c r="T285" s="425"/>
      <c r="U285" s="425"/>
      <c r="V285" s="425"/>
      <c r="W285" s="425"/>
      <c r="X285" s="425"/>
      <c r="Y285" s="425"/>
      <c r="Z285" s="425"/>
      <c r="AA285" s="425"/>
      <c r="AB285" s="425"/>
      <c r="AC285" s="425"/>
      <c r="AD285" s="425"/>
      <c r="AE285" s="425"/>
      <c r="AF285" s="425"/>
      <c r="AG285" s="425"/>
    </row>
    <row r="286" ht="15.75" customHeight="1">
      <c r="A286" s="425"/>
      <c r="B286" s="425"/>
      <c r="C286" s="425"/>
      <c r="D286" s="425"/>
      <c r="E286" s="425"/>
      <c r="F286" s="425"/>
      <c r="G286" s="425"/>
      <c r="H286" s="425"/>
      <c r="I286" s="425"/>
      <c r="J286" s="425"/>
      <c r="K286" s="425"/>
      <c r="L286" s="425"/>
      <c r="M286" s="425"/>
      <c r="N286" s="425"/>
      <c r="O286" s="425"/>
      <c r="P286" s="425"/>
      <c r="Q286" s="425"/>
      <c r="R286" s="425"/>
      <c r="S286" s="425"/>
      <c r="T286" s="425"/>
      <c r="U286" s="425"/>
      <c r="V286" s="425"/>
      <c r="W286" s="425"/>
      <c r="X286" s="425"/>
      <c r="Y286" s="425"/>
      <c r="Z286" s="425"/>
      <c r="AA286" s="425"/>
      <c r="AB286" s="425"/>
      <c r="AC286" s="425"/>
      <c r="AD286" s="425"/>
      <c r="AE286" s="425"/>
      <c r="AF286" s="425"/>
      <c r="AG286" s="425"/>
    </row>
    <row r="287" ht="15.75" customHeight="1">
      <c r="A287" s="425"/>
      <c r="B287" s="425"/>
      <c r="C287" s="425"/>
      <c r="D287" s="425"/>
      <c r="E287" s="425"/>
      <c r="F287" s="425"/>
      <c r="G287" s="425"/>
      <c r="H287" s="425"/>
      <c r="I287" s="425"/>
      <c r="J287" s="425"/>
      <c r="K287" s="425"/>
      <c r="L287" s="425"/>
      <c r="M287" s="425"/>
      <c r="N287" s="425"/>
      <c r="O287" s="425"/>
      <c r="P287" s="425"/>
      <c r="Q287" s="425"/>
      <c r="R287" s="425"/>
      <c r="S287" s="425"/>
      <c r="T287" s="425"/>
      <c r="U287" s="425"/>
      <c r="V287" s="425"/>
      <c r="W287" s="425"/>
      <c r="X287" s="425"/>
      <c r="Y287" s="425"/>
      <c r="Z287" s="425"/>
      <c r="AA287" s="425"/>
      <c r="AB287" s="425"/>
      <c r="AC287" s="425"/>
      <c r="AD287" s="425"/>
      <c r="AE287" s="425"/>
      <c r="AF287" s="425"/>
      <c r="AG287" s="425"/>
    </row>
    <row r="288" ht="15.75" customHeight="1">
      <c r="A288" s="425"/>
      <c r="B288" s="425"/>
      <c r="C288" s="425"/>
      <c r="D288" s="425"/>
      <c r="E288" s="425"/>
      <c r="F288" s="425"/>
      <c r="G288" s="425"/>
      <c r="H288" s="425"/>
      <c r="I288" s="425"/>
      <c r="J288" s="425"/>
      <c r="K288" s="425"/>
      <c r="L288" s="425"/>
      <c r="M288" s="425"/>
      <c r="N288" s="425"/>
      <c r="O288" s="425"/>
      <c r="P288" s="425"/>
      <c r="Q288" s="425"/>
      <c r="R288" s="425"/>
      <c r="S288" s="425"/>
      <c r="T288" s="425"/>
      <c r="U288" s="425"/>
      <c r="V288" s="425"/>
      <c r="W288" s="425"/>
      <c r="X288" s="425"/>
      <c r="Y288" s="425"/>
      <c r="Z288" s="425"/>
      <c r="AA288" s="425"/>
      <c r="AB288" s="425"/>
      <c r="AC288" s="425"/>
      <c r="AD288" s="425"/>
      <c r="AE288" s="425"/>
      <c r="AF288" s="425"/>
      <c r="AG288" s="425"/>
    </row>
    <row r="289" ht="15.75" customHeight="1">
      <c r="A289" s="425"/>
      <c r="B289" s="425"/>
      <c r="C289" s="425"/>
      <c r="D289" s="425"/>
      <c r="E289" s="425"/>
      <c r="F289" s="425"/>
      <c r="G289" s="425"/>
      <c r="H289" s="425"/>
      <c r="I289" s="425"/>
      <c r="J289" s="425"/>
      <c r="K289" s="425"/>
      <c r="L289" s="425"/>
      <c r="M289" s="425"/>
      <c r="N289" s="425"/>
      <c r="O289" s="425"/>
      <c r="P289" s="425"/>
      <c r="Q289" s="42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  <c r="AD289" s="425"/>
      <c r="AE289" s="425"/>
      <c r="AF289" s="425"/>
      <c r="AG289" s="425"/>
    </row>
    <row r="290" ht="15.75" customHeight="1">
      <c r="A290" s="425"/>
      <c r="B290" s="425"/>
      <c r="C290" s="425"/>
      <c r="D290" s="425"/>
      <c r="E290" s="425"/>
      <c r="F290" s="425"/>
      <c r="G290" s="425"/>
      <c r="H290" s="425"/>
      <c r="I290" s="425"/>
      <c r="J290" s="425"/>
      <c r="K290" s="425"/>
      <c r="L290" s="425"/>
      <c r="M290" s="425"/>
      <c r="N290" s="425"/>
      <c r="O290" s="425"/>
      <c r="P290" s="425"/>
      <c r="Q290" s="42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  <c r="AD290" s="425"/>
      <c r="AE290" s="425"/>
      <c r="AF290" s="425"/>
      <c r="AG290" s="425"/>
    </row>
    <row r="291" ht="15.75" customHeight="1">
      <c r="A291" s="425"/>
      <c r="B291" s="425"/>
      <c r="C291" s="425"/>
      <c r="D291" s="425"/>
      <c r="E291" s="425"/>
      <c r="F291" s="425"/>
      <c r="G291" s="425"/>
      <c r="H291" s="425"/>
      <c r="I291" s="425"/>
      <c r="J291" s="425"/>
      <c r="K291" s="425"/>
      <c r="L291" s="425"/>
      <c r="M291" s="425"/>
      <c r="N291" s="425"/>
      <c r="O291" s="425"/>
      <c r="P291" s="425"/>
      <c r="Q291" s="425"/>
      <c r="R291" s="425"/>
      <c r="S291" s="425"/>
      <c r="T291" s="425"/>
      <c r="U291" s="425"/>
      <c r="V291" s="425"/>
      <c r="W291" s="425"/>
      <c r="X291" s="425"/>
      <c r="Y291" s="425"/>
      <c r="Z291" s="425"/>
      <c r="AA291" s="425"/>
      <c r="AB291" s="425"/>
      <c r="AC291" s="425"/>
      <c r="AD291" s="425"/>
      <c r="AE291" s="425"/>
      <c r="AF291" s="425"/>
      <c r="AG291" s="425"/>
    </row>
    <row r="292" ht="15.75" customHeight="1">
      <c r="A292" s="425"/>
      <c r="B292" s="425"/>
      <c r="C292" s="425"/>
      <c r="D292" s="425"/>
      <c r="E292" s="425"/>
      <c r="F292" s="425"/>
      <c r="G292" s="425"/>
      <c r="H292" s="425"/>
      <c r="I292" s="425"/>
      <c r="J292" s="425"/>
      <c r="K292" s="425"/>
      <c r="L292" s="425"/>
      <c r="M292" s="425"/>
      <c r="N292" s="425"/>
      <c r="O292" s="425"/>
      <c r="P292" s="425"/>
      <c r="Q292" s="425"/>
      <c r="R292" s="425"/>
      <c r="S292" s="425"/>
      <c r="T292" s="425"/>
      <c r="U292" s="425"/>
      <c r="V292" s="425"/>
      <c r="W292" s="425"/>
      <c r="X292" s="425"/>
      <c r="Y292" s="425"/>
      <c r="Z292" s="425"/>
      <c r="AA292" s="425"/>
      <c r="AB292" s="425"/>
      <c r="AC292" s="425"/>
      <c r="AD292" s="425"/>
      <c r="AE292" s="425"/>
      <c r="AF292" s="425"/>
      <c r="AG292" s="425"/>
    </row>
    <row r="293" ht="15.75" customHeight="1">
      <c r="A293" s="425"/>
      <c r="B293" s="425"/>
      <c r="C293" s="425"/>
      <c r="D293" s="425"/>
      <c r="E293" s="425"/>
      <c r="F293" s="425"/>
      <c r="G293" s="425"/>
      <c r="H293" s="425"/>
      <c r="I293" s="425"/>
      <c r="J293" s="425"/>
      <c r="K293" s="425"/>
      <c r="L293" s="425"/>
      <c r="M293" s="425"/>
      <c r="N293" s="425"/>
      <c r="O293" s="425"/>
      <c r="P293" s="425"/>
      <c r="Q293" s="42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  <c r="AD293" s="425"/>
      <c r="AE293" s="425"/>
      <c r="AF293" s="425"/>
      <c r="AG293" s="425"/>
    </row>
    <row r="294" ht="15.75" customHeight="1">
      <c r="A294" s="425"/>
      <c r="B294" s="425"/>
      <c r="C294" s="425"/>
      <c r="D294" s="425"/>
      <c r="E294" s="425"/>
      <c r="F294" s="425"/>
      <c r="G294" s="425"/>
      <c r="H294" s="425"/>
      <c r="I294" s="425"/>
      <c r="J294" s="425"/>
      <c r="K294" s="425"/>
      <c r="L294" s="425"/>
      <c r="M294" s="425"/>
      <c r="N294" s="425"/>
      <c r="O294" s="425"/>
      <c r="P294" s="425"/>
      <c r="Q294" s="42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  <c r="AD294" s="425"/>
      <c r="AE294" s="425"/>
      <c r="AF294" s="425"/>
      <c r="AG294" s="425"/>
    </row>
    <row r="295" ht="15.75" customHeight="1">
      <c r="A295" s="425"/>
      <c r="B295" s="425"/>
      <c r="C295" s="425"/>
      <c r="D295" s="425"/>
      <c r="E295" s="425"/>
      <c r="F295" s="425"/>
      <c r="G295" s="425"/>
      <c r="H295" s="425"/>
      <c r="I295" s="425"/>
      <c r="J295" s="425"/>
      <c r="K295" s="425"/>
      <c r="L295" s="425"/>
      <c r="M295" s="425"/>
      <c r="N295" s="425"/>
      <c r="O295" s="425"/>
      <c r="P295" s="425"/>
      <c r="Q295" s="42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  <c r="AD295" s="425"/>
      <c r="AE295" s="425"/>
      <c r="AF295" s="425"/>
      <c r="AG295" s="425"/>
    </row>
    <row r="296" ht="15.75" customHeight="1">
      <c r="A296" s="425"/>
      <c r="B296" s="425"/>
      <c r="C296" s="425"/>
      <c r="D296" s="425"/>
      <c r="E296" s="425"/>
      <c r="F296" s="425"/>
      <c r="G296" s="425"/>
      <c r="H296" s="425"/>
      <c r="I296" s="425"/>
      <c r="J296" s="425"/>
      <c r="K296" s="425"/>
      <c r="L296" s="425"/>
      <c r="M296" s="425"/>
      <c r="N296" s="425"/>
      <c r="O296" s="425"/>
      <c r="P296" s="425"/>
      <c r="Q296" s="42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  <c r="AD296" s="425"/>
      <c r="AE296" s="425"/>
      <c r="AF296" s="425"/>
      <c r="AG296" s="425"/>
    </row>
    <row r="297" ht="15.75" customHeight="1">
      <c r="A297" s="425"/>
      <c r="B297" s="425"/>
      <c r="C297" s="425"/>
      <c r="D297" s="425"/>
      <c r="E297" s="425"/>
      <c r="F297" s="425"/>
      <c r="G297" s="425"/>
      <c r="H297" s="425"/>
      <c r="I297" s="425"/>
      <c r="J297" s="425"/>
      <c r="K297" s="425"/>
      <c r="L297" s="425"/>
      <c r="M297" s="425"/>
      <c r="N297" s="425"/>
      <c r="O297" s="425"/>
      <c r="P297" s="425"/>
      <c r="Q297" s="42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  <c r="AD297" s="425"/>
      <c r="AE297" s="425"/>
      <c r="AF297" s="425"/>
      <c r="AG297" s="425"/>
    </row>
    <row r="298" ht="15.75" customHeight="1">
      <c r="A298" s="425"/>
      <c r="B298" s="425"/>
      <c r="C298" s="425"/>
      <c r="D298" s="425"/>
      <c r="E298" s="425"/>
      <c r="F298" s="425"/>
      <c r="G298" s="425"/>
      <c r="H298" s="425"/>
      <c r="I298" s="425"/>
      <c r="J298" s="425"/>
      <c r="K298" s="425"/>
      <c r="L298" s="425"/>
      <c r="M298" s="425"/>
      <c r="N298" s="425"/>
      <c r="O298" s="425"/>
      <c r="P298" s="425"/>
      <c r="Q298" s="425"/>
      <c r="R298" s="425"/>
      <c r="S298" s="425"/>
      <c r="T298" s="425"/>
      <c r="U298" s="425"/>
      <c r="V298" s="425"/>
      <c r="W298" s="425"/>
      <c r="X298" s="425"/>
      <c r="Y298" s="425"/>
      <c r="Z298" s="425"/>
      <c r="AA298" s="425"/>
      <c r="AB298" s="425"/>
      <c r="AC298" s="425"/>
      <c r="AD298" s="425"/>
      <c r="AE298" s="425"/>
      <c r="AF298" s="425"/>
      <c r="AG298" s="425"/>
    </row>
    <row r="299" ht="15.75" customHeight="1">
      <c r="A299" s="425"/>
      <c r="B299" s="425"/>
      <c r="C299" s="425"/>
      <c r="D299" s="425"/>
      <c r="E299" s="425"/>
      <c r="F299" s="425"/>
      <c r="G299" s="425"/>
      <c r="H299" s="425"/>
      <c r="I299" s="425"/>
      <c r="J299" s="425"/>
      <c r="K299" s="425"/>
      <c r="L299" s="425"/>
      <c r="M299" s="425"/>
      <c r="N299" s="425"/>
      <c r="O299" s="425"/>
      <c r="P299" s="425"/>
      <c r="Q299" s="42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  <c r="AD299" s="425"/>
      <c r="AE299" s="425"/>
      <c r="AF299" s="425"/>
      <c r="AG299" s="425"/>
    </row>
    <row r="300" ht="15.75" customHeight="1">
      <c r="A300" s="425"/>
      <c r="B300" s="425"/>
      <c r="C300" s="425"/>
      <c r="D300" s="425"/>
      <c r="E300" s="425"/>
      <c r="F300" s="425"/>
      <c r="G300" s="425"/>
      <c r="H300" s="425"/>
      <c r="I300" s="425"/>
      <c r="J300" s="425"/>
      <c r="K300" s="425"/>
      <c r="L300" s="425"/>
      <c r="M300" s="425"/>
      <c r="N300" s="425"/>
      <c r="O300" s="425"/>
      <c r="P300" s="425"/>
      <c r="Q300" s="42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  <c r="AD300" s="425"/>
      <c r="AE300" s="425"/>
      <c r="AF300" s="425"/>
      <c r="AG300" s="425"/>
    </row>
    <row r="301" ht="15.75" customHeight="1">
      <c r="A301" s="425"/>
      <c r="B301" s="425"/>
      <c r="C301" s="425"/>
      <c r="D301" s="425"/>
      <c r="E301" s="425"/>
      <c r="F301" s="425"/>
      <c r="G301" s="425"/>
      <c r="H301" s="425"/>
      <c r="I301" s="425"/>
      <c r="J301" s="425"/>
      <c r="K301" s="425"/>
      <c r="L301" s="425"/>
      <c r="M301" s="425"/>
      <c r="N301" s="425"/>
      <c r="O301" s="425"/>
      <c r="P301" s="425"/>
      <c r="Q301" s="425"/>
      <c r="R301" s="425"/>
      <c r="S301" s="425"/>
      <c r="T301" s="425"/>
      <c r="U301" s="425"/>
      <c r="V301" s="425"/>
      <c r="W301" s="425"/>
      <c r="X301" s="425"/>
      <c r="Y301" s="425"/>
      <c r="Z301" s="425"/>
      <c r="AA301" s="425"/>
      <c r="AB301" s="425"/>
      <c r="AC301" s="425"/>
      <c r="AD301" s="425"/>
      <c r="AE301" s="425"/>
      <c r="AF301" s="425"/>
      <c r="AG301" s="425"/>
    </row>
    <row r="302" ht="15.75" customHeight="1">
      <c r="A302" s="425"/>
      <c r="B302" s="425"/>
      <c r="C302" s="425"/>
      <c r="D302" s="425"/>
      <c r="E302" s="425"/>
      <c r="F302" s="425"/>
      <c r="G302" s="425"/>
      <c r="H302" s="425"/>
      <c r="I302" s="425"/>
      <c r="J302" s="425"/>
      <c r="K302" s="425"/>
      <c r="L302" s="425"/>
      <c r="M302" s="425"/>
      <c r="N302" s="425"/>
      <c r="O302" s="425"/>
      <c r="P302" s="425"/>
      <c r="Q302" s="42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  <c r="AD302" s="425"/>
      <c r="AE302" s="425"/>
      <c r="AF302" s="425"/>
      <c r="AG302" s="425"/>
    </row>
    <row r="303" ht="15.75" customHeight="1">
      <c r="A303" s="425"/>
      <c r="B303" s="425"/>
      <c r="C303" s="425"/>
      <c r="D303" s="425"/>
      <c r="E303" s="425"/>
      <c r="F303" s="425"/>
      <c r="G303" s="425"/>
      <c r="H303" s="425"/>
      <c r="I303" s="425"/>
      <c r="J303" s="425"/>
      <c r="K303" s="425"/>
      <c r="L303" s="425"/>
      <c r="M303" s="425"/>
      <c r="N303" s="425"/>
      <c r="O303" s="425"/>
      <c r="P303" s="425"/>
      <c r="Q303" s="42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  <c r="AD303" s="425"/>
      <c r="AE303" s="425"/>
      <c r="AF303" s="425"/>
      <c r="AG303" s="425"/>
    </row>
    <row r="304" ht="15.75" customHeight="1">
      <c r="A304" s="425"/>
      <c r="B304" s="425"/>
      <c r="C304" s="425"/>
      <c r="D304" s="425"/>
      <c r="E304" s="425"/>
      <c r="F304" s="425"/>
      <c r="G304" s="425"/>
      <c r="H304" s="425"/>
      <c r="I304" s="425"/>
      <c r="J304" s="425"/>
      <c r="K304" s="425"/>
      <c r="L304" s="425"/>
      <c r="M304" s="425"/>
      <c r="N304" s="425"/>
      <c r="O304" s="425"/>
      <c r="P304" s="425"/>
      <c r="Q304" s="42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  <c r="AD304" s="425"/>
      <c r="AE304" s="425"/>
      <c r="AF304" s="425"/>
      <c r="AG304" s="425"/>
    </row>
    <row r="305" ht="15.75" customHeight="1">
      <c r="A305" s="425"/>
      <c r="B305" s="425"/>
      <c r="C305" s="425"/>
      <c r="D305" s="425"/>
      <c r="E305" s="425"/>
      <c r="F305" s="425"/>
      <c r="G305" s="425"/>
      <c r="H305" s="425"/>
      <c r="I305" s="425"/>
      <c r="J305" s="425"/>
      <c r="K305" s="425"/>
      <c r="L305" s="425"/>
      <c r="M305" s="425"/>
      <c r="N305" s="425"/>
      <c r="O305" s="425"/>
      <c r="P305" s="425"/>
      <c r="Q305" s="42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  <c r="AD305" s="425"/>
      <c r="AE305" s="425"/>
      <c r="AF305" s="425"/>
      <c r="AG305" s="425"/>
    </row>
    <row r="306" ht="15.75" customHeight="1">
      <c r="A306" s="425"/>
      <c r="B306" s="425"/>
      <c r="C306" s="425"/>
      <c r="D306" s="425"/>
      <c r="E306" s="425"/>
      <c r="F306" s="425"/>
      <c r="G306" s="425"/>
      <c r="H306" s="425"/>
      <c r="I306" s="425"/>
      <c r="J306" s="425"/>
      <c r="K306" s="425"/>
      <c r="L306" s="425"/>
      <c r="M306" s="425"/>
      <c r="N306" s="425"/>
      <c r="O306" s="425"/>
      <c r="P306" s="425"/>
      <c r="Q306" s="42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  <c r="AD306" s="425"/>
      <c r="AE306" s="425"/>
      <c r="AF306" s="425"/>
      <c r="AG306" s="425"/>
    </row>
    <row r="307" ht="15.75" customHeight="1">
      <c r="A307" s="425"/>
      <c r="B307" s="425"/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P307" s="425"/>
      <c r="Q307" s="425"/>
      <c r="R307" s="425"/>
      <c r="S307" s="425"/>
      <c r="T307" s="425"/>
      <c r="U307" s="425"/>
      <c r="V307" s="425"/>
      <c r="W307" s="425"/>
      <c r="X307" s="425"/>
      <c r="Y307" s="425"/>
      <c r="Z307" s="425"/>
      <c r="AA307" s="425"/>
      <c r="AB307" s="425"/>
      <c r="AC307" s="425"/>
      <c r="AD307" s="425"/>
      <c r="AE307" s="425"/>
      <c r="AF307" s="425"/>
      <c r="AG307" s="425"/>
    </row>
    <row r="308" ht="15.75" customHeight="1">
      <c r="A308" s="425"/>
      <c r="B308" s="425"/>
      <c r="C308" s="425"/>
      <c r="D308" s="425"/>
      <c r="E308" s="425"/>
      <c r="F308" s="425"/>
      <c r="G308" s="425"/>
      <c r="H308" s="425"/>
      <c r="I308" s="425"/>
      <c r="J308" s="425"/>
      <c r="K308" s="425"/>
      <c r="L308" s="425"/>
      <c r="M308" s="425"/>
      <c r="N308" s="425"/>
      <c r="O308" s="425"/>
      <c r="P308" s="425"/>
      <c r="Q308" s="42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  <c r="AD308" s="425"/>
      <c r="AE308" s="425"/>
      <c r="AF308" s="425"/>
      <c r="AG308" s="425"/>
    </row>
    <row r="309" ht="15.75" customHeight="1">
      <c r="A309" s="425"/>
      <c r="B309" s="425"/>
      <c r="C309" s="425"/>
      <c r="D309" s="425"/>
      <c r="E309" s="425"/>
      <c r="F309" s="425"/>
      <c r="G309" s="425"/>
      <c r="H309" s="425"/>
      <c r="I309" s="425"/>
      <c r="J309" s="425"/>
      <c r="K309" s="425"/>
      <c r="L309" s="425"/>
      <c r="M309" s="425"/>
      <c r="N309" s="425"/>
      <c r="O309" s="425"/>
      <c r="P309" s="425"/>
      <c r="Q309" s="42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  <c r="AD309" s="425"/>
      <c r="AE309" s="425"/>
      <c r="AF309" s="425"/>
      <c r="AG309" s="425"/>
    </row>
    <row r="310" ht="15.75" customHeight="1">
      <c r="A310" s="425"/>
      <c r="B310" s="425"/>
      <c r="C310" s="425"/>
      <c r="D310" s="425"/>
      <c r="E310" s="425"/>
      <c r="F310" s="425"/>
      <c r="G310" s="425"/>
      <c r="H310" s="425"/>
      <c r="I310" s="425"/>
      <c r="J310" s="425"/>
      <c r="K310" s="425"/>
      <c r="L310" s="425"/>
      <c r="M310" s="425"/>
      <c r="N310" s="425"/>
      <c r="O310" s="425"/>
      <c r="P310" s="425"/>
      <c r="Q310" s="425"/>
      <c r="R310" s="425"/>
      <c r="S310" s="425"/>
      <c r="T310" s="425"/>
      <c r="U310" s="425"/>
      <c r="V310" s="425"/>
      <c r="W310" s="425"/>
      <c r="X310" s="425"/>
      <c r="Y310" s="425"/>
      <c r="Z310" s="425"/>
      <c r="AA310" s="425"/>
      <c r="AB310" s="425"/>
      <c r="AC310" s="425"/>
      <c r="AD310" s="425"/>
      <c r="AE310" s="425"/>
      <c r="AF310" s="425"/>
      <c r="AG310" s="425"/>
    </row>
    <row r="311" ht="15.75" customHeight="1">
      <c r="A311" s="425"/>
      <c r="B311" s="425"/>
      <c r="C311" s="425"/>
      <c r="D311" s="425"/>
      <c r="E311" s="425"/>
      <c r="F311" s="425"/>
      <c r="G311" s="425"/>
      <c r="H311" s="425"/>
      <c r="I311" s="425"/>
      <c r="J311" s="425"/>
      <c r="K311" s="425"/>
      <c r="L311" s="425"/>
      <c r="M311" s="425"/>
      <c r="N311" s="425"/>
      <c r="O311" s="425"/>
      <c r="P311" s="425"/>
      <c r="Q311" s="42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  <c r="AD311" s="425"/>
      <c r="AE311" s="425"/>
      <c r="AF311" s="425"/>
      <c r="AG311" s="425"/>
    </row>
    <row r="312" ht="15.75" customHeight="1">
      <c r="A312" s="425"/>
      <c r="B312" s="425"/>
      <c r="C312" s="425"/>
      <c r="D312" s="425"/>
      <c r="E312" s="425"/>
      <c r="F312" s="425"/>
      <c r="G312" s="425"/>
      <c r="H312" s="425"/>
      <c r="I312" s="425"/>
      <c r="J312" s="425"/>
      <c r="K312" s="425"/>
      <c r="L312" s="425"/>
      <c r="M312" s="425"/>
      <c r="N312" s="425"/>
      <c r="O312" s="425"/>
      <c r="P312" s="425"/>
      <c r="Q312" s="42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  <c r="AD312" s="425"/>
      <c r="AE312" s="425"/>
      <c r="AF312" s="425"/>
      <c r="AG312" s="425"/>
    </row>
    <row r="313" ht="15.75" customHeight="1">
      <c r="A313" s="425"/>
      <c r="B313" s="425"/>
      <c r="C313" s="425"/>
      <c r="D313" s="425"/>
      <c r="E313" s="425"/>
      <c r="F313" s="425"/>
      <c r="G313" s="425"/>
      <c r="H313" s="425"/>
      <c r="I313" s="425"/>
      <c r="J313" s="425"/>
      <c r="K313" s="425"/>
      <c r="L313" s="425"/>
      <c r="M313" s="425"/>
      <c r="N313" s="425"/>
      <c r="O313" s="425"/>
      <c r="P313" s="425"/>
      <c r="Q313" s="42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  <c r="AD313" s="425"/>
      <c r="AE313" s="425"/>
      <c r="AF313" s="425"/>
      <c r="AG313" s="425"/>
    </row>
    <row r="314" ht="15.75" customHeight="1">
      <c r="A314" s="425"/>
      <c r="B314" s="425"/>
      <c r="C314" s="425"/>
      <c r="D314" s="425"/>
      <c r="E314" s="425"/>
      <c r="F314" s="425"/>
      <c r="G314" s="425"/>
      <c r="H314" s="425"/>
      <c r="I314" s="425"/>
      <c r="J314" s="425"/>
      <c r="K314" s="425"/>
      <c r="L314" s="425"/>
      <c r="M314" s="425"/>
      <c r="N314" s="425"/>
      <c r="O314" s="425"/>
      <c r="P314" s="425"/>
      <c r="Q314" s="425"/>
      <c r="R314" s="425"/>
      <c r="S314" s="425"/>
      <c r="T314" s="425"/>
      <c r="U314" s="425"/>
      <c r="V314" s="425"/>
      <c r="W314" s="425"/>
      <c r="X314" s="425"/>
      <c r="Y314" s="425"/>
      <c r="Z314" s="425"/>
      <c r="AA314" s="425"/>
      <c r="AB314" s="425"/>
      <c r="AC314" s="425"/>
      <c r="AD314" s="425"/>
      <c r="AE314" s="425"/>
      <c r="AF314" s="425"/>
      <c r="AG314" s="425"/>
    </row>
    <row r="315" ht="15.75" customHeight="1">
      <c r="A315" s="425"/>
      <c r="B315" s="425"/>
      <c r="C315" s="425"/>
      <c r="D315" s="425"/>
      <c r="E315" s="425"/>
      <c r="F315" s="425"/>
      <c r="G315" s="425"/>
      <c r="H315" s="425"/>
      <c r="I315" s="425"/>
      <c r="J315" s="425"/>
      <c r="K315" s="425"/>
      <c r="L315" s="425"/>
      <c r="M315" s="425"/>
      <c r="N315" s="425"/>
      <c r="O315" s="425"/>
      <c r="P315" s="425"/>
      <c r="Q315" s="425"/>
      <c r="R315" s="425"/>
      <c r="S315" s="425"/>
      <c r="T315" s="425"/>
      <c r="U315" s="425"/>
      <c r="V315" s="425"/>
      <c r="W315" s="425"/>
      <c r="X315" s="425"/>
      <c r="Y315" s="425"/>
      <c r="Z315" s="425"/>
      <c r="AA315" s="425"/>
      <c r="AB315" s="425"/>
      <c r="AC315" s="425"/>
      <c r="AD315" s="425"/>
      <c r="AE315" s="425"/>
      <c r="AF315" s="425"/>
      <c r="AG315" s="425"/>
    </row>
    <row r="316" ht="15.75" customHeight="1">
      <c r="A316" s="425"/>
      <c r="B316" s="425"/>
      <c r="C316" s="425"/>
      <c r="D316" s="425"/>
      <c r="E316" s="425"/>
      <c r="F316" s="425"/>
      <c r="G316" s="425"/>
      <c r="H316" s="425"/>
      <c r="I316" s="425"/>
      <c r="J316" s="425"/>
      <c r="K316" s="425"/>
      <c r="L316" s="425"/>
      <c r="M316" s="425"/>
      <c r="N316" s="425"/>
      <c r="O316" s="425"/>
      <c r="P316" s="425"/>
      <c r="Q316" s="425"/>
      <c r="R316" s="425"/>
      <c r="S316" s="425"/>
      <c r="T316" s="425"/>
      <c r="U316" s="425"/>
      <c r="V316" s="425"/>
      <c r="W316" s="425"/>
      <c r="X316" s="425"/>
      <c r="Y316" s="425"/>
      <c r="Z316" s="425"/>
      <c r="AA316" s="425"/>
      <c r="AB316" s="425"/>
      <c r="AC316" s="425"/>
      <c r="AD316" s="425"/>
      <c r="AE316" s="425"/>
      <c r="AF316" s="425"/>
      <c r="AG316" s="425"/>
    </row>
    <row r="317" ht="15.75" customHeight="1">
      <c r="A317" s="425"/>
      <c r="B317" s="425"/>
      <c r="C317" s="425"/>
      <c r="D317" s="425"/>
      <c r="E317" s="425"/>
      <c r="F317" s="425"/>
      <c r="G317" s="425"/>
      <c r="H317" s="425"/>
      <c r="I317" s="425"/>
      <c r="J317" s="425"/>
      <c r="K317" s="425"/>
      <c r="L317" s="425"/>
      <c r="M317" s="425"/>
      <c r="N317" s="425"/>
      <c r="O317" s="425"/>
      <c r="P317" s="425"/>
      <c r="Q317" s="425"/>
      <c r="R317" s="425"/>
      <c r="S317" s="425"/>
      <c r="T317" s="425"/>
      <c r="U317" s="425"/>
      <c r="V317" s="425"/>
      <c r="W317" s="425"/>
      <c r="X317" s="425"/>
      <c r="Y317" s="425"/>
      <c r="Z317" s="425"/>
      <c r="AA317" s="425"/>
      <c r="AB317" s="425"/>
      <c r="AC317" s="425"/>
      <c r="AD317" s="425"/>
      <c r="AE317" s="425"/>
      <c r="AF317" s="425"/>
      <c r="AG317" s="425"/>
    </row>
    <row r="318" ht="15.75" customHeight="1">
      <c r="A318" s="425"/>
      <c r="B318" s="425"/>
      <c r="C318" s="425"/>
      <c r="D318" s="425"/>
      <c r="E318" s="425"/>
      <c r="F318" s="425"/>
      <c r="G318" s="425"/>
      <c r="H318" s="425"/>
      <c r="I318" s="425"/>
      <c r="J318" s="425"/>
      <c r="K318" s="425"/>
      <c r="L318" s="425"/>
      <c r="M318" s="425"/>
      <c r="N318" s="425"/>
      <c r="O318" s="425"/>
      <c r="P318" s="425"/>
      <c r="Q318" s="425"/>
      <c r="R318" s="425"/>
      <c r="S318" s="425"/>
      <c r="T318" s="425"/>
      <c r="U318" s="425"/>
      <c r="V318" s="425"/>
      <c r="W318" s="425"/>
      <c r="X318" s="425"/>
      <c r="Y318" s="425"/>
      <c r="Z318" s="425"/>
      <c r="AA318" s="425"/>
      <c r="AB318" s="425"/>
      <c r="AC318" s="425"/>
      <c r="AD318" s="425"/>
      <c r="AE318" s="425"/>
      <c r="AF318" s="425"/>
      <c r="AG318" s="425"/>
    </row>
    <row r="319" ht="15.75" customHeight="1">
      <c r="A319" s="425"/>
      <c r="B319" s="425"/>
      <c r="C319" s="425"/>
      <c r="D319" s="425"/>
      <c r="E319" s="425"/>
      <c r="F319" s="425"/>
      <c r="G319" s="425"/>
      <c r="H319" s="425"/>
      <c r="I319" s="425"/>
      <c r="J319" s="425"/>
      <c r="K319" s="425"/>
      <c r="L319" s="425"/>
      <c r="M319" s="425"/>
      <c r="N319" s="425"/>
      <c r="O319" s="425"/>
      <c r="P319" s="425"/>
      <c r="Q319" s="425"/>
      <c r="R319" s="425"/>
      <c r="S319" s="425"/>
      <c r="T319" s="425"/>
      <c r="U319" s="425"/>
      <c r="V319" s="425"/>
      <c r="W319" s="425"/>
      <c r="X319" s="425"/>
      <c r="Y319" s="425"/>
      <c r="Z319" s="425"/>
      <c r="AA319" s="425"/>
      <c r="AB319" s="425"/>
      <c r="AC319" s="425"/>
      <c r="AD319" s="425"/>
      <c r="AE319" s="425"/>
      <c r="AF319" s="425"/>
      <c r="AG319" s="425"/>
    </row>
    <row r="320" ht="15.75" customHeight="1">
      <c r="A320" s="425"/>
      <c r="B320" s="425"/>
      <c r="C320" s="425"/>
      <c r="D320" s="425"/>
      <c r="E320" s="425"/>
      <c r="F320" s="425"/>
      <c r="G320" s="425"/>
      <c r="H320" s="425"/>
      <c r="I320" s="425"/>
      <c r="J320" s="425"/>
      <c r="K320" s="425"/>
      <c r="L320" s="425"/>
      <c r="M320" s="425"/>
      <c r="N320" s="425"/>
      <c r="O320" s="425"/>
      <c r="P320" s="425"/>
      <c r="Q320" s="425"/>
      <c r="R320" s="425"/>
      <c r="S320" s="425"/>
      <c r="T320" s="425"/>
      <c r="U320" s="425"/>
      <c r="V320" s="425"/>
      <c r="W320" s="425"/>
      <c r="X320" s="425"/>
      <c r="Y320" s="425"/>
      <c r="Z320" s="425"/>
      <c r="AA320" s="425"/>
      <c r="AB320" s="425"/>
      <c r="AC320" s="425"/>
      <c r="AD320" s="425"/>
      <c r="AE320" s="425"/>
      <c r="AF320" s="425"/>
      <c r="AG320" s="425"/>
    </row>
    <row r="321" ht="15.75" customHeight="1">
      <c r="A321" s="425"/>
      <c r="B321" s="425"/>
      <c r="C321" s="425"/>
      <c r="D321" s="425"/>
      <c r="E321" s="425"/>
      <c r="F321" s="425"/>
      <c r="G321" s="425"/>
      <c r="H321" s="425"/>
      <c r="I321" s="425"/>
      <c r="J321" s="425"/>
      <c r="K321" s="425"/>
      <c r="L321" s="425"/>
      <c r="M321" s="425"/>
      <c r="N321" s="425"/>
      <c r="O321" s="425"/>
      <c r="P321" s="425"/>
      <c r="Q321" s="425"/>
      <c r="R321" s="425"/>
      <c r="S321" s="425"/>
      <c r="T321" s="425"/>
      <c r="U321" s="425"/>
      <c r="V321" s="425"/>
      <c r="W321" s="425"/>
      <c r="X321" s="425"/>
      <c r="Y321" s="425"/>
      <c r="Z321" s="425"/>
      <c r="AA321" s="425"/>
      <c r="AB321" s="425"/>
      <c r="AC321" s="425"/>
      <c r="AD321" s="425"/>
      <c r="AE321" s="425"/>
      <c r="AF321" s="425"/>
      <c r="AG321" s="425"/>
    </row>
    <row r="322" ht="15.75" customHeight="1">
      <c r="A322" s="425"/>
      <c r="B322" s="425"/>
      <c r="C322" s="425"/>
      <c r="D322" s="425"/>
      <c r="E322" s="425"/>
      <c r="F322" s="425"/>
      <c r="G322" s="425"/>
      <c r="H322" s="425"/>
      <c r="I322" s="425"/>
      <c r="J322" s="425"/>
      <c r="K322" s="425"/>
      <c r="L322" s="425"/>
      <c r="M322" s="425"/>
      <c r="N322" s="425"/>
      <c r="O322" s="425"/>
      <c r="P322" s="425"/>
      <c r="Q322" s="425"/>
      <c r="R322" s="425"/>
      <c r="S322" s="425"/>
      <c r="T322" s="425"/>
      <c r="U322" s="425"/>
      <c r="V322" s="425"/>
      <c r="W322" s="425"/>
      <c r="X322" s="425"/>
      <c r="Y322" s="425"/>
      <c r="Z322" s="425"/>
      <c r="AA322" s="425"/>
      <c r="AB322" s="425"/>
      <c r="AC322" s="425"/>
      <c r="AD322" s="425"/>
      <c r="AE322" s="425"/>
      <c r="AF322" s="425"/>
      <c r="AG322" s="425"/>
    </row>
    <row r="323" ht="15.75" customHeight="1">
      <c r="A323" s="425"/>
      <c r="B323" s="425"/>
      <c r="C323" s="425"/>
      <c r="D323" s="425"/>
      <c r="E323" s="425"/>
      <c r="F323" s="425"/>
      <c r="G323" s="425"/>
      <c r="H323" s="425"/>
      <c r="I323" s="425"/>
      <c r="J323" s="425"/>
      <c r="K323" s="425"/>
      <c r="L323" s="425"/>
      <c r="M323" s="425"/>
      <c r="N323" s="425"/>
      <c r="O323" s="425"/>
      <c r="P323" s="425"/>
      <c r="Q323" s="425"/>
      <c r="R323" s="425"/>
      <c r="S323" s="425"/>
      <c r="T323" s="425"/>
      <c r="U323" s="425"/>
      <c r="V323" s="425"/>
      <c r="W323" s="425"/>
      <c r="X323" s="425"/>
      <c r="Y323" s="425"/>
      <c r="Z323" s="425"/>
      <c r="AA323" s="425"/>
      <c r="AB323" s="425"/>
      <c r="AC323" s="425"/>
      <c r="AD323" s="425"/>
      <c r="AE323" s="425"/>
      <c r="AF323" s="425"/>
      <c r="AG323" s="425"/>
    </row>
    <row r="324" ht="15.75" customHeight="1">
      <c r="A324" s="425"/>
      <c r="B324" s="425"/>
      <c r="C324" s="425"/>
      <c r="D324" s="425"/>
      <c r="E324" s="425"/>
      <c r="F324" s="425"/>
      <c r="G324" s="425"/>
      <c r="H324" s="425"/>
      <c r="I324" s="425"/>
      <c r="J324" s="425"/>
      <c r="K324" s="425"/>
      <c r="L324" s="425"/>
      <c r="M324" s="425"/>
      <c r="N324" s="425"/>
      <c r="O324" s="425"/>
      <c r="P324" s="425"/>
      <c r="Q324" s="425"/>
      <c r="R324" s="425"/>
      <c r="S324" s="425"/>
      <c r="T324" s="425"/>
      <c r="U324" s="425"/>
      <c r="V324" s="425"/>
      <c r="W324" s="425"/>
      <c r="X324" s="425"/>
      <c r="Y324" s="425"/>
      <c r="Z324" s="425"/>
      <c r="AA324" s="425"/>
      <c r="AB324" s="425"/>
      <c r="AC324" s="425"/>
      <c r="AD324" s="425"/>
      <c r="AE324" s="425"/>
      <c r="AF324" s="425"/>
      <c r="AG324" s="425"/>
    </row>
    <row r="325" ht="15.75" customHeight="1">
      <c r="A325" s="425"/>
      <c r="B325" s="425"/>
      <c r="C325" s="425"/>
      <c r="D325" s="425"/>
      <c r="E325" s="425"/>
      <c r="F325" s="425"/>
      <c r="G325" s="425"/>
      <c r="H325" s="425"/>
      <c r="I325" s="425"/>
      <c r="J325" s="425"/>
      <c r="K325" s="425"/>
      <c r="L325" s="425"/>
      <c r="M325" s="425"/>
      <c r="N325" s="425"/>
      <c r="O325" s="425"/>
      <c r="P325" s="425"/>
      <c r="Q325" s="425"/>
      <c r="R325" s="425"/>
      <c r="S325" s="425"/>
      <c r="T325" s="425"/>
      <c r="U325" s="425"/>
      <c r="V325" s="425"/>
      <c r="W325" s="425"/>
      <c r="X325" s="425"/>
      <c r="Y325" s="425"/>
      <c r="Z325" s="425"/>
      <c r="AA325" s="425"/>
      <c r="AB325" s="425"/>
      <c r="AC325" s="425"/>
      <c r="AD325" s="425"/>
      <c r="AE325" s="425"/>
      <c r="AF325" s="425"/>
      <c r="AG325" s="425"/>
    </row>
    <row r="326" ht="15.75" customHeight="1">
      <c r="A326" s="425"/>
      <c r="B326" s="425"/>
      <c r="C326" s="425"/>
      <c r="D326" s="425"/>
      <c r="E326" s="425"/>
      <c r="F326" s="425"/>
      <c r="G326" s="425"/>
      <c r="H326" s="425"/>
      <c r="I326" s="425"/>
      <c r="J326" s="425"/>
      <c r="K326" s="425"/>
      <c r="L326" s="425"/>
      <c r="M326" s="425"/>
      <c r="N326" s="425"/>
      <c r="O326" s="425"/>
      <c r="P326" s="425"/>
      <c r="Q326" s="425"/>
      <c r="R326" s="425"/>
      <c r="S326" s="425"/>
      <c r="T326" s="425"/>
      <c r="U326" s="425"/>
      <c r="V326" s="425"/>
      <c r="W326" s="425"/>
      <c r="X326" s="425"/>
      <c r="Y326" s="425"/>
      <c r="Z326" s="425"/>
      <c r="AA326" s="425"/>
      <c r="AB326" s="425"/>
      <c r="AC326" s="425"/>
      <c r="AD326" s="425"/>
      <c r="AE326" s="425"/>
      <c r="AF326" s="425"/>
      <c r="AG326" s="425"/>
    </row>
    <row r="327" ht="15.75" customHeight="1">
      <c r="A327" s="425"/>
      <c r="B327" s="425"/>
      <c r="C327" s="425"/>
      <c r="D327" s="425"/>
      <c r="E327" s="425"/>
      <c r="F327" s="425"/>
      <c r="G327" s="425"/>
      <c r="H327" s="425"/>
      <c r="I327" s="425"/>
      <c r="J327" s="425"/>
      <c r="K327" s="425"/>
      <c r="L327" s="425"/>
      <c r="M327" s="425"/>
      <c r="N327" s="425"/>
      <c r="O327" s="425"/>
      <c r="P327" s="425"/>
      <c r="Q327" s="425"/>
      <c r="R327" s="425"/>
      <c r="S327" s="425"/>
      <c r="T327" s="425"/>
      <c r="U327" s="425"/>
      <c r="V327" s="425"/>
      <c r="W327" s="425"/>
      <c r="X327" s="425"/>
      <c r="Y327" s="425"/>
      <c r="Z327" s="425"/>
      <c r="AA327" s="425"/>
      <c r="AB327" s="425"/>
      <c r="AC327" s="425"/>
      <c r="AD327" s="425"/>
      <c r="AE327" s="425"/>
      <c r="AF327" s="425"/>
      <c r="AG327" s="425"/>
    </row>
    <row r="328" ht="15.75" customHeight="1">
      <c r="A328" s="425"/>
      <c r="B328" s="425"/>
      <c r="C328" s="425"/>
      <c r="D328" s="425"/>
      <c r="E328" s="425"/>
      <c r="F328" s="425"/>
      <c r="G328" s="425"/>
      <c r="H328" s="425"/>
      <c r="I328" s="425"/>
      <c r="J328" s="425"/>
      <c r="K328" s="425"/>
      <c r="L328" s="425"/>
      <c r="M328" s="425"/>
      <c r="N328" s="425"/>
      <c r="O328" s="425"/>
      <c r="P328" s="425"/>
      <c r="Q328" s="425"/>
      <c r="R328" s="425"/>
      <c r="S328" s="425"/>
      <c r="T328" s="425"/>
      <c r="U328" s="425"/>
      <c r="V328" s="425"/>
      <c r="W328" s="425"/>
      <c r="X328" s="425"/>
      <c r="Y328" s="425"/>
      <c r="Z328" s="425"/>
      <c r="AA328" s="425"/>
      <c r="AB328" s="425"/>
      <c r="AC328" s="425"/>
      <c r="AD328" s="425"/>
      <c r="AE328" s="425"/>
      <c r="AF328" s="425"/>
      <c r="AG328" s="425"/>
    </row>
    <row r="329" ht="15.75" customHeight="1">
      <c r="A329" s="425"/>
      <c r="B329" s="425"/>
      <c r="C329" s="425"/>
      <c r="D329" s="425"/>
      <c r="E329" s="425"/>
      <c r="F329" s="425"/>
      <c r="G329" s="425"/>
      <c r="H329" s="425"/>
      <c r="I329" s="425"/>
      <c r="J329" s="425"/>
      <c r="K329" s="425"/>
      <c r="L329" s="425"/>
      <c r="M329" s="425"/>
      <c r="N329" s="425"/>
      <c r="O329" s="425"/>
      <c r="P329" s="425"/>
      <c r="Q329" s="425"/>
      <c r="R329" s="425"/>
      <c r="S329" s="425"/>
      <c r="T329" s="425"/>
      <c r="U329" s="425"/>
      <c r="V329" s="425"/>
      <c r="W329" s="425"/>
      <c r="X329" s="425"/>
      <c r="Y329" s="425"/>
      <c r="Z329" s="425"/>
      <c r="AA329" s="425"/>
      <c r="AB329" s="425"/>
      <c r="AC329" s="425"/>
      <c r="AD329" s="425"/>
      <c r="AE329" s="425"/>
      <c r="AF329" s="425"/>
      <c r="AG329" s="425"/>
    </row>
    <row r="330" ht="15.75" customHeight="1">
      <c r="A330" s="425"/>
      <c r="B330" s="425"/>
      <c r="C330" s="425"/>
      <c r="D330" s="425"/>
      <c r="E330" s="425"/>
      <c r="F330" s="425"/>
      <c r="G330" s="425"/>
      <c r="H330" s="425"/>
      <c r="I330" s="425"/>
      <c r="J330" s="425"/>
      <c r="K330" s="425"/>
      <c r="L330" s="425"/>
      <c r="M330" s="425"/>
      <c r="N330" s="425"/>
      <c r="O330" s="425"/>
      <c r="P330" s="425"/>
      <c r="Q330" s="425"/>
      <c r="R330" s="425"/>
      <c r="S330" s="425"/>
      <c r="T330" s="425"/>
      <c r="U330" s="425"/>
      <c r="V330" s="425"/>
      <c r="W330" s="425"/>
      <c r="X330" s="425"/>
      <c r="Y330" s="425"/>
      <c r="Z330" s="425"/>
      <c r="AA330" s="425"/>
      <c r="AB330" s="425"/>
      <c r="AC330" s="425"/>
      <c r="AD330" s="425"/>
      <c r="AE330" s="425"/>
      <c r="AF330" s="425"/>
      <c r="AG330" s="425"/>
    </row>
    <row r="331" ht="15.75" customHeight="1">
      <c r="A331" s="425"/>
      <c r="B331" s="425"/>
      <c r="C331" s="425"/>
      <c r="D331" s="425"/>
      <c r="E331" s="425"/>
      <c r="F331" s="425"/>
      <c r="G331" s="425"/>
      <c r="H331" s="425"/>
      <c r="I331" s="425"/>
      <c r="J331" s="425"/>
      <c r="K331" s="425"/>
      <c r="L331" s="425"/>
      <c r="M331" s="425"/>
      <c r="N331" s="425"/>
      <c r="O331" s="425"/>
      <c r="P331" s="425"/>
      <c r="Q331" s="425"/>
      <c r="R331" s="425"/>
      <c r="S331" s="425"/>
      <c r="T331" s="425"/>
      <c r="U331" s="425"/>
      <c r="V331" s="425"/>
      <c r="W331" s="425"/>
      <c r="X331" s="425"/>
      <c r="Y331" s="425"/>
      <c r="Z331" s="425"/>
      <c r="AA331" s="425"/>
      <c r="AB331" s="425"/>
      <c r="AC331" s="425"/>
      <c r="AD331" s="425"/>
      <c r="AE331" s="425"/>
      <c r="AF331" s="425"/>
      <c r="AG331" s="425"/>
    </row>
    <row r="332" ht="15.75" customHeight="1">
      <c r="A332" s="425"/>
      <c r="B332" s="425"/>
      <c r="C332" s="425"/>
      <c r="D332" s="425"/>
      <c r="E332" s="425"/>
      <c r="F332" s="425"/>
      <c r="G332" s="425"/>
      <c r="H332" s="425"/>
      <c r="I332" s="425"/>
      <c r="J332" s="425"/>
      <c r="K332" s="425"/>
      <c r="L332" s="425"/>
      <c r="M332" s="425"/>
      <c r="N332" s="425"/>
      <c r="O332" s="425"/>
      <c r="P332" s="425"/>
      <c r="Q332" s="425"/>
      <c r="R332" s="425"/>
      <c r="S332" s="425"/>
      <c r="T332" s="425"/>
      <c r="U332" s="425"/>
      <c r="V332" s="425"/>
      <c r="W332" s="425"/>
      <c r="X332" s="425"/>
      <c r="Y332" s="425"/>
      <c r="Z332" s="425"/>
      <c r="AA332" s="425"/>
      <c r="AB332" s="425"/>
      <c r="AC332" s="425"/>
      <c r="AD332" s="425"/>
      <c r="AE332" s="425"/>
      <c r="AF332" s="425"/>
      <c r="AG332" s="425"/>
    </row>
    <row r="333" ht="15.75" customHeight="1">
      <c r="A333" s="425"/>
      <c r="B333" s="425"/>
      <c r="C333" s="425"/>
      <c r="D333" s="425"/>
      <c r="E333" s="425"/>
      <c r="F333" s="425"/>
      <c r="G333" s="425"/>
      <c r="H333" s="425"/>
      <c r="I333" s="425"/>
      <c r="J333" s="425"/>
      <c r="K333" s="425"/>
      <c r="L333" s="425"/>
      <c r="M333" s="425"/>
      <c r="N333" s="425"/>
      <c r="O333" s="425"/>
      <c r="P333" s="425"/>
      <c r="Q333" s="425"/>
      <c r="R333" s="425"/>
      <c r="S333" s="425"/>
      <c r="T333" s="425"/>
      <c r="U333" s="425"/>
      <c r="V333" s="425"/>
      <c r="W333" s="425"/>
      <c r="X333" s="425"/>
      <c r="Y333" s="425"/>
      <c r="Z333" s="425"/>
      <c r="AA333" s="425"/>
      <c r="AB333" s="425"/>
      <c r="AC333" s="425"/>
      <c r="AD333" s="425"/>
      <c r="AE333" s="425"/>
      <c r="AF333" s="425"/>
      <c r="AG333" s="425"/>
    </row>
    <row r="334" ht="15.75" customHeight="1">
      <c r="A334" s="425"/>
      <c r="B334" s="425"/>
      <c r="C334" s="425"/>
      <c r="D334" s="425"/>
      <c r="E334" s="425"/>
      <c r="F334" s="425"/>
      <c r="G334" s="425"/>
      <c r="H334" s="425"/>
      <c r="I334" s="425"/>
      <c r="J334" s="425"/>
      <c r="K334" s="425"/>
      <c r="L334" s="425"/>
      <c r="M334" s="425"/>
      <c r="N334" s="425"/>
      <c r="O334" s="425"/>
      <c r="P334" s="425"/>
      <c r="Q334" s="425"/>
      <c r="R334" s="425"/>
      <c r="S334" s="425"/>
      <c r="T334" s="425"/>
      <c r="U334" s="425"/>
      <c r="V334" s="425"/>
      <c r="W334" s="425"/>
      <c r="X334" s="425"/>
      <c r="Y334" s="425"/>
      <c r="Z334" s="425"/>
      <c r="AA334" s="425"/>
      <c r="AB334" s="425"/>
      <c r="AC334" s="425"/>
      <c r="AD334" s="425"/>
      <c r="AE334" s="425"/>
      <c r="AF334" s="425"/>
      <c r="AG334" s="425"/>
    </row>
    <row r="335" ht="15.75" customHeight="1">
      <c r="A335" s="425"/>
      <c r="B335" s="425"/>
      <c r="C335" s="425"/>
      <c r="D335" s="425"/>
      <c r="E335" s="425"/>
      <c r="F335" s="425"/>
      <c r="G335" s="425"/>
      <c r="H335" s="425"/>
      <c r="I335" s="425"/>
      <c r="J335" s="425"/>
      <c r="K335" s="425"/>
      <c r="L335" s="425"/>
      <c r="M335" s="425"/>
      <c r="N335" s="425"/>
      <c r="O335" s="425"/>
      <c r="P335" s="425"/>
      <c r="Q335" s="425"/>
      <c r="R335" s="425"/>
      <c r="S335" s="425"/>
      <c r="T335" s="425"/>
      <c r="U335" s="425"/>
      <c r="V335" s="425"/>
      <c r="W335" s="425"/>
      <c r="X335" s="425"/>
      <c r="Y335" s="425"/>
      <c r="Z335" s="425"/>
      <c r="AA335" s="425"/>
      <c r="AB335" s="425"/>
      <c r="AC335" s="425"/>
      <c r="AD335" s="425"/>
      <c r="AE335" s="425"/>
      <c r="AF335" s="425"/>
      <c r="AG335" s="425"/>
    </row>
    <row r="336" ht="15.75" customHeight="1">
      <c r="A336" s="425"/>
      <c r="B336" s="425"/>
      <c r="C336" s="425"/>
      <c r="D336" s="425"/>
      <c r="E336" s="425"/>
      <c r="F336" s="425"/>
      <c r="G336" s="425"/>
      <c r="H336" s="425"/>
      <c r="I336" s="425"/>
      <c r="J336" s="425"/>
      <c r="K336" s="425"/>
      <c r="L336" s="425"/>
      <c r="M336" s="425"/>
      <c r="N336" s="425"/>
      <c r="O336" s="425"/>
      <c r="P336" s="425"/>
      <c r="Q336" s="425"/>
      <c r="R336" s="425"/>
      <c r="S336" s="425"/>
      <c r="T336" s="425"/>
      <c r="U336" s="425"/>
      <c r="V336" s="425"/>
      <c r="W336" s="425"/>
      <c r="X336" s="425"/>
      <c r="Y336" s="425"/>
      <c r="Z336" s="425"/>
      <c r="AA336" s="425"/>
      <c r="AB336" s="425"/>
      <c r="AC336" s="425"/>
      <c r="AD336" s="425"/>
      <c r="AE336" s="425"/>
      <c r="AF336" s="425"/>
      <c r="AG336" s="425"/>
    </row>
    <row r="337" ht="15.75" customHeight="1">
      <c r="A337" s="425"/>
      <c r="B337" s="425"/>
      <c r="C337" s="425"/>
      <c r="D337" s="425"/>
      <c r="E337" s="425"/>
      <c r="F337" s="425"/>
      <c r="G337" s="425"/>
      <c r="H337" s="425"/>
      <c r="I337" s="425"/>
      <c r="J337" s="425"/>
      <c r="K337" s="425"/>
      <c r="L337" s="425"/>
      <c r="M337" s="425"/>
      <c r="N337" s="425"/>
      <c r="O337" s="425"/>
      <c r="P337" s="425"/>
      <c r="Q337" s="425"/>
      <c r="R337" s="425"/>
      <c r="S337" s="425"/>
      <c r="T337" s="425"/>
      <c r="U337" s="425"/>
      <c r="V337" s="425"/>
      <c r="W337" s="425"/>
      <c r="X337" s="425"/>
      <c r="Y337" s="425"/>
      <c r="Z337" s="425"/>
      <c r="AA337" s="425"/>
      <c r="AB337" s="425"/>
      <c r="AC337" s="425"/>
      <c r="AD337" s="425"/>
      <c r="AE337" s="425"/>
      <c r="AF337" s="425"/>
      <c r="AG337" s="425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4.25"/>
    <col customWidth="1" min="4" max="4" width="12.63"/>
    <col customWidth="1" hidden="1" min="5" max="7" width="12.63"/>
    <col customWidth="1" hidden="1" min="8" max="8" width="11.25"/>
    <col customWidth="1" hidden="1" min="9" max="9" width="12.63"/>
    <col customWidth="1" min="10" max="10" width="12.63"/>
    <col customWidth="1" hidden="1" min="11" max="13" width="12.63"/>
    <col customWidth="1" hidden="1" min="14" max="14" width="11.25"/>
    <col customWidth="1" hidden="1" min="15" max="15" width="12.63"/>
    <col customWidth="1" min="16" max="16" width="12.63"/>
    <col customWidth="1" hidden="1" min="17" max="19" width="12.63"/>
    <col customWidth="1" hidden="1" min="20" max="20" width="11.25"/>
    <col customWidth="1" hidden="1" min="21" max="21" width="12.63"/>
  </cols>
  <sheetData>
    <row r="1" ht="15.75" customHeight="1">
      <c r="A1" s="425"/>
      <c r="B1" s="426" t="s">
        <v>0</v>
      </c>
      <c r="C1" s="425"/>
      <c r="D1" s="425"/>
      <c r="E1" s="425"/>
      <c r="F1" s="511"/>
      <c r="G1" s="712"/>
      <c r="H1" s="425"/>
      <c r="I1" s="425"/>
      <c r="J1" s="425"/>
      <c r="K1" s="425"/>
      <c r="L1" s="511"/>
      <c r="M1" s="712"/>
      <c r="N1" s="425"/>
      <c r="O1" s="425"/>
      <c r="P1" s="425"/>
      <c r="Q1" s="425"/>
      <c r="R1" s="511"/>
      <c r="S1" s="712"/>
      <c r="T1" s="425"/>
      <c r="U1" s="425"/>
    </row>
    <row r="2" ht="15.75" customHeight="1">
      <c r="A2" s="425"/>
      <c r="B2" s="512" t="s">
        <v>304</v>
      </c>
      <c r="C2" s="713"/>
      <c r="D2" s="427"/>
      <c r="E2" s="427"/>
      <c r="F2" s="511"/>
      <c r="G2" s="425"/>
      <c r="H2" s="425"/>
      <c r="I2" s="425"/>
      <c r="J2" s="427"/>
      <c r="K2" s="427"/>
      <c r="L2" s="511"/>
      <c r="M2" s="425"/>
      <c r="N2" s="425"/>
      <c r="O2" s="425"/>
      <c r="P2" s="427"/>
      <c r="Q2" s="427"/>
      <c r="R2" s="511"/>
      <c r="S2" s="425"/>
      <c r="T2" s="425"/>
      <c r="U2" s="425"/>
    </row>
    <row r="3" ht="15.75" customHeight="1">
      <c r="A3" s="425"/>
      <c r="B3" s="425"/>
      <c r="C3" s="425"/>
      <c r="D3" s="425"/>
      <c r="E3" s="425"/>
      <c r="F3" s="511"/>
      <c r="G3" s="425"/>
      <c r="H3" s="425"/>
      <c r="I3" s="425"/>
      <c r="J3" s="425"/>
      <c r="K3" s="425"/>
      <c r="L3" s="511"/>
      <c r="M3" s="425"/>
      <c r="N3" s="425"/>
      <c r="O3" s="425"/>
      <c r="P3" s="425"/>
      <c r="Q3" s="425"/>
      <c r="R3" s="511"/>
      <c r="S3" s="425"/>
      <c r="T3" s="425"/>
      <c r="U3" s="425"/>
    </row>
    <row r="4" ht="15.75" customHeight="1">
      <c r="A4" s="425"/>
      <c r="B4" s="428" t="s">
        <v>165</v>
      </c>
      <c r="C4" s="428" t="s">
        <v>166</v>
      </c>
      <c r="D4" s="513" t="s">
        <v>167</v>
      </c>
      <c r="E4" s="10"/>
      <c r="F4" s="10"/>
      <c r="G4" s="10"/>
      <c r="H4" s="10"/>
      <c r="I4" s="12"/>
      <c r="J4" s="513" t="s">
        <v>168</v>
      </c>
      <c r="K4" s="10"/>
      <c r="L4" s="10"/>
      <c r="M4" s="10"/>
      <c r="N4" s="10"/>
      <c r="O4" s="12"/>
      <c r="P4" s="431" t="s">
        <v>169</v>
      </c>
      <c r="Q4" s="10"/>
      <c r="R4" s="10"/>
      <c r="S4" s="10"/>
      <c r="T4" s="10"/>
      <c r="U4" s="12"/>
    </row>
    <row r="5" ht="15.75" customHeight="1">
      <c r="A5" s="514"/>
      <c r="B5" s="433"/>
      <c r="C5" s="433"/>
      <c r="D5" s="434" t="s">
        <v>170</v>
      </c>
      <c r="E5" s="714" t="s">
        <v>18</v>
      </c>
      <c r="F5" s="715" t="s">
        <v>171</v>
      </c>
      <c r="G5" s="714" t="s">
        <v>18</v>
      </c>
      <c r="H5" s="714" t="s">
        <v>172</v>
      </c>
      <c r="I5" s="435" t="s">
        <v>260</v>
      </c>
      <c r="J5" s="434" t="s">
        <v>170</v>
      </c>
      <c r="K5" s="714" t="s">
        <v>18</v>
      </c>
      <c r="L5" s="715" t="s">
        <v>171</v>
      </c>
      <c r="M5" s="714" t="s">
        <v>18</v>
      </c>
      <c r="N5" s="714" t="s">
        <v>172</v>
      </c>
      <c r="O5" s="435" t="s">
        <v>260</v>
      </c>
      <c r="P5" s="436" t="s">
        <v>170</v>
      </c>
      <c r="Q5" s="436" t="s">
        <v>18</v>
      </c>
      <c r="R5" s="520" t="s">
        <v>171</v>
      </c>
      <c r="S5" s="436" t="s">
        <v>18</v>
      </c>
      <c r="T5" s="436" t="s">
        <v>172</v>
      </c>
      <c r="U5" s="436" t="s">
        <v>260</v>
      </c>
    </row>
    <row r="6" ht="15.75" hidden="1" customHeight="1">
      <c r="A6" s="425"/>
      <c r="B6" s="446"/>
      <c r="C6" s="481" t="s">
        <v>76</v>
      </c>
      <c r="D6" s="661">
        <v>4432.0</v>
      </c>
      <c r="E6" s="522"/>
      <c r="F6" s="523"/>
      <c r="G6" s="522"/>
      <c r="H6" s="610"/>
      <c r="I6" s="524"/>
      <c r="J6" s="661">
        <v>4432.0</v>
      </c>
      <c r="K6" s="522"/>
      <c r="L6" s="523"/>
      <c r="M6" s="522"/>
      <c r="N6" s="610"/>
      <c r="O6" s="524"/>
      <c r="P6" s="705">
        <v>4432.0</v>
      </c>
      <c r="Q6" s="446"/>
      <c r="R6" s="482"/>
      <c r="S6" s="446"/>
      <c r="T6" s="686"/>
      <c r="U6" s="446"/>
    </row>
    <row r="7" ht="15.75" hidden="1" customHeight="1">
      <c r="A7" s="425"/>
      <c r="B7" s="454"/>
      <c r="C7" s="450" t="s">
        <v>83</v>
      </c>
      <c r="D7" s="662">
        <v>2983.0</v>
      </c>
      <c r="E7" s="521"/>
      <c r="F7" s="501"/>
      <c r="G7" s="521"/>
      <c r="H7" s="612"/>
      <c r="I7" s="464"/>
      <c r="J7" s="662">
        <v>2983.0</v>
      </c>
      <c r="K7" s="521"/>
      <c r="L7" s="501"/>
      <c r="M7" s="521"/>
      <c r="N7" s="612"/>
      <c r="O7" s="464"/>
      <c r="P7" s="705">
        <v>2983.0</v>
      </c>
      <c r="Q7" s="454"/>
      <c r="R7" s="459"/>
      <c r="S7" s="454"/>
      <c r="T7" s="685"/>
      <c r="U7" s="454"/>
    </row>
    <row r="8" ht="15.75" hidden="1" customHeight="1">
      <c r="A8" s="425"/>
      <c r="B8" s="454"/>
      <c r="C8" s="450" t="s">
        <v>90</v>
      </c>
      <c r="D8" s="662">
        <f>D24+D25+D28+D16</f>
        <v>4144195.05</v>
      </c>
      <c r="E8" s="538"/>
      <c r="F8" s="501"/>
      <c r="G8" s="521"/>
      <c r="H8" s="612"/>
      <c r="I8" s="464"/>
      <c r="J8" s="662">
        <f>J24+J25+J28+J16</f>
        <v>3999727</v>
      </c>
      <c r="K8" s="538"/>
      <c r="L8" s="501"/>
      <c r="M8" s="521"/>
      <c r="N8" s="612"/>
      <c r="O8" s="464"/>
      <c r="P8" s="705">
        <f>P24+P25+P28+P16</f>
        <v>0</v>
      </c>
      <c r="Q8" s="716"/>
      <c r="R8" s="459"/>
      <c r="S8" s="454"/>
      <c r="T8" s="685"/>
      <c r="U8" s="454"/>
    </row>
    <row r="9" ht="15.75" hidden="1" customHeight="1">
      <c r="A9" s="425"/>
      <c r="B9" s="454"/>
      <c r="C9" s="450" t="s">
        <v>97</v>
      </c>
      <c r="D9" s="662">
        <f>D17+D21+D19+D20</f>
        <v>5688107.9</v>
      </c>
      <c r="E9" s="538"/>
      <c r="F9" s="501"/>
      <c r="G9" s="521"/>
      <c r="H9" s="612"/>
      <c r="I9" s="464"/>
      <c r="J9" s="662">
        <f>J17+J21+J19+J20</f>
        <v>5297630</v>
      </c>
      <c r="K9" s="538"/>
      <c r="L9" s="501"/>
      <c r="M9" s="521"/>
      <c r="N9" s="612"/>
      <c r="O9" s="464"/>
      <c r="P9" s="705">
        <f>P17+P21+P19+P20</f>
        <v>0</v>
      </c>
      <c r="Q9" s="716"/>
      <c r="R9" s="459"/>
      <c r="S9" s="454"/>
      <c r="T9" s="685"/>
      <c r="U9" s="454"/>
    </row>
    <row r="10" ht="15.75" hidden="1" customHeight="1">
      <c r="A10" s="425"/>
      <c r="B10" s="717"/>
      <c r="C10" s="507" t="s">
        <v>104</v>
      </c>
      <c r="D10" s="718">
        <f>SUM(D8:D9)-D29</f>
        <v>-0.000000001862645149</v>
      </c>
      <c r="E10" s="719"/>
      <c r="F10" s="720"/>
      <c r="G10" s="719"/>
      <c r="H10" s="721"/>
      <c r="I10" s="722"/>
      <c r="J10" s="718">
        <f>SUM(J8:J9)-J29</f>
        <v>-16000</v>
      </c>
      <c r="K10" s="719"/>
      <c r="L10" s="720"/>
      <c r="M10" s="719"/>
      <c r="N10" s="721"/>
      <c r="O10" s="722"/>
      <c r="P10" s="705">
        <f>SUM(P8:P9)-P29</f>
        <v>0</v>
      </c>
      <c r="Q10" s="717"/>
      <c r="R10" s="723"/>
      <c r="S10" s="717"/>
      <c r="T10" s="724"/>
      <c r="U10" s="717"/>
    </row>
    <row r="11" ht="15.75" hidden="1" customHeight="1">
      <c r="A11" s="425"/>
      <c r="B11" s="446"/>
      <c r="C11" s="481" t="s">
        <v>111</v>
      </c>
      <c r="D11" s="661">
        <f t="shared" ref="D11:D12" si="1">D8/D6</f>
        <v>935.06206</v>
      </c>
      <c r="E11" s="533"/>
      <c r="F11" s="523"/>
      <c r="G11" s="522"/>
      <c r="H11" s="610"/>
      <c r="I11" s="524"/>
      <c r="J11" s="661">
        <f t="shared" ref="J11:J12" si="2">J8/J6</f>
        <v>902.4654783</v>
      </c>
      <c r="K11" s="533"/>
      <c r="L11" s="523"/>
      <c r="M11" s="522"/>
      <c r="N11" s="610"/>
      <c r="O11" s="524"/>
      <c r="P11" s="705">
        <f t="shared" ref="P11:P12" si="3">P8/P6</f>
        <v>0</v>
      </c>
      <c r="Q11" s="725"/>
      <c r="R11" s="482"/>
      <c r="S11" s="446"/>
      <c r="T11" s="686"/>
      <c r="U11" s="446"/>
    </row>
    <row r="12" ht="15.75" hidden="1" customHeight="1">
      <c r="A12" s="425"/>
      <c r="B12" s="454"/>
      <c r="C12" s="450" t="s">
        <v>118</v>
      </c>
      <c r="D12" s="662">
        <f t="shared" si="1"/>
        <v>1906.841401</v>
      </c>
      <c r="E12" s="538"/>
      <c r="F12" s="501"/>
      <c r="G12" s="521"/>
      <c r="H12" s="612"/>
      <c r="I12" s="464"/>
      <c r="J12" s="662">
        <f t="shared" si="2"/>
        <v>1775.940329</v>
      </c>
      <c r="K12" s="538"/>
      <c r="L12" s="501"/>
      <c r="M12" s="521"/>
      <c r="N12" s="612"/>
      <c r="O12" s="464"/>
      <c r="P12" s="705">
        <f t="shared" si="3"/>
        <v>0</v>
      </c>
      <c r="Q12" s="716"/>
      <c r="R12" s="459"/>
      <c r="S12" s="454"/>
      <c r="T12" s="685"/>
      <c r="U12" s="454"/>
    </row>
    <row r="13" ht="15.75" hidden="1" customHeight="1">
      <c r="A13" s="425"/>
      <c r="B13" s="454"/>
      <c r="C13" s="468"/>
      <c r="D13" s="663"/>
      <c r="E13" s="526"/>
      <c r="F13" s="527"/>
      <c r="G13" s="526"/>
      <c r="H13" s="664"/>
      <c r="I13" s="528"/>
      <c r="J13" s="663"/>
      <c r="K13" s="526"/>
      <c r="L13" s="527"/>
      <c r="M13" s="526"/>
      <c r="N13" s="664"/>
      <c r="O13" s="528"/>
      <c r="P13" s="705"/>
      <c r="Q13" s="525"/>
      <c r="R13" s="472"/>
      <c r="S13" s="525"/>
      <c r="T13" s="687"/>
      <c r="U13" s="525"/>
    </row>
    <row r="14" ht="15.75" customHeight="1">
      <c r="A14" s="425"/>
      <c r="B14" s="442" t="s">
        <v>173</v>
      </c>
      <c r="C14" s="623" t="s">
        <v>294</v>
      </c>
      <c r="D14" s="726">
        <f>SUM(D16:D21)</f>
        <v>8201572.15</v>
      </c>
      <c r="E14" s="626"/>
      <c r="F14" s="624">
        <f>SUM(F16:F21)</f>
        <v>0</v>
      </c>
      <c r="G14" s="626"/>
      <c r="H14" s="727"/>
      <c r="I14" s="728"/>
      <c r="J14" s="726">
        <f>SUM(J16:J21)</f>
        <v>8181016</v>
      </c>
      <c r="K14" s="626"/>
      <c r="L14" s="624">
        <f>SUM(L16:L21)</f>
        <v>0</v>
      </c>
      <c r="M14" s="626"/>
      <c r="N14" s="727"/>
      <c r="O14" s="728"/>
      <c r="P14" s="726">
        <f>SUM(P16:P21)</f>
        <v>0</v>
      </c>
      <c r="Q14" s="626"/>
      <c r="R14" s="624">
        <f>SUM(R16:R21)</f>
        <v>0</v>
      </c>
      <c r="S14" s="626"/>
      <c r="T14" s="727"/>
      <c r="U14" s="728"/>
    </row>
    <row r="15" ht="15.75" customHeight="1">
      <c r="A15" s="425"/>
      <c r="B15" s="437"/>
      <c r="C15" s="729"/>
      <c r="D15" s="729"/>
      <c r="E15" s="730"/>
      <c r="F15" s="730"/>
      <c r="G15" s="730"/>
      <c r="H15" s="730"/>
      <c r="I15" s="730"/>
      <c r="J15" s="730"/>
      <c r="K15" s="730"/>
      <c r="L15" s="730"/>
      <c r="M15" s="730"/>
      <c r="N15" s="730"/>
      <c r="O15" s="730"/>
      <c r="P15" s="730"/>
      <c r="Q15" s="730"/>
      <c r="R15" s="730"/>
      <c r="S15" s="730"/>
      <c r="T15" s="730"/>
      <c r="U15" s="730"/>
    </row>
    <row r="16" ht="15.75" customHeight="1">
      <c r="A16" s="425"/>
      <c r="B16" s="454" t="s">
        <v>23</v>
      </c>
      <c r="C16" s="450" t="s">
        <v>175</v>
      </c>
      <c r="D16" s="662">
        <v>2513464.25</v>
      </c>
      <c r="E16" s="538" t="str">
        <f t="shared" ref="E16:E22" si="4">D16/#REF!</f>
        <v>#REF!</v>
      </c>
      <c r="F16" s="501"/>
      <c r="G16" s="538" t="str">
        <f t="shared" ref="G16:G21" si="5">F16/#REF!</f>
        <v>#REF!</v>
      </c>
      <c r="H16" s="612">
        <f>D16-F16</f>
        <v>2513464.25</v>
      </c>
      <c r="I16" s="542" t="str">
        <f t="shared" ref="I16:I17" si="6">H16/F16</f>
        <v>#DIV/0!</v>
      </c>
      <c r="J16" s="662">
        <v>2883386.0</v>
      </c>
      <c r="K16" s="538" t="str">
        <f t="shared" ref="K16:K22" si="7">J16/#REF!</f>
        <v>#REF!</v>
      </c>
      <c r="L16" s="501"/>
      <c r="M16" s="538" t="str">
        <f t="shared" ref="M16:M21" si="8">L16/#REF!</f>
        <v>#REF!</v>
      </c>
      <c r="N16" s="612">
        <f>J16-L16</f>
        <v>2883386</v>
      </c>
      <c r="O16" s="542" t="str">
        <f t="shared" ref="O16:O17" si="9">N16/L16</f>
        <v>#DIV/0!</v>
      </c>
      <c r="P16" s="685"/>
      <c r="Q16" s="716" t="str">
        <f t="shared" ref="Q16:Q22" si="10">P16/#REF!</f>
        <v>#REF!</v>
      </c>
      <c r="R16" s="459"/>
      <c r="S16" s="716" t="str">
        <f t="shared" ref="S16:S21" si="11">R16/#REF!</f>
        <v>#REF!</v>
      </c>
      <c r="T16" s="685">
        <f>P16-R16</f>
        <v>0</v>
      </c>
      <c r="U16" s="716" t="str">
        <f t="shared" ref="U16:U17" si="12">T16/R16</f>
        <v>#DIV/0!</v>
      </c>
    </row>
    <row r="17" ht="15.75" customHeight="1">
      <c r="A17" s="425"/>
      <c r="B17" s="450"/>
      <c r="C17" s="450" t="s">
        <v>176</v>
      </c>
      <c r="D17" s="662">
        <f>2337756.21+1573983+927993+456373+115958</f>
        <v>5412063.21</v>
      </c>
      <c r="E17" s="538" t="str">
        <f t="shared" si="4"/>
        <v>#REF!</v>
      </c>
      <c r="F17" s="501"/>
      <c r="G17" s="538" t="str">
        <f t="shared" si="5"/>
        <v>#REF!</v>
      </c>
      <c r="H17" s="612">
        <f>D17-SUM(F17:F18)</f>
        <v>5412063.21</v>
      </c>
      <c r="I17" s="542" t="str">
        <f t="shared" si="6"/>
        <v>#DIV/0!</v>
      </c>
      <c r="J17" s="662">
        <f>4334250+963380</f>
        <v>5297630</v>
      </c>
      <c r="K17" s="538" t="str">
        <f t="shared" si="7"/>
        <v>#REF!</v>
      </c>
      <c r="L17" s="501"/>
      <c r="M17" s="538" t="str">
        <f t="shared" si="8"/>
        <v>#REF!</v>
      </c>
      <c r="N17" s="612">
        <f>J17-SUM(L17:L18)</f>
        <v>5297630</v>
      </c>
      <c r="O17" s="542" t="str">
        <f t="shared" si="9"/>
        <v>#DIV/0!</v>
      </c>
      <c r="P17" s="685"/>
      <c r="Q17" s="716" t="str">
        <f t="shared" si="10"/>
        <v>#REF!</v>
      </c>
      <c r="R17" s="459"/>
      <c r="S17" s="716" t="str">
        <f t="shared" si="11"/>
        <v>#REF!</v>
      </c>
      <c r="T17" s="685">
        <f>P17-SUM(R17:R18)</f>
        <v>0</v>
      </c>
      <c r="U17" s="716" t="str">
        <f t="shared" si="12"/>
        <v>#DIV/0!</v>
      </c>
    </row>
    <row r="18" ht="15.75" customHeight="1">
      <c r="A18" s="425"/>
      <c r="B18" s="450"/>
      <c r="C18" s="450" t="s">
        <v>261</v>
      </c>
      <c r="D18" s="662"/>
      <c r="E18" s="538" t="str">
        <f t="shared" si="4"/>
        <v>#REF!</v>
      </c>
      <c r="F18" s="501"/>
      <c r="G18" s="538" t="str">
        <f t="shared" si="5"/>
        <v>#REF!</v>
      </c>
      <c r="H18" s="612"/>
      <c r="I18" s="542"/>
      <c r="J18" s="662"/>
      <c r="K18" s="538" t="str">
        <f t="shared" si="7"/>
        <v>#REF!</v>
      </c>
      <c r="L18" s="501"/>
      <c r="M18" s="538" t="str">
        <f t="shared" si="8"/>
        <v>#REF!</v>
      </c>
      <c r="N18" s="612"/>
      <c r="O18" s="542"/>
      <c r="P18" s="685"/>
      <c r="Q18" s="716" t="str">
        <f t="shared" si="10"/>
        <v>#REF!</v>
      </c>
      <c r="R18" s="459"/>
      <c r="S18" s="716" t="str">
        <f t="shared" si="11"/>
        <v>#REF!</v>
      </c>
      <c r="T18" s="685"/>
      <c r="U18" s="716"/>
    </row>
    <row r="19" ht="15.75" customHeight="1">
      <c r="A19" s="425"/>
      <c r="B19" s="450"/>
      <c r="C19" s="450" t="s">
        <v>177</v>
      </c>
      <c r="D19" s="662"/>
      <c r="E19" s="538" t="str">
        <f t="shared" si="4"/>
        <v>#REF!</v>
      </c>
      <c r="F19" s="501"/>
      <c r="G19" s="538" t="str">
        <f t="shared" si="5"/>
        <v>#REF!</v>
      </c>
      <c r="H19" s="612"/>
      <c r="I19" s="542"/>
      <c r="J19" s="662"/>
      <c r="K19" s="538" t="str">
        <f t="shared" si="7"/>
        <v>#REF!</v>
      </c>
      <c r="L19" s="501"/>
      <c r="M19" s="538" t="str">
        <f t="shared" si="8"/>
        <v>#REF!</v>
      </c>
      <c r="N19" s="612"/>
      <c r="O19" s="542"/>
      <c r="P19" s="685"/>
      <c r="Q19" s="716" t="str">
        <f t="shared" si="10"/>
        <v>#REF!</v>
      </c>
      <c r="R19" s="459"/>
      <c r="S19" s="716" t="str">
        <f t="shared" si="11"/>
        <v>#REF!</v>
      </c>
      <c r="T19" s="685"/>
      <c r="U19" s="716"/>
    </row>
    <row r="20" ht="15.75" customHeight="1">
      <c r="A20" s="425"/>
      <c r="B20" s="450"/>
      <c r="C20" s="450" t="s">
        <v>178</v>
      </c>
      <c r="D20" s="662">
        <v>46298.159999999996</v>
      </c>
      <c r="E20" s="538" t="str">
        <f t="shared" si="4"/>
        <v>#REF!</v>
      </c>
      <c r="F20" s="501"/>
      <c r="G20" s="538" t="str">
        <f t="shared" si="5"/>
        <v>#REF!</v>
      </c>
      <c r="H20" s="612">
        <f>D20-SUM(F20:F23)</f>
        <v>46298.16</v>
      </c>
      <c r="I20" s="542" t="str">
        <f t="shared" ref="I20:I21" si="13">H20/F20</f>
        <v>#DIV/0!</v>
      </c>
      <c r="J20" s="662"/>
      <c r="K20" s="538" t="str">
        <f t="shared" si="7"/>
        <v>#REF!</v>
      </c>
      <c r="L20" s="501"/>
      <c r="M20" s="538" t="str">
        <f t="shared" si="8"/>
        <v>#REF!</v>
      </c>
      <c r="N20" s="612">
        <f>J20-SUM(L20:L23)</f>
        <v>0</v>
      </c>
      <c r="O20" s="542" t="str">
        <f t="shared" ref="O20:O21" si="14">N20/L20</f>
        <v>#DIV/0!</v>
      </c>
      <c r="P20" s="685"/>
      <c r="Q20" s="716" t="str">
        <f t="shared" si="10"/>
        <v>#REF!</v>
      </c>
      <c r="R20" s="459"/>
      <c r="S20" s="716" t="str">
        <f t="shared" si="11"/>
        <v>#REF!</v>
      </c>
      <c r="T20" s="685">
        <f>P20-SUM(R20:R23)</f>
        <v>0</v>
      </c>
      <c r="U20" s="716" t="str">
        <f t="shared" ref="U20:U21" si="15">T20/R20</f>
        <v>#DIV/0!</v>
      </c>
    </row>
    <row r="21" ht="15.75" customHeight="1">
      <c r="A21" s="425"/>
      <c r="B21" s="450"/>
      <c r="C21" s="450" t="s">
        <v>179</v>
      </c>
      <c r="D21" s="662">
        <v>229746.52999999997</v>
      </c>
      <c r="E21" s="538" t="str">
        <f t="shared" si="4"/>
        <v>#REF!</v>
      </c>
      <c r="F21" s="501"/>
      <c r="G21" s="538" t="str">
        <f t="shared" si="5"/>
        <v>#REF!</v>
      </c>
      <c r="H21" s="612">
        <f>D21-SUM(F21:F23)</f>
        <v>229746.53</v>
      </c>
      <c r="I21" s="542" t="str">
        <f t="shared" si="13"/>
        <v>#DIV/0!</v>
      </c>
      <c r="J21" s="662"/>
      <c r="K21" s="538" t="str">
        <f t="shared" si="7"/>
        <v>#REF!</v>
      </c>
      <c r="L21" s="501"/>
      <c r="M21" s="538" t="str">
        <f t="shared" si="8"/>
        <v>#REF!</v>
      </c>
      <c r="N21" s="612">
        <f>J21-SUM(L21:L23)</f>
        <v>0</v>
      </c>
      <c r="O21" s="542" t="str">
        <f t="shared" si="14"/>
        <v>#DIV/0!</v>
      </c>
      <c r="P21" s="685"/>
      <c r="Q21" s="716" t="str">
        <f t="shared" si="10"/>
        <v>#REF!</v>
      </c>
      <c r="R21" s="459"/>
      <c r="S21" s="716" t="str">
        <f t="shared" si="11"/>
        <v>#REF!</v>
      </c>
      <c r="T21" s="685">
        <f>P21-SUM(R21:R23)</f>
        <v>0</v>
      </c>
      <c r="U21" s="716" t="str">
        <f t="shared" si="15"/>
        <v>#DIV/0!</v>
      </c>
    </row>
    <row r="22" ht="15.75" customHeight="1">
      <c r="A22" s="425"/>
      <c r="B22" s="450"/>
      <c r="C22" s="450" t="s">
        <v>263</v>
      </c>
      <c r="D22" s="662"/>
      <c r="E22" s="538" t="str">
        <f t="shared" si="4"/>
        <v>#REF!</v>
      </c>
      <c r="F22" s="501"/>
      <c r="G22" s="538"/>
      <c r="H22" s="612"/>
      <c r="I22" s="550" t="str">
        <f>IFERROR(H22/F22,"")</f>
        <v/>
      </c>
      <c r="J22" s="662">
        <v>8000.0</v>
      </c>
      <c r="K22" s="538" t="str">
        <f t="shared" si="7"/>
        <v>#REF!</v>
      </c>
      <c r="L22" s="501"/>
      <c r="M22" s="538"/>
      <c r="N22" s="612"/>
      <c r="O22" s="550" t="str">
        <f>IFERROR(N22/L22,"")</f>
        <v/>
      </c>
      <c r="P22" s="685"/>
      <c r="Q22" s="716" t="str">
        <f t="shared" si="10"/>
        <v>#REF!</v>
      </c>
      <c r="R22" s="459"/>
      <c r="S22" s="716"/>
      <c r="T22" s="685"/>
      <c r="U22" s="731" t="str">
        <f>IFERROR(T22/R22,"")</f>
        <v/>
      </c>
    </row>
    <row r="23" ht="15.75" customHeight="1">
      <c r="A23" s="425"/>
      <c r="B23" s="450"/>
      <c r="C23" s="450"/>
      <c r="D23" s="662"/>
      <c r="E23" s="521"/>
      <c r="F23" s="501"/>
      <c r="G23" s="538"/>
      <c r="H23" s="612"/>
      <c r="I23" s="542"/>
      <c r="J23" s="662"/>
      <c r="K23" s="521"/>
      <c r="L23" s="501"/>
      <c r="M23" s="538"/>
      <c r="N23" s="612"/>
      <c r="O23" s="542"/>
      <c r="P23" s="685"/>
      <c r="Q23" s="454"/>
      <c r="R23" s="459"/>
      <c r="S23" s="716"/>
      <c r="T23" s="685"/>
      <c r="U23" s="716"/>
    </row>
    <row r="24" ht="15.75" customHeight="1">
      <c r="A24" s="425"/>
      <c r="B24" s="454" t="s">
        <v>21</v>
      </c>
      <c r="C24" s="450" t="s">
        <v>21</v>
      </c>
      <c r="D24" s="662">
        <v>1273758.75</v>
      </c>
      <c r="E24" s="538">
        <f t="shared" ref="E24:E26" si="16">D24/$D$29</f>
        <v>0.1295483628</v>
      </c>
      <c r="F24" s="501"/>
      <c r="G24" s="538" t="str">
        <f t="shared" ref="G24:G26" si="17">F24/$F$29</f>
        <v>#DIV/0!</v>
      </c>
      <c r="H24" s="612">
        <f>D24-F24</f>
        <v>1273758.75</v>
      </c>
      <c r="I24" s="542" t="str">
        <f t="shared" ref="I24:I26" si="18">H24/F24</f>
        <v>#DIV/0!</v>
      </c>
      <c r="J24" s="662">
        <v>1116341.0</v>
      </c>
      <c r="K24" s="538">
        <f t="shared" ref="K24:K26" si="19">J24/$D$29</f>
        <v>0.1135381005</v>
      </c>
      <c r="L24" s="501"/>
      <c r="M24" s="538" t="str">
        <f t="shared" ref="M24:M26" si="20">L24/$F$29</f>
        <v>#DIV/0!</v>
      </c>
      <c r="N24" s="612">
        <f>J24-L24</f>
        <v>1116341</v>
      </c>
      <c r="O24" s="542" t="str">
        <f t="shared" ref="O24:O26" si="21">N24/L24</f>
        <v>#DIV/0!</v>
      </c>
      <c r="P24" s="685"/>
      <c r="Q24" s="716">
        <f t="shared" ref="Q24:Q26" si="22">P24/$D$29</f>
        <v>0</v>
      </c>
      <c r="R24" s="459"/>
      <c r="S24" s="716" t="str">
        <f t="shared" ref="S24:S26" si="23">R24/$F$29</f>
        <v>#DIV/0!</v>
      </c>
      <c r="T24" s="685">
        <f>P24-R24</f>
        <v>0</v>
      </c>
      <c r="U24" s="716" t="str">
        <f t="shared" ref="U24:U26" si="24">T24/R24</f>
        <v>#DIV/0!</v>
      </c>
    </row>
    <row r="25" ht="15.75" customHeight="1">
      <c r="A25" s="425"/>
      <c r="B25" s="454" t="s">
        <v>22</v>
      </c>
      <c r="C25" s="450" t="s">
        <v>22</v>
      </c>
      <c r="D25" s="699">
        <v>0.0</v>
      </c>
      <c r="E25" s="732">
        <f t="shared" si="16"/>
        <v>0</v>
      </c>
      <c r="F25" s="732"/>
      <c r="G25" s="732" t="str">
        <f t="shared" si="17"/>
        <v>#DIV/0!</v>
      </c>
      <c r="H25" s="732">
        <v>0.0</v>
      </c>
      <c r="I25" s="733" t="str">
        <f t="shared" si="18"/>
        <v>#DIV/0!</v>
      </c>
      <c r="J25" s="699">
        <v>0.0</v>
      </c>
      <c r="K25" s="538">
        <f t="shared" si="19"/>
        <v>0</v>
      </c>
      <c r="L25" s="501"/>
      <c r="M25" s="538" t="str">
        <f t="shared" si="20"/>
        <v>#DIV/0!</v>
      </c>
      <c r="N25" s="612">
        <v>0.0</v>
      </c>
      <c r="O25" s="542" t="str">
        <f t="shared" si="21"/>
        <v>#DIV/0!</v>
      </c>
      <c r="P25" s="700"/>
      <c r="Q25" s="716">
        <f t="shared" si="22"/>
        <v>0</v>
      </c>
      <c r="R25" s="459"/>
      <c r="S25" s="716" t="str">
        <f t="shared" si="23"/>
        <v>#DIV/0!</v>
      </c>
      <c r="T25" s="685">
        <v>0.0</v>
      </c>
      <c r="U25" s="716" t="str">
        <f t="shared" si="24"/>
        <v>#DIV/0!</v>
      </c>
    </row>
    <row r="26" ht="15.75" customHeight="1">
      <c r="A26" s="425"/>
      <c r="B26" s="454" t="s">
        <v>23</v>
      </c>
      <c r="C26" s="450" t="s">
        <v>180</v>
      </c>
      <c r="D26" s="460">
        <f>SUM(D16:D22)</f>
        <v>8201572.15</v>
      </c>
      <c r="E26" s="538">
        <f t="shared" si="16"/>
        <v>0.8341455905</v>
      </c>
      <c r="F26" s="501"/>
      <c r="G26" s="538" t="str">
        <f t="shared" si="17"/>
        <v>#DIV/0!</v>
      </c>
      <c r="H26" s="612">
        <f>D26-SUM(F26:F28)</f>
        <v>8201572.15</v>
      </c>
      <c r="I26" s="542" t="str">
        <f t="shared" si="18"/>
        <v>#DIV/0!</v>
      </c>
      <c r="J26" s="460">
        <f>SUM(J16:J22)</f>
        <v>8189016</v>
      </c>
      <c r="K26" s="538">
        <f t="shared" si="19"/>
        <v>0.8328685601</v>
      </c>
      <c r="L26" s="501"/>
      <c r="M26" s="538" t="str">
        <f t="shared" si="20"/>
        <v>#DIV/0!</v>
      </c>
      <c r="N26" s="612">
        <f>J26-SUM(L26:L28)</f>
        <v>8189016</v>
      </c>
      <c r="O26" s="542" t="str">
        <f t="shared" si="21"/>
        <v>#DIV/0!</v>
      </c>
      <c r="P26" s="461"/>
      <c r="Q26" s="716">
        <f t="shared" si="22"/>
        <v>0</v>
      </c>
      <c r="R26" s="459"/>
      <c r="S26" s="716" t="str">
        <f t="shared" si="23"/>
        <v>#DIV/0!</v>
      </c>
      <c r="T26" s="685">
        <f>P26-SUM(R26:R28)</f>
        <v>0</v>
      </c>
      <c r="U26" s="716" t="str">
        <f t="shared" si="24"/>
        <v>#DIV/0!</v>
      </c>
    </row>
    <row r="27" ht="15.75" customHeight="1">
      <c r="A27" s="425"/>
      <c r="B27" s="450"/>
      <c r="C27" s="450"/>
      <c r="D27" s="662"/>
      <c r="E27" s="538"/>
      <c r="F27" s="501"/>
      <c r="G27" s="538"/>
      <c r="H27" s="521"/>
      <c r="I27" s="542"/>
      <c r="J27" s="662"/>
      <c r="K27" s="538"/>
      <c r="L27" s="501"/>
      <c r="M27" s="538"/>
      <c r="N27" s="521"/>
      <c r="O27" s="542"/>
      <c r="P27" s="685"/>
      <c r="Q27" s="716"/>
      <c r="R27" s="459"/>
      <c r="S27" s="716"/>
      <c r="T27" s="454"/>
      <c r="U27" s="716"/>
    </row>
    <row r="28" ht="15.75" customHeight="1">
      <c r="A28" s="425"/>
      <c r="B28" s="468"/>
      <c r="C28" s="468" t="s">
        <v>181</v>
      </c>
      <c r="D28" s="663">
        <v>356972.05</v>
      </c>
      <c r="E28" s="545">
        <f>D28/$D$29</f>
        <v>0.03630604669</v>
      </c>
      <c r="F28" s="527"/>
      <c r="G28" s="545">
        <v>0.0595</v>
      </c>
      <c r="H28" s="664">
        <f t="shared" ref="H28:H29" si="25">D28-F28</f>
        <v>356972.05</v>
      </c>
      <c r="I28" s="546" t="str">
        <f>H28/F28</f>
        <v>#DIV/0!</v>
      </c>
      <c r="J28" s="663"/>
      <c r="K28" s="545">
        <f>J28/$D$29</f>
        <v>0</v>
      </c>
      <c r="L28" s="527"/>
      <c r="M28" s="545">
        <v>0.0595</v>
      </c>
      <c r="N28" s="664">
        <f t="shared" ref="N28:N29" si="26">J28-L28</f>
        <v>0</v>
      </c>
      <c r="O28" s="546" t="str">
        <f>N28/L28</f>
        <v>#DIV/0!</v>
      </c>
      <c r="P28" s="687"/>
      <c r="Q28" s="734">
        <f>P28/$D$29</f>
        <v>0</v>
      </c>
      <c r="R28" s="472"/>
      <c r="S28" s="734">
        <v>0.0595</v>
      </c>
      <c r="T28" s="687">
        <f t="shared" ref="T28:T29" si="27">P28-R28</f>
        <v>0</v>
      </c>
      <c r="U28" s="734" t="str">
        <f>T28/R28</f>
        <v>#DIV/0!</v>
      </c>
    </row>
    <row r="29" ht="15.75" customHeight="1">
      <c r="A29" s="425"/>
      <c r="B29" s="474"/>
      <c r="C29" s="474" t="s">
        <v>182</v>
      </c>
      <c r="D29" s="444">
        <f>D24+D25+D26+D28</f>
        <v>9832302.95</v>
      </c>
      <c r="E29" s="555"/>
      <c r="F29" s="444">
        <f>F24+F25+F26+F28+F22</f>
        <v>0</v>
      </c>
      <c r="G29" s="555"/>
      <c r="H29" s="609">
        <f t="shared" si="25"/>
        <v>9832302.95</v>
      </c>
      <c r="I29" s="556"/>
      <c r="J29" s="444">
        <f>J22+J24+J25+J26+J28</f>
        <v>9313357</v>
      </c>
      <c r="K29" s="555"/>
      <c r="L29" s="444">
        <f>L24+L25+L26+L28+L22</f>
        <v>0</v>
      </c>
      <c r="M29" s="555"/>
      <c r="N29" s="609">
        <f t="shared" si="26"/>
        <v>9313357</v>
      </c>
      <c r="O29" s="556"/>
      <c r="P29" s="475">
        <f>P22+P24+P25+P26+P28</f>
        <v>0</v>
      </c>
      <c r="Q29" s="442"/>
      <c r="R29" s="475">
        <f>R24+R25+R26+R28+R22</f>
        <v>0</v>
      </c>
      <c r="S29" s="442"/>
      <c r="T29" s="627">
        <f t="shared" si="27"/>
        <v>0</v>
      </c>
      <c r="U29" s="442"/>
    </row>
    <row r="30" ht="15.75" customHeight="1">
      <c r="A30" s="425"/>
      <c r="B30" s="446"/>
      <c r="C30" s="481"/>
      <c r="D30" s="661"/>
      <c r="E30" s="522"/>
      <c r="F30" s="523"/>
      <c r="G30" s="522"/>
      <c r="H30" s="522"/>
      <c r="I30" s="524"/>
      <c r="J30" s="661"/>
      <c r="K30" s="522"/>
      <c r="L30" s="523"/>
      <c r="M30" s="522"/>
      <c r="N30" s="522"/>
      <c r="O30" s="524"/>
      <c r="P30" s="686"/>
      <c r="Q30" s="446"/>
      <c r="R30" s="482"/>
      <c r="S30" s="446"/>
      <c r="T30" s="446"/>
      <c r="U30" s="446"/>
    </row>
    <row r="31" ht="15.75" hidden="1" customHeight="1">
      <c r="A31" s="425"/>
      <c r="B31" s="450"/>
      <c r="C31" s="450"/>
      <c r="D31" s="662"/>
      <c r="E31" s="538"/>
      <c r="F31" s="501"/>
      <c r="G31" s="612"/>
      <c r="H31" s="612"/>
      <c r="I31" s="693"/>
      <c r="J31" s="662"/>
      <c r="K31" s="538"/>
      <c r="L31" s="501"/>
      <c r="M31" s="612"/>
      <c r="N31" s="612"/>
      <c r="O31" s="693"/>
      <c r="P31" s="685"/>
      <c r="Q31" s="716"/>
      <c r="R31" s="459"/>
      <c r="S31" s="685"/>
      <c r="T31" s="685"/>
      <c r="U31" s="685"/>
    </row>
    <row r="32" ht="15.75" hidden="1" customHeight="1">
      <c r="A32" s="425"/>
      <c r="B32" s="450" t="s">
        <v>220</v>
      </c>
      <c r="C32" s="450">
        <v>1669.0</v>
      </c>
      <c r="D32" s="662"/>
      <c r="E32" s="538"/>
      <c r="F32" s="501"/>
      <c r="G32" s="612"/>
      <c r="H32" s="612"/>
      <c r="I32" s="693"/>
      <c r="J32" s="662"/>
      <c r="K32" s="538"/>
      <c r="L32" s="501"/>
      <c r="M32" s="612"/>
      <c r="N32" s="612"/>
      <c r="O32" s="693"/>
      <c r="P32" s="685"/>
      <c r="Q32" s="716"/>
      <c r="R32" s="459"/>
      <c r="S32" s="685"/>
      <c r="T32" s="685"/>
      <c r="U32" s="685"/>
    </row>
    <row r="33" ht="15.75" hidden="1" customHeight="1">
      <c r="A33" s="425"/>
      <c r="B33" s="735">
        <v>0.07</v>
      </c>
      <c r="C33" s="450"/>
      <c r="D33" s="662">
        <f>B33*$D$29</f>
        <v>688261.2065</v>
      </c>
      <c r="E33" s="612">
        <f t="shared" ref="E33:E38" si="28">D33/$C$32</f>
        <v>412.3793928</v>
      </c>
      <c r="F33" s="501"/>
      <c r="G33" s="612"/>
      <c r="H33" s="612"/>
      <c r="I33" s="693"/>
      <c r="J33" s="662">
        <f>H33*$D$29</f>
        <v>0</v>
      </c>
      <c r="K33" s="612">
        <f t="shared" ref="K33:K38" si="29">J33/$C$32</f>
        <v>0</v>
      </c>
      <c r="L33" s="501"/>
      <c r="M33" s="612"/>
      <c r="N33" s="612"/>
      <c r="O33" s="693"/>
      <c r="P33" s="685"/>
      <c r="Q33" s="685">
        <f t="shared" ref="Q33:Q38" si="30">P33/$C$32</f>
        <v>0</v>
      </c>
      <c r="R33" s="459"/>
      <c r="S33" s="685"/>
      <c r="T33" s="685"/>
      <c r="U33" s="685"/>
    </row>
    <row r="34" ht="15.75" hidden="1" customHeight="1">
      <c r="A34" s="425"/>
      <c r="B34" s="735">
        <f>B33*1.18</f>
        <v>0.0826</v>
      </c>
      <c r="C34" s="450"/>
      <c r="D34" s="662">
        <f>$B$34*$D$29</f>
        <v>812148.2237</v>
      </c>
      <c r="E34" s="612">
        <f t="shared" si="28"/>
        <v>486.6076834</v>
      </c>
      <c r="F34" s="501"/>
      <c r="G34" s="612"/>
      <c r="H34" s="612"/>
      <c r="I34" s="693"/>
      <c r="J34" s="662">
        <f>$B$34*$D$29</f>
        <v>812148.2237</v>
      </c>
      <c r="K34" s="612">
        <f t="shared" si="29"/>
        <v>486.6076834</v>
      </c>
      <c r="L34" s="501"/>
      <c r="M34" s="612"/>
      <c r="N34" s="612"/>
      <c r="O34" s="693"/>
      <c r="P34" s="685"/>
      <c r="Q34" s="685">
        <f t="shared" si="30"/>
        <v>0</v>
      </c>
      <c r="R34" s="459"/>
      <c r="S34" s="685"/>
      <c r="T34" s="685"/>
      <c r="U34" s="685"/>
    </row>
    <row r="35" ht="15.75" hidden="1" customHeight="1">
      <c r="A35" s="425"/>
      <c r="B35" s="735">
        <v>0.08</v>
      </c>
      <c r="C35" s="450"/>
      <c r="D35" s="662">
        <f>$B$35*$D$29</f>
        <v>786584.236</v>
      </c>
      <c r="E35" s="612">
        <f t="shared" si="28"/>
        <v>471.2907346</v>
      </c>
      <c r="F35" s="501"/>
      <c r="G35" s="612"/>
      <c r="H35" s="612"/>
      <c r="I35" s="693"/>
      <c r="J35" s="662">
        <f>$B$35*$D$29</f>
        <v>786584.236</v>
      </c>
      <c r="K35" s="612">
        <f t="shared" si="29"/>
        <v>471.2907346</v>
      </c>
      <c r="L35" s="501"/>
      <c r="M35" s="612"/>
      <c r="N35" s="612"/>
      <c r="O35" s="693"/>
      <c r="P35" s="685"/>
      <c r="Q35" s="685">
        <f t="shared" si="30"/>
        <v>0</v>
      </c>
      <c r="R35" s="459"/>
      <c r="S35" s="685"/>
      <c r="T35" s="685"/>
      <c r="U35" s="685"/>
    </row>
    <row r="36" ht="15.75" hidden="1" customHeight="1">
      <c r="A36" s="425"/>
      <c r="B36" s="735">
        <f>B35*1.18</f>
        <v>0.0944</v>
      </c>
      <c r="C36" s="450"/>
      <c r="D36" s="662">
        <f>$B$36*$D$29</f>
        <v>928169.3985</v>
      </c>
      <c r="E36" s="612">
        <f t="shared" si="28"/>
        <v>556.1230668</v>
      </c>
      <c r="F36" s="501"/>
      <c r="G36" s="612"/>
      <c r="H36" s="612"/>
      <c r="I36" s="693"/>
      <c r="J36" s="662">
        <f>$B$36*$D$29</f>
        <v>928169.3985</v>
      </c>
      <c r="K36" s="612">
        <f t="shared" si="29"/>
        <v>556.1230668</v>
      </c>
      <c r="L36" s="501"/>
      <c r="M36" s="612"/>
      <c r="N36" s="612"/>
      <c r="O36" s="693"/>
      <c r="P36" s="685"/>
      <c r="Q36" s="685">
        <f t="shared" si="30"/>
        <v>0</v>
      </c>
      <c r="R36" s="459"/>
      <c r="S36" s="685"/>
      <c r="T36" s="685"/>
      <c r="U36" s="685"/>
    </row>
    <row r="37" ht="15.75" hidden="1" customHeight="1">
      <c r="A37" s="425"/>
      <c r="B37" s="735">
        <v>0.09</v>
      </c>
      <c r="C37" s="450"/>
      <c r="D37" s="662">
        <f>$B$37*$D$29</f>
        <v>884907.2655</v>
      </c>
      <c r="E37" s="612">
        <f t="shared" si="28"/>
        <v>530.2020764</v>
      </c>
      <c r="F37" s="501"/>
      <c r="G37" s="612"/>
      <c r="H37" s="612"/>
      <c r="I37" s="693"/>
      <c r="J37" s="662">
        <f>$B$37*$D$29</f>
        <v>884907.2655</v>
      </c>
      <c r="K37" s="612">
        <f t="shared" si="29"/>
        <v>530.2020764</v>
      </c>
      <c r="L37" s="501"/>
      <c r="M37" s="612"/>
      <c r="N37" s="612"/>
      <c r="O37" s="693"/>
      <c r="P37" s="685"/>
      <c r="Q37" s="685">
        <f t="shared" si="30"/>
        <v>0</v>
      </c>
      <c r="R37" s="459"/>
      <c r="S37" s="685"/>
      <c r="T37" s="685"/>
      <c r="U37" s="685"/>
    </row>
    <row r="38" ht="15.75" hidden="1" customHeight="1">
      <c r="A38" s="425"/>
      <c r="B38" s="731">
        <f>B37*1.18</f>
        <v>0.1062</v>
      </c>
      <c r="C38" s="450"/>
      <c r="D38" s="662">
        <f>$B$38*$D$29</f>
        <v>1044190.573</v>
      </c>
      <c r="E38" s="612">
        <f t="shared" si="28"/>
        <v>625.6384501</v>
      </c>
      <c r="F38" s="501"/>
      <c r="G38" s="612"/>
      <c r="H38" s="612"/>
      <c r="I38" s="693"/>
      <c r="J38" s="662">
        <f>$B$38*$D$29</f>
        <v>1044190.573</v>
      </c>
      <c r="K38" s="612">
        <f t="shared" si="29"/>
        <v>625.6384501</v>
      </c>
      <c r="L38" s="501"/>
      <c r="M38" s="612"/>
      <c r="N38" s="612"/>
      <c r="O38" s="693"/>
      <c r="P38" s="685"/>
      <c r="Q38" s="685">
        <f t="shared" si="30"/>
        <v>0</v>
      </c>
      <c r="R38" s="459"/>
      <c r="S38" s="685"/>
      <c r="T38" s="685"/>
      <c r="U38" s="685"/>
    </row>
    <row r="39" ht="15.75" hidden="1" customHeight="1">
      <c r="A39" s="425"/>
      <c r="B39" s="450"/>
      <c r="C39" s="450"/>
      <c r="D39" s="662"/>
      <c r="E39" s="538"/>
      <c r="F39" s="501"/>
      <c r="G39" s="612"/>
      <c r="H39" s="612"/>
      <c r="I39" s="693"/>
      <c r="J39" s="662"/>
      <c r="K39" s="538"/>
      <c r="L39" s="501"/>
      <c r="M39" s="612"/>
      <c r="N39" s="612"/>
      <c r="O39" s="693"/>
      <c r="P39" s="685"/>
      <c r="Q39" s="716"/>
      <c r="R39" s="459"/>
      <c r="S39" s="685"/>
      <c r="T39" s="685"/>
      <c r="U39" s="685"/>
    </row>
    <row r="40" ht="15.75" hidden="1" customHeight="1">
      <c r="A40" s="425"/>
      <c r="B40" s="454"/>
      <c r="C40" s="454"/>
      <c r="D40" s="662"/>
      <c r="E40" s="521"/>
      <c r="F40" s="501"/>
      <c r="G40" s="521"/>
      <c r="H40" s="521"/>
      <c r="I40" s="464"/>
      <c r="J40" s="662"/>
      <c r="K40" s="521"/>
      <c r="L40" s="501"/>
      <c r="M40" s="521"/>
      <c r="N40" s="521"/>
      <c r="O40" s="464"/>
      <c r="P40" s="685"/>
      <c r="Q40" s="454"/>
      <c r="R40" s="459"/>
      <c r="S40" s="454"/>
      <c r="T40" s="454"/>
      <c r="U40" s="454"/>
    </row>
    <row r="41" ht="15.75" customHeight="1">
      <c r="A41" s="425"/>
      <c r="B41" s="466" t="s">
        <v>186</v>
      </c>
      <c r="C41" s="450"/>
      <c r="D41" s="662"/>
      <c r="E41" s="521"/>
      <c r="F41" s="501"/>
      <c r="G41" s="521"/>
      <c r="H41" s="521"/>
      <c r="I41" s="464"/>
      <c r="J41" s="662"/>
      <c r="K41" s="521"/>
      <c r="L41" s="501"/>
      <c r="M41" s="521"/>
      <c r="N41" s="521"/>
      <c r="O41" s="464"/>
      <c r="P41" s="685"/>
      <c r="Q41" s="454"/>
      <c r="R41" s="459"/>
      <c r="S41" s="454"/>
      <c r="T41" s="454"/>
      <c r="U41" s="454"/>
    </row>
    <row r="42" ht="15.75" customHeight="1">
      <c r="A42" s="425"/>
      <c r="B42" s="736" t="s">
        <v>28</v>
      </c>
      <c r="C42" s="450"/>
      <c r="D42" s="662"/>
      <c r="E42" s="521"/>
      <c r="F42" s="501"/>
      <c r="G42" s="521"/>
      <c r="H42" s="521"/>
      <c r="I42" s="464"/>
      <c r="J42" s="662"/>
      <c r="K42" s="521"/>
      <c r="L42" s="501"/>
      <c r="M42" s="521"/>
      <c r="N42" s="521"/>
      <c r="O42" s="464"/>
      <c r="P42" s="685"/>
      <c r="Q42" s="454"/>
      <c r="R42" s="459"/>
      <c r="S42" s="454"/>
      <c r="T42" s="454"/>
      <c r="U42" s="454"/>
    </row>
    <row r="43" ht="15.75" customHeight="1">
      <c r="A43" s="425"/>
      <c r="B43" s="450"/>
      <c r="C43" s="558" t="s">
        <v>187</v>
      </c>
      <c r="D43" s="662"/>
      <c r="E43" s="521"/>
      <c r="F43" s="501"/>
      <c r="G43" s="521"/>
      <c r="H43" s="521"/>
      <c r="I43" s="464"/>
      <c r="J43" s="662"/>
      <c r="K43" s="521"/>
      <c r="L43" s="501"/>
      <c r="M43" s="521"/>
      <c r="N43" s="521"/>
      <c r="O43" s="464"/>
      <c r="P43" s="685"/>
      <c r="Q43" s="454"/>
      <c r="R43" s="459"/>
      <c r="S43" s="454"/>
      <c r="T43" s="454"/>
      <c r="U43" s="454"/>
    </row>
    <row r="44" ht="15.75" customHeight="1">
      <c r="A44" s="425"/>
      <c r="B44" s="450"/>
      <c r="C44" s="450" t="s">
        <v>188</v>
      </c>
      <c r="D44" s="662">
        <f>'MSBC CK Allocation'!C33</f>
        <v>733534.76</v>
      </c>
      <c r="E44" s="538">
        <f>D44/D26</f>
        <v>0.08943831092</v>
      </c>
      <c r="F44" s="501"/>
      <c r="G44" s="538">
        <v>0.02</v>
      </c>
      <c r="H44" s="501">
        <f t="shared" ref="H44:H46" si="31">D44-F44</f>
        <v>733534.76</v>
      </c>
      <c r="I44" s="542" t="str">
        <f t="shared" ref="I44:I46" si="32">H44/F44</f>
        <v>#DIV/0!</v>
      </c>
      <c r="J44" s="662">
        <f>'MSBC CK Allocation'!D33</f>
        <v>729627.0475</v>
      </c>
      <c r="K44" s="538">
        <f>J44/J26</f>
        <v>0.08909825644</v>
      </c>
      <c r="L44" s="501"/>
      <c r="M44" s="538">
        <v>0.02</v>
      </c>
      <c r="N44" s="501">
        <f t="shared" ref="N44:N46" si="33">J44-L44</f>
        <v>729627.0475</v>
      </c>
      <c r="O44" s="542" t="str">
        <f t="shared" ref="O44:O46" si="34">N44/L44</f>
        <v>#DIV/0!</v>
      </c>
      <c r="P44" s="685"/>
      <c r="Q44" s="716" t="str">
        <f>P44/P26</f>
        <v>#DIV/0!</v>
      </c>
      <c r="R44" s="459"/>
      <c r="S44" s="716">
        <v>0.02</v>
      </c>
      <c r="T44" s="459">
        <f t="shared" ref="T44:T46" si="35">P44-R44</f>
        <v>0</v>
      </c>
      <c r="U44" s="716" t="str">
        <f t="shared" ref="U44:U46" si="36">T44/R44</f>
        <v>#DIV/0!</v>
      </c>
    </row>
    <row r="45" ht="15.75" customHeight="1">
      <c r="A45" s="425"/>
      <c r="B45" s="450"/>
      <c r="C45" s="450" t="s">
        <v>189</v>
      </c>
      <c r="D45" s="662">
        <v>2202700.495108818</v>
      </c>
      <c r="E45" s="538">
        <v>0.2557</v>
      </c>
      <c r="F45" s="501"/>
      <c r="G45" s="538">
        <v>0.2305</v>
      </c>
      <c r="H45" s="501">
        <f t="shared" si="31"/>
        <v>2202700.495</v>
      </c>
      <c r="I45" s="542" t="str">
        <f t="shared" si="32"/>
        <v>#DIV/0!</v>
      </c>
      <c r="J45" s="662">
        <f>(2148797.89)+311898.62</f>
        <v>2460696.51</v>
      </c>
      <c r="K45" s="538">
        <v>0.2557</v>
      </c>
      <c r="L45" s="501"/>
      <c r="M45" s="538">
        <v>0.2305</v>
      </c>
      <c r="N45" s="501">
        <f t="shared" si="33"/>
        <v>2460696.51</v>
      </c>
      <c r="O45" s="542" t="str">
        <f t="shared" si="34"/>
        <v>#DIV/0!</v>
      </c>
      <c r="P45" s="685"/>
      <c r="Q45" s="716">
        <v>0.2557</v>
      </c>
      <c r="R45" s="459"/>
      <c r="S45" s="716">
        <v>0.2305</v>
      </c>
      <c r="T45" s="459">
        <f t="shared" si="35"/>
        <v>0</v>
      </c>
      <c r="U45" s="716" t="str">
        <f t="shared" si="36"/>
        <v>#DIV/0!</v>
      </c>
    </row>
    <row r="46" ht="15.75" customHeight="1">
      <c r="A46" s="425"/>
      <c r="B46" s="450"/>
      <c r="C46" s="450" t="s">
        <v>21</v>
      </c>
      <c r="D46" s="662">
        <v>273527.35536036384</v>
      </c>
      <c r="E46" s="538">
        <v>0.1796</v>
      </c>
      <c r="F46" s="501"/>
      <c r="G46" s="538">
        <v>0.1363</v>
      </c>
      <c r="H46" s="501">
        <f t="shared" si="31"/>
        <v>273527.3554</v>
      </c>
      <c r="I46" s="542" t="str">
        <f t="shared" si="32"/>
        <v>#DIV/0!</v>
      </c>
      <c r="J46" s="662">
        <f>(150432.01)+174121.8</f>
        <v>324553.81</v>
      </c>
      <c r="K46" s="538">
        <v>0.1796</v>
      </c>
      <c r="L46" s="501"/>
      <c r="M46" s="538">
        <v>0.1363</v>
      </c>
      <c r="N46" s="501">
        <f t="shared" si="33"/>
        <v>324553.81</v>
      </c>
      <c r="O46" s="542" t="str">
        <f t="shared" si="34"/>
        <v>#DIV/0!</v>
      </c>
      <c r="P46" s="685"/>
      <c r="Q46" s="716">
        <v>0.1796</v>
      </c>
      <c r="R46" s="459"/>
      <c r="S46" s="716">
        <v>0.1363</v>
      </c>
      <c r="T46" s="459">
        <f t="shared" si="35"/>
        <v>0</v>
      </c>
      <c r="U46" s="716" t="str">
        <f t="shared" si="36"/>
        <v>#DIV/0!</v>
      </c>
    </row>
    <row r="47" ht="15.75" hidden="1" customHeight="1">
      <c r="A47" s="425"/>
      <c r="B47" s="450"/>
      <c r="C47" s="450" t="s">
        <v>22</v>
      </c>
      <c r="D47" s="662"/>
      <c r="E47" s="521"/>
      <c r="F47" s="501"/>
      <c r="G47" s="538"/>
      <c r="H47" s="501"/>
      <c r="I47" s="542"/>
      <c r="J47" s="662"/>
      <c r="K47" s="521"/>
      <c r="L47" s="501"/>
      <c r="M47" s="538"/>
      <c r="N47" s="501"/>
      <c r="O47" s="542"/>
      <c r="P47" s="685"/>
      <c r="Q47" s="454"/>
      <c r="R47" s="459"/>
      <c r="S47" s="716"/>
      <c r="T47" s="459"/>
      <c r="U47" s="716"/>
    </row>
    <row r="48" ht="15.75" customHeight="1">
      <c r="A48" s="737"/>
      <c r="B48" s="468"/>
      <c r="C48" s="468" t="s">
        <v>190</v>
      </c>
      <c r="D48" s="663">
        <f>'Calculation Sheet for GST on Pu'!C24</f>
        <v>104094.5462</v>
      </c>
      <c r="E48" s="545">
        <f>D48/SUM(D44:D47)</f>
        <v>0.03243060589</v>
      </c>
      <c r="F48" s="527"/>
      <c r="G48" s="545" t="str">
        <f>F48/SUM(F44:F46)</f>
        <v>#DIV/0!</v>
      </c>
      <c r="H48" s="527">
        <f>D48-F48</f>
        <v>104094.5462</v>
      </c>
      <c r="I48" s="546" t="str">
        <f>H48/F48</f>
        <v>#DIV/0!</v>
      </c>
      <c r="J48" s="663">
        <f>'Calculation Sheet for GST on Pu'!D24</f>
        <v>114555.5665</v>
      </c>
      <c r="K48" s="538">
        <f>J48/SUM(J44:J47)</f>
        <v>0.0325916254</v>
      </c>
      <c r="L48" s="501"/>
      <c r="M48" s="538" t="str">
        <f>L48/SUM(L44:L46)</f>
        <v>#DIV/0!</v>
      </c>
      <c r="N48" s="501">
        <f>J48-L48</f>
        <v>114555.5665</v>
      </c>
      <c r="O48" s="542" t="str">
        <f>N48/L48</f>
        <v>#DIV/0!</v>
      </c>
      <c r="P48" s="687"/>
      <c r="Q48" s="716" t="str">
        <f>P48/SUM(P44:P47)</f>
        <v>#DIV/0!</v>
      </c>
      <c r="R48" s="459"/>
      <c r="S48" s="716" t="str">
        <f>R48/SUM(R44:R46)</f>
        <v>#DIV/0!</v>
      </c>
      <c r="T48" s="459">
        <f>P48-R48</f>
        <v>0</v>
      </c>
      <c r="U48" s="716" t="str">
        <f>T48/R48</f>
        <v>#DIV/0!</v>
      </c>
    </row>
    <row r="49" ht="15.75" customHeight="1">
      <c r="A49" s="425"/>
      <c r="B49" s="477"/>
      <c r="C49" s="477" t="s">
        <v>191</v>
      </c>
      <c r="D49" s="627">
        <f>SUM(D44:D48)</f>
        <v>3313857.157</v>
      </c>
      <c r="E49" s="581">
        <f t="shared" ref="E49:E52" si="37">D49/D$29</f>
        <v>0.3370377391</v>
      </c>
      <c r="F49" s="493"/>
      <c r="G49" s="628" t="str">
        <f>F49/F$29</f>
        <v>#DIV/0!</v>
      </c>
      <c r="H49" s="493">
        <f>SUM(H44:H48)</f>
        <v>3313857.157</v>
      </c>
      <c r="I49" s="629"/>
      <c r="J49" s="627">
        <f>SUM(J44:J48)</f>
        <v>3629432.934</v>
      </c>
      <c r="K49" s="706">
        <f t="shared" ref="K49:K52" si="38">J49/J$29</f>
        <v>0.3897019017</v>
      </c>
      <c r="L49" s="501"/>
      <c r="M49" s="538" t="str">
        <f>L49/L$29</f>
        <v>#DIV/0!</v>
      </c>
      <c r="N49" s="501">
        <f>SUM(N44:N48)</f>
        <v>3629432.934</v>
      </c>
      <c r="O49" s="464"/>
      <c r="P49" s="627">
        <f>SUM(P44:P48)</f>
        <v>0</v>
      </c>
      <c r="Q49" s="738" t="str">
        <f t="shared" ref="Q49:Q52" si="39">P49/P$29</f>
        <v>#DIV/0!</v>
      </c>
      <c r="R49" s="459"/>
      <c r="S49" s="716" t="str">
        <f>R49/R$29</f>
        <v>#DIV/0!</v>
      </c>
      <c r="T49" s="459">
        <f>SUM(T44:T48)</f>
        <v>0</v>
      </c>
      <c r="U49" s="454"/>
    </row>
    <row r="50" ht="15.75" customHeight="1">
      <c r="A50" s="425"/>
      <c r="B50" s="508"/>
      <c r="C50" s="508" t="s">
        <v>192</v>
      </c>
      <c r="D50" s="439">
        <v>213063.0</v>
      </c>
      <c r="E50" s="562">
        <f t="shared" si="37"/>
        <v>0.02166969438</v>
      </c>
      <c r="F50" s="563"/>
      <c r="G50" s="562">
        <v>0.0102</v>
      </c>
      <c r="H50" s="563">
        <f>D50-F50</f>
        <v>213063</v>
      </c>
      <c r="I50" s="564" t="str">
        <f>H50/F50</f>
        <v>#DIV/0!</v>
      </c>
      <c r="J50" s="439">
        <v>229061.0</v>
      </c>
      <c r="K50" s="545">
        <f t="shared" si="38"/>
        <v>0.02459489097</v>
      </c>
      <c r="L50" s="527"/>
      <c r="M50" s="545">
        <v>0.0102</v>
      </c>
      <c r="N50" s="527">
        <f>J50-L50</f>
        <v>229061</v>
      </c>
      <c r="O50" s="546" t="str">
        <f>N50/L50</f>
        <v>#DIV/0!</v>
      </c>
      <c r="P50" s="696"/>
      <c r="Q50" s="734" t="str">
        <f t="shared" si="39"/>
        <v>#DIV/0!</v>
      </c>
      <c r="R50" s="472"/>
      <c r="S50" s="734">
        <v>0.0102</v>
      </c>
      <c r="T50" s="472">
        <f>P50-R50</f>
        <v>0</v>
      </c>
      <c r="U50" s="734" t="str">
        <f>T50/R50</f>
        <v>#DIV/0!</v>
      </c>
    </row>
    <row r="51" ht="15.75" customHeight="1">
      <c r="A51" s="425"/>
      <c r="B51" s="474"/>
      <c r="C51" s="474" t="s">
        <v>193</v>
      </c>
      <c r="D51" s="692">
        <f>D49+D50</f>
        <v>3526920.157</v>
      </c>
      <c r="E51" s="529">
        <f t="shared" si="37"/>
        <v>0.3587074335</v>
      </c>
      <c r="F51" s="530">
        <f>F49+F50</f>
        <v>0</v>
      </c>
      <c r="G51" s="529" t="str">
        <f t="shared" ref="G51:G52" si="40">F51/F$29</f>
        <v>#DIV/0!</v>
      </c>
      <c r="H51" s="609">
        <f>H49+H50</f>
        <v>3526920.157</v>
      </c>
      <c r="I51" s="556"/>
      <c r="J51" s="692">
        <f>J49+J50</f>
        <v>3858493.934</v>
      </c>
      <c r="K51" s="529">
        <f t="shared" si="38"/>
        <v>0.4142967927</v>
      </c>
      <c r="L51" s="530">
        <f>L49+L50</f>
        <v>0</v>
      </c>
      <c r="M51" s="529" t="str">
        <f t="shared" ref="M51:M52" si="41">L51/L$29</f>
        <v>#DIV/0!</v>
      </c>
      <c r="N51" s="609">
        <f>N49+N50</f>
        <v>3858493.934</v>
      </c>
      <c r="O51" s="556"/>
      <c r="P51" s="627">
        <f>P49+P50</f>
        <v>0</v>
      </c>
      <c r="Q51" s="581" t="str">
        <f t="shared" si="39"/>
        <v>#DIV/0!</v>
      </c>
      <c r="R51" s="475">
        <f>R49+R50</f>
        <v>0</v>
      </c>
      <c r="S51" s="581" t="str">
        <f t="shared" ref="S51:S52" si="42">R51/R$29</f>
        <v>#DIV/0!</v>
      </c>
      <c r="T51" s="627">
        <f>T49+T50</f>
        <v>0</v>
      </c>
      <c r="U51" s="442"/>
    </row>
    <row r="52" ht="15.75" customHeight="1">
      <c r="A52" s="425"/>
      <c r="B52" s="739" t="s">
        <v>32</v>
      </c>
      <c r="C52" s="740" t="s">
        <v>32</v>
      </c>
      <c r="D52" s="692">
        <f>D29-D51</f>
        <v>6305382.793</v>
      </c>
      <c r="E52" s="529">
        <f t="shared" si="37"/>
        <v>0.6412925665</v>
      </c>
      <c r="F52" s="530" t="str">
        <f>F29-F51-#REF!</f>
        <v>#REF!</v>
      </c>
      <c r="G52" s="529" t="str">
        <f t="shared" si="40"/>
        <v>#REF!</v>
      </c>
      <c r="H52" s="609" t="str">
        <f>H29-H51-#REF!</f>
        <v>#REF!</v>
      </c>
      <c r="I52" s="531" t="str">
        <f>H52/H$29</f>
        <v>#REF!</v>
      </c>
      <c r="J52" s="692">
        <f>J29-J51</f>
        <v>5454863.066</v>
      </c>
      <c r="K52" s="529">
        <f t="shared" si="38"/>
        <v>0.5857032073</v>
      </c>
      <c r="L52" s="530" t="str">
        <f>L29-L51-#REF!</f>
        <v>#REF!</v>
      </c>
      <c r="M52" s="529" t="str">
        <f t="shared" si="41"/>
        <v>#REF!</v>
      </c>
      <c r="N52" s="609" t="str">
        <f>N29-N51-#REF!</f>
        <v>#REF!</v>
      </c>
      <c r="O52" s="531" t="str">
        <f>N52/N$29</f>
        <v>#REF!</v>
      </c>
      <c r="P52" s="627">
        <f>P29-P51</f>
        <v>0</v>
      </c>
      <c r="Q52" s="581" t="str">
        <f t="shared" si="39"/>
        <v>#DIV/0!</v>
      </c>
      <c r="R52" s="475" t="str">
        <f>R29-R51-#REF!</f>
        <v>#REF!</v>
      </c>
      <c r="S52" s="581" t="str">
        <f t="shared" si="42"/>
        <v>#REF!</v>
      </c>
      <c r="T52" s="627" t="str">
        <f>T29-T51-#REF!</f>
        <v>#REF!</v>
      </c>
      <c r="U52" s="581" t="str">
        <f>T52/T$29</f>
        <v>#REF!</v>
      </c>
    </row>
    <row r="53" ht="15.75" customHeight="1">
      <c r="A53" s="425"/>
      <c r="B53" s="508"/>
      <c r="C53" s="508"/>
      <c r="D53" s="439"/>
      <c r="E53" s="586"/>
      <c r="F53" s="563"/>
      <c r="G53" s="586"/>
      <c r="H53" s="586"/>
      <c r="I53" s="440"/>
      <c r="J53" s="439"/>
      <c r="K53" s="586"/>
      <c r="L53" s="563"/>
      <c r="M53" s="586"/>
      <c r="N53" s="586"/>
      <c r="O53" s="440"/>
      <c r="P53" s="696"/>
      <c r="Q53" s="741"/>
      <c r="R53" s="495"/>
      <c r="S53" s="741"/>
      <c r="T53" s="741"/>
      <c r="U53" s="741"/>
    </row>
    <row r="54" ht="15.75" customHeight="1">
      <c r="A54" s="425"/>
      <c r="B54" s="477"/>
      <c r="C54" s="742" t="s">
        <v>194</v>
      </c>
      <c r="D54" s="705"/>
      <c r="E54" s="629"/>
      <c r="F54" s="493"/>
      <c r="G54" s="629"/>
      <c r="H54" s="629"/>
      <c r="I54" s="629"/>
      <c r="J54" s="705"/>
      <c r="K54" s="629"/>
      <c r="L54" s="493"/>
      <c r="M54" s="629"/>
      <c r="N54" s="629"/>
      <c r="O54" s="629"/>
      <c r="P54" s="705"/>
      <c r="Q54" s="629"/>
      <c r="R54" s="493"/>
      <c r="S54" s="629"/>
      <c r="T54" s="629"/>
      <c r="U54" s="629"/>
    </row>
    <row r="55" ht="15.75" customHeight="1">
      <c r="A55" s="425"/>
      <c r="B55" s="481"/>
      <c r="C55" s="481" t="s">
        <v>195</v>
      </c>
      <c r="D55" s="448">
        <v>69749.66</v>
      </c>
      <c r="E55" s="533">
        <f t="shared" ref="E55:E61" si="43">D55/D$29</f>
        <v>0.007093929098</v>
      </c>
      <c r="F55" s="523">
        <f t="shared" ref="F55:F59" si="44">G55*F$29</f>
        <v>0</v>
      </c>
      <c r="G55" s="533"/>
      <c r="H55" s="610">
        <f t="shared" ref="H55:H60" si="45">D55-F55</f>
        <v>69749.66</v>
      </c>
      <c r="I55" s="536" t="str">
        <f t="shared" ref="I55:I59" si="46">H55/F55</f>
        <v>#DIV/0!</v>
      </c>
      <c r="J55" s="448">
        <v>64314.0</v>
      </c>
      <c r="K55" s="533">
        <f t="shared" ref="K55:K61" si="47">J55/J$29</f>
        <v>0.006905565845</v>
      </c>
      <c r="L55" s="523">
        <f t="shared" ref="L55:L59" si="48">M55*L$29</f>
        <v>0</v>
      </c>
      <c r="M55" s="533"/>
      <c r="N55" s="610">
        <f t="shared" ref="N55:N60" si="49">J55-L55</f>
        <v>64314</v>
      </c>
      <c r="O55" s="536" t="str">
        <f t="shared" ref="O55:O59" si="50">N55/L55</f>
        <v>#DIV/0!</v>
      </c>
      <c r="P55" s="482"/>
      <c r="Q55" s="725" t="str">
        <f t="shared" ref="Q55:Q61" si="51">P55/P$29</f>
        <v>#DIV/0!</v>
      </c>
      <c r="R55" s="482">
        <f t="shared" ref="R55:R59" si="52">S55*R$29</f>
        <v>0</v>
      </c>
      <c r="S55" s="725"/>
      <c r="T55" s="686">
        <f t="shared" ref="T55:T60" si="53">P55-R55</f>
        <v>0</v>
      </c>
      <c r="U55" s="725" t="str">
        <f t="shared" ref="U55:U59" si="54">T55/R55</f>
        <v>#DIV/0!</v>
      </c>
    </row>
    <row r="56" ht="15.75" customHeight="1">
      <c r="A56" s="425"/>
      <c r="B56" s="450"/>
      <c r="C56" s="450" t="s">
        <v>196</v>
      </c>
      <c r="D56" s="452">
        <v>87886.93000000001</v>
      </c>
      <c r="E56" s="538">
        <f t="shared" si="43"/>
        <v>0.008938590526</v>
      </c>
      <c r="F56" s="501">
        <f t="shared" si="44"/>
        <v>0</v>
      </c>
      <c r="G56" s="538"/>
      <c r="H56" s="612">
        <f t="shared" si="45"/>
        <v>87886.93</v>
      </c>
      <c r="I56" s="542" t="str">
        <f t="shared" si="46"/>
        <v>#DIV/0!</v>
      </c>
      <c r="J56" s="452">
        <v>133261.0</v>
      </c>
      <c r="K56" s="538">
        <f t="shared" si="47"/>
        <v>0.01430858927</v>
      </c>
      <c r="L56" s="501">
        <f t="shared" si="48"/>
        <v>0</v>
      </c>
      <c r="M56" s="538"/>
      <c r="N56" s="612">
        <f t="shared" si="49"/>
        <v>133261</v>
      </c>
      <c r="O56" s="542" t="str">
        <f t="shared" si="50"/>
        <v>#DIV/0!</v>
      </c>
      <c r="P56" s="459"/>
      <c r="Q56" s="716" t="str">
        <f t="shared" si="51"/>
        <v>#DIV/0!</v>
      </c>
      <c r="R56" s="459">
        <f t="shared" si="52"/>
        <v>0</v>
      </c>
      <c r="S56" s="716"/>
      <c r="T56" s="685">
        <f t="shared" si="53"/>
        <v>0</v>
      </c>
      <c r="U56" s="716" t="str">
        <f t="shared" si="54"/>
        <v>#DIV/0!</v>
      </c>
    </row>
    <row r="57" ht="15.75" customHeight="1">
      <c r="A57" s="425"/>
      <c r="B57" s="450"/>
      <c r="C57" s="450" t="s">
        <v>266</v>
      </c>
      <c r="D57" s="452">
        <v>0.0</v>
      </c>
      <c r="E57" s="538">
        <f t="shared" si="43"/>
        <v>0</v>
      </c>
      <c r="F57" s="501">
        <f t="shared" si="44"/>
        <v>0</v>
      </c>
      <c r="G57" s="538"/>
      <c r="H57" s="732">
        <f t="shared" si="45"/>
        <v>0</v>
      </c>
      <c r="I57" s="542" t="str">
        <f t="shared" si="46"/>
        <v>#DIV/0!</v>
      </c>
      <c r="J57" s="452">
        <v>0.0</v>
      </c>
      <c r="K57" s="538">
        <f t="shared" si="47"/>
        <v>0</v>
      </c>
      <c r="L57" s="501">
        <f t="shared" si="48"/>
        <v>0</v>
      </c>
      <c r="M57" s="538"/>
      <c r="N57" s="732">
        <f t="shared" si="49"/>
        <v>0</v>
      </c>
      <c r="O57" s="542" t="str">
        <f t="shared" si="50"/>
        <v>#DIV/0!</v>
      </c>
      <c r="P57" s="459"/>
      <c r="Q57" s="716" t="str">
        <f t="shared" si="51"/>
        <v>#DIV/0!</v>
      </c>
      <c r="R57" s="459">
        <f t="shared" si="52"/>
        <v>0</v>
      </c>
      <c r="S57" s="716"/>
      <c r="T57" s="700">
        <f t="shared" si="53"/>
        <v>0</v>
      </c>
      <c r="U57" s="716" t="str">
        <f t="shared" si="54"/>
        <v>#DIV/0!</v>
      </c>
    </row>
    <row r="58" ht="15.75" customHeight="1">
      <c r="A58" s="425"/>
      <c r="B58" s="450"/>
      <c r="C58" s="450" t="s">
        <v>197</v>
      </c>
      <c r="D58" s="452">
        <v>37665.0</v>
      </c>
      <c r="E58" s="538">
        <f t="shared" si="43"/>
        <v>0.003830740386</v>
      </c>
      <c r="F58" s="501">
        <f t="shared" si="44"/>
        <v>0</v>
      </c>
      <c r="G58" s="538"/>
      <c r="H58" s="612">
        <f t="shared" si="45"/>
        <v>37665</v>
      </c>
      <c r="I58" s="542" t="str">
        <f t="shared" si="46"/>
        <v>#DIV/0!</v>
      </c>
      <c r="J58" s="452">
        <v>16391.0</v>
      </c>
      <c r="K58" s="538">
        <f t="shared" si="47"/>
        <v>0.00175994542</v>
      </c>
      <c r="L58" s="501">
        <f t="shared" si="48"/>
        <v>0</v>
      </c>
      <c r="M58" s="538"/>
      <c r="N58" s="612">
        <f t="shared" si="49"/>
        <v>16391</v>
      </c>
      <c r="O58" s="542" t="str">
        <f t="shared" si="50"/>
        <v>#DIV/0!</v>
      </c>
      <c r="P58" s="459"/>
      <c r="Q58" s="716" t="str">
        <f t="shared" si="51"/>
        <v>#DIV/0!</v>
      </c>
      <c r="R58" s="459">
        <f t="shared" si="52"/>
        <v>0</v>
      </c>
      <c r="S58" s="716"/>
      <c r="T58" s="685">
        <f t="shared" si="53"/>
        <v>0</v>
      </c>
      <c r="U58" s="716" t="str">
        <f t="shared" si="54"/>
        <v>#DIV/0!</v>
      </c>
    </row>
    <row r="59" ht="15.75" customHeight="1">
      <c r="A59" s="425"/>
      <c r="B59" s="450"/>
      <c r="C59" s="450" t="s">
        <v>198</v>
      </c>
      <c r="D59" s="452">
        <v>32569.9</v>
      </c>
      <c r="E59" s="538">
        <f t="shared" si="43"/>
        <v>0.003312540324</v>
      </c>
      <c r="F59" s="501">
        <f t="shared" si="44"/>
        <v>0</v>
      </c>
      <c r="G59" s="538"/>
      <c r="H59" s="612">
        <f t="shared" si="45"/>
        <v>32569.9</v>
      </c>
      <c r="I59" s="542" t="str">
        <f t="shared" si="46"/>
        <v>#DIV/0!</v>
      </c>
      <c r="J59" s="452">
        <v>33076.0</v>
      </c>
      <c r="K59" s="538">
        <f t="shared" si="47"/>
        <v>0.003551458405</v>
      </c>
      <c r="L59" s="501">
        <f t="shared" si="48"/>
        <v>0</v>
      </c>
      <c r="M59" s="538"/>
      <c r="N59" s="612">
        <f t="shared" si="49"/>
        <v>33076</v>
      </c>
      <c r="O59" s="542" t="str">
        <f t="shared" si="50"/>
        <v>#DIV/0!</v>
      </c>
      <c r="P59" s="459"/>
      <c r="Q59" s="716" t="str">
        <f t="shared" si="51"/>
        <v>#DIV/0!</v>
      </c>
      <c r="R59" s="459">
        <f t="shared" si="52"/>
        <v>0</v>
      </c>
      <c r="S59" s="716"/>
      <c r="T59" s="685">
        <f t="shared" si="53"/>
        <v>0</v>
      </c>
      <c r="U59" s="716" t="str">
        <f t="shared" si="54"/>
        <v>#DIV/0!</v>
      </c>
    </row>
    <row r="60" ht="15.75" customHeight="1">
      <c r="A60" s="425"/>
      <c r="B60" s="468"/>
      <c r="C60" s="468" t="s">
        <v>199</v>
      </c>
      <c r="D60" s="470">
        <v>1616.3333333333333</v>
      </c>
      <c r="E60" s="545">
        <f t="shared" si="43"/>
        <v>0.0001643901069</v>
      </c>
      <c r="F60" s="527"/>
      <c r="G60" s="545"/>
      <c r="H60" s="664">
        <f t="shared" si="45"/>
        <v>1616.333333</v>
      </c>
      <c r="I60" s="546"/>
      <c r="J60" s="470">
        <v>6675.0</v>
      </c>
      <c r="K60" s="545">
        <f t="shared" si="47"/>
        <v>0.0007167125667</v>
      </c>
      <c r="L60" s="527"/>
      <c r="M60" s="545"/>
      <c r="N60" s="664">
        <f t="shared" si="49"/>
        <v>6675</v>
      </c>
      <c r="O60" s="546"/>
      <c r="P60" s="472"/>
      <c r="Q60" s="734" t="str">
        <f t="shared" si="51"/>
        <v>#DIV/0!</v>
      </c>
      <c r="R60" s="472"/>
      <c r="S60" s="734"/>
      <c r="T60" s="687">
        <f t="shared" si="53"/>
        <v>0</v>
      </c>
      <c r="U60" s="734"/>
    </row>
    <row r="61" ht="15.75" customHeight="1">
      <c r="A61" s="425"/>
      <c r="B61" s="477"/>
      <c r="C61" s="474" t="s">
        <v>200</v>
      </c>
      <c r="D61" s="444">
        <f>SUM(D55:D60)</f>
        <v>229487.8233</v>
      </c>
      <c r="E61" s="529">
        <f t="shared" si="43"/>
        <v>0.02334019044</v>
      </c>
      <c r="F61" s="530">
        <f>SUM(F55:F60)</f>
        <v>0</v>
      </c>
      <c r="G61" s="529" t="str">
        <f>F61/F$29</f>
        <v>#DIV/0!</v>
      </c>
      <c r="H61" s="609">
        <f>SUM(H55:H60)</f>
        <v>229487.8233</v>
      </c>
      <c r="I61" s="556"/>
      <c r="J61" s="444">
        <f>SUM(J55:J60)</f>
        <v>253717</v>
      </c>
      <c r="K61" s="529">
        <f t="shared" si="47"/>
        <v>0.0272422715</v>
      </c>
      <c r="L61" s="530">
        <f>SUM(L55:L60)</f>
        <v>0</v>
      </c>
      <c r="M61" s="529" t="str">
        <f>L61/L$29</f>
        <v>#DIV/0!</v>
      </c>
      <c r="N61" s="609">
        <f>SUM(N55:N60)</f>
        <v>253717</v>
      </c>
      <c r="O61" s="556"/>
      <c r="P61" s="475">
        <f>SUM(P55:P60)</f>
        <v>0</v>
      </c>
      <c r="Q61" s="581" t="str">
        <f t="shared" si="51"/>
        <v>#DIV/0!</v>
      </c>
      <c r="R61" s="475">
        <f>SUM(R55:R60)</f>
        <v>0</v>
      </c>
      <c r="S61" s="581" t="str">
        <f>R61/R$29</f>
        <v>#DIV/0!</v>
      </c>
      <c r="T61" s="627">
        <f>SUM(T55:T60)</f>
        <v>0</v>
      </c>
      <c r="U61" s="442"/>
    </row>
    <row r="62" ht="15.75" hidden="1" customHeight="1">
      <c r="A62" s="425"/>
      <c r="B62" s="481"/>
      <c r="C62" s="481"/>
      <c r="D62" s="448"/>
      <c r="E62" s="522"/>
      <c r="F62" s="523"/>
      <c r="G62" s="522"/>
      <c r="H62" s="522"/>
      <c r="I62" s="524"/>
      <c r="J62" s="448"/>
      <c r="K62" s="522"/>
      <c r="L62" s="523"/>
      <c r="M62" s="522"/>
      <c r="N62" s="522"/>
      <c r="O62" s="524"/>
      <c r="P62" s="482"/>
      <c r="Q62" s="446"/>
      <c r="R62" s="482"/>
      <c r="S62" s="446"/>
      <c r="T62" s="446"/>
      <c r="U62" s="446"/>
    </row>
    <row r="63" ht="15.75" hidden="1" customHeight="1">
      <c r="A63" s="425"/>
      <c r="B63" s="450"/>
      <c r="C63" s="450"/>
      <c r="D63" s="452"/>
      <c r="E63" s="538"/>
      <c r="F63" s="501"/>
      <c r="G63" s="612"/>
      <c r="H63" s="612"/>
      <c r="I63" s="693"/>
      <c r="J63" s="452"/>
      <c r="K63" s="538"/>
      <c r="L63" s="501"/>
      <c r="M63" s="612"/>
      <c r="N63" s="612"/>
      <c r="O63" s="693"/>
      <c r="P63" s="459"/>
      <c r="Q63" s="716"/>
      <c r="R63" s="459"/>
      <c r="S63" s="685"/>
      <c r="T63" s="685"/>
      <c r="U63" s="685"/>
    </row>
    <row r="64" ht="15.75" hidden="1" customHeight="1">
      <c r="A64" s="425"/>
      <c r="B64" s="450"/>
      <c r="C64" s="450"/>
      <c r="D64" s="452"/>
      <c r="E64" s="538"/>
      <c r="F64" s="501"/>
      <c r="G64" s="612"/>
      <c r="H64" s="612"/>
      <c r="I64" s="693"/>
      <c r="J64" s="452"/>
      <c r="K64" s="538"/>
      <c r="L64" s="501"/>
      <c r="M64" s="612"/>
      <c r="N64" s="612"/>
      <c r="O64" s="693"/>
      <c r="P64" s="459"/>
      <c r="Q64" s="716"/>
      <c r="R64" s="459"/>
      <c r="S64" s="685"/>
      <c r="T64" s="685"/>
      <c r="U64" s="685"/>
    </row>
    <row r="65" ht="15.75" hidden="1" customHeight="1">
      <c r="A65" s="425"/>
      <c r="B65" s="450"/>
      <c r="C65" s="450"/>
      <c r="D65" s="452"/>
      <c r="E65" s="538"/>
      <c r="F65" s="501"/>
      <c r="G65" s="612"/>
      <c r="H65" s="612"/>
      <c r="I65" s="693"/>
      <c r="J65" s="452"/>
      <c r="K65" s="538"/>
      <c r="L65" s="501"/>
      <c r="M65" s="612"/>
      <c r="N65" s="612"/>
      <c r="O65" s="693"/>
      <c r="P65" s="459"/>
      <c r="Q65" s="716"/>
      <c r="R65" s="459"/>
      <c r="S65" s="685"/>
      <c r="T65" s="685"/>
      <c r="U65" s="685"/>
    </row>
    <row r="66" ht="15.75" hidden="1" customHeight="1">
      <c r="A66" s="425"/>
      <c r="B66" s="450"/>
      <c r="C66" s="450"/>
      <c r="D66" s="452"/>
      <c r="E66" s="538"/>
      <c r="F66" s="501"/>
      <c r="G66" s="612"/>
      <c r="H66" s="612"/>
      <c r="I66" s="693"/>
      <c r="J66" s="452"/>
      <c r="K66" s="538"/>
      <c r="L66" s="501"/>
      <c r="M66" s="612"/>
      <c r="N66" s="612"/>
      <c r="O66" s="693"/>
      <c r="P66" s="459"/>
      <c r="Q66" s="716"/>
      <c r="R66" s="459"/>
      <c r="S66" s="685"/>
      <c r="T66" s="685"/>
      <c r="U66" s="685"/>
    </row>
    <row r="67" ht="15.75" hidden="1" customHeight="1">
      <c r="A67" s="425"/>
      <c r="B67" s="450"/>
      <c r="C67" s="450"/>
      <c r="D67" s="452"/>
      <c r="E67" s="538"/>
      <c r="F67" s="501"/>
      <c r="G67" s="612"/>
      <c r="H67" s="612"/>
      <c r="I67" s="693"/>
      <c r="J67" s="452"/>
      <c r="K67" s="538"/>
      <c r="L67" s="501"/>
      <c r="M67" s="612"/>
      <c r="N67" s="612"/>
      <c r="O67" s="693"/>
      <c r="P67" s="459"/>
      <c r="Q67" s="716"/>
      <c r="R67" s="459"/>
      <c r="S67" s="685"/>
      <c r="T67" s="685"/>
      <c r="U67" s="685"/>
    </row>
    <row r="68" ht="15.75" hidden="1" customHeight="1">
      <c r="A68" s="425"/>
      <c r="B68" s="450"/>
      <c r="C68" s="450"/>
      <c r="D68" s="452"/>
      <c r="E68" s="538"/>
      <c r="F68" s="501"/>
      <c r="G68" s="612"/>
      <c r="H68" s="612"/>
      <c r="I68" s="693"/>
      <c r="J68" s="452"/>
      <c r="K68" s="538"/>
      <c r="L68" s="501"/>
      <c r="M68" s="612"/>
      <c r="N68" s="612"/>
      <c r="O68" s="693"/>
      <c r="P68" s="459"/>
      <c r="Q68" s="716"/>
      <c r="R68" s="459"/>
      <c r="S68" s="685"/>
      <c r="T68" s="685"/>
      <c r="U68" s="685"/>
    </row>
    <row r="69" ht="15.75" customHeight="1">
      <c r="A69" s="425"/>
      <c r="B69" s="450"/>
      <c r="C69" s="450"/>
      <c r="D69" s="452"/>
      <c r="E69" s="521"/>
      <c r="F69" s="501"/>
      <c r="G69" s="521"/>
      <c r="H69" s="521"/>
      <c r="I69" s="464"/>
      <c r="J69" s="452"/>
      <c r="K69" s="521"/>
      <c r="L69" s="501"/>
      <c r="M69" s="521"/>
      <c r="N69" s="521"/>
      <c r="O69" s="464"/>
      <c r="P69" s="459"/>
      <c r="Q69" s="454"/>
      <c r="R69" s="459"/>
      <c r="S69" s="454"/>
      <c r="T69" s="454"/>
      <c r="U69" s="454"/>
    </row>
    <row r="70" ht="15.75" customHeight="1">
      <c r="A70" s="425"/>
      <c r="B70" s="474"/>
      <c r="C70" s="492" t="s">
        <v>205</v>
      </c>
      <c r="D70" s="444">
        <f>SUM(D71:D81)</f>
        <v>98796.5</v>
      </c>
      <c r="E70" s="529">
        <f t="shared" ref="E70:E80" si="55">D70/D$29</f>
        <v>0.01004815459</v>
      </c>
      <c r="F70" s="530">
        <f>SUM(F71:F81)</f>
        <v>0</v>
      </c>
      <c r="G70" s="529" t="str">
        <f t="shared" ref="G70:G75" si="56">F70/F$29</f>
        <v>#DIV/0!</v>
      </c>
      <c r="H70" s="530">
        <f>SUM(H71:H81)</f>
        <v>98796.5</v>
      </c>
      <c r="I70" s="556"/>
      <c r="J70" s="444">
        <f>SUM(J71:J81)</f>
        <v>116275</v>
      </c>
      <c r="K70" s="529">
        <f t="shared" ref="K70:K80" si="57">J70/J$29</f>
        <v>0.01248475711</v>
      </c>
      <c r="L70" s="530">
        <f>SUM(L71:L81)</f>
        <v>0</v>
      </c>
      <c r="M70" s="529" t="str">
        <f t="shared" ref="M70:M75" si="58">L70/L$29</f>
        <v>#DIV/0!</v>
      </c>
      <c r="N70" s="530">
        <f>SUM(N71:N81)</f>
        <v>116275</v>
      </c>
      <c r="O70" s="556"/>
      <c r="P70" s="475">
        <f>SUM(P71:P81)</f>
        <v>0</v>
      </c>
      <c r="Q70" s="581" t="str">
        <f t="shared" ref="Q70:Q80" si="59">P70/P$29</f>
        <v>#DIV/0!</v>
      </c>
      <c r="R70" s="475">
        <f>SUM(R71:R81)</f>
        <v>0</v>
      </c>
      <c r="S70" s="581" t="str">
        <f t="shared" ref="S70:S75" si="60">R70/R$29</f>
        <v>#DIV/0!</v>
      </c>
      <c r="T70" s="475">
        <f>SUM(T71:T81)</f>
        <v>0</v>
      </c>
      <c r="U70" s="442"/>
    </row>
    <row r="71" ht="15.75" customHeight="1">
      <c r="A71" s="425"/>
      <c r="B71" s="481"/>
      <c r="C71" s="481" t="s">
        <v>268</v>
      </c>
      <c r="D71" s="448">
        <v>0.0</v>
      </c>
      <c r="E71" s="533">
        <f t="shared" si="55"/>
        <v>0</v>
      </c>
      <c r="F71" s="523"/>
      <c r="G71" s="533" t="str">
        <f t="shared" si="56"/>
        <v>#DIV/0!</v>
      </c>
      <c r="H71" s="523">
        <f t="shared" ref="H71:H75" si="61">D71-F71</f>
        <v>0</v>
      </c>
      <c r="I71" s="536"/>
      <c r="J71" s="448">
        <v>0.0</v>
      </c>
      <c r="K71" s="533">
        <f t="shared" si="57"/>
        <v>0</v>
      </c>
      <c r="L71" s="523"/>
      <c r="M71" s="533" t="str">
        <f t="shared" si="58"/>
        <v>#DIV/0!</v>
      </c>
      <c r="N71" s="523">
        <f t="shared" ref="N71:N75" si="62">J71-L71</f>
        <v>0</v>
      </c>
      <c r="O71" s="536"/>
      <c r="P71" s="482">
        <v>0.0</v>
      </c>
      <c r="Q71" s="725" t="str">
        <f t="shared" si="59"/>
        <v>#DIV/0!</v>
      </c>
      <c r="R71" s="482"/>
      <c r="S71" s="725" t="str">
        <f t="shared" si="60"/>
        <v>#DIV/0!</v>
      </c>
      <c r="T71" s="482">
        <f t="shared" ref="T71:T75" si="63">P71-R71</f>
        <v>0</v>
      </c>
      <c r="U71" s="725"/>
    </row>
    <row r="72" ht="15.75" customHeight="1">
      <c r="A72" s="425"/>
      <c r="B72" s="450"/>
      <c r="C72" s="450" t="s">
        <v>212</v>
      </c>
      <c r="D72" s="448">
        <v>0.0</v>
      </c>
      <c r="E72" s="538">
        <f t="shared" si="55"/>
        <v>0</v>
      </c>
      <c r="F72" s="501"/>
      <c r="G72" s="538" t="str">
        <f t="shared" si="56"/>
        <v>#DIV/0!</v>
      </c>
      <c r="H72" s="501">
        <f t="shared" si="61"/>
        <v>0</v>
      </c>
      <c r="I72" s="542" t="str">
        <f t="shared" ref="I72:I75" si="64">H72/F72</f>
        <v>#DIV/0!</v>
      </c>
      <c r="J72" s="448">
        <v>0.0</v>
      </c>
      <c r="K72" s="538">
        <f t="shared" si="57"/>
        <v>0</v>
      </c>
      <c r="L72" s="501"/>
      <c r="M72" s="538" t="str">
        <f t="shared" si="58"/>
        <v>#DIV/0!</v>
      </c>
      <c r="N72" s="501">
        <f t="shared" si="62"/>
        <v>0</v>
      </c>
      <c r="O72" s="542" t="str">
        <f t="shared" ref="O72:O75" si="65">N72/L72</f>
        <v>#DIV/0!</v>
      </c>
      <c r="P72" s="482">
        <v>0.0</v>
      </c>
      <c r="Q72" s="716" t="str">
        <f t="shared" si="59"/>
        <v>#DIV/0!</v>
      </c>
      <c r="R72" s="459"/>
      <c r="S72" s="716" t="str">
        <f t="shared" si="60"/>
        <v>#DIV/0!</v>
      </c>
      <c r="T72" s="459">
        <f t="shared" si="63"/>
        <v>0</v>
      </c>
      <c r="U72" s="716" t="str">
        <f t="shared" ref="U72:U75" si="66">T72/R72</f>
        <v>#DIV/0!</v>
      </c>
    </row>
    <row r="73" ht="15.75" customHeight="1">
      <c r="A73" s="425"/>
      <c r="B73" s="450"/>
      <c r="C73" s="450" t="s">
        <v>213</v>
      </c>
      <c r="D73" s="448">
        <v>0.0</v>
      </c>
      <c r="E73" s="538">
        <f t="shared" si="55"/>
        <v>0</v>
      </c>
      <c r="F73" s="501"/>
      <c r="G73" s="538" t="str">
        <f t="shared" si="56"/>
        <v>#DIV/0!</v>
      </c>
      <c r="H73" s="501">
        <f t="shared" si="61"/>
        <v>0</v>
      </c>
      <c r="I73" s="542" t="str">
        <f t="shared" si="64"/>
        <v>#DIV/0!</v>
      </c>
      <c r="J73" s="448">
        <v>0.0</v>
      </c>
      <c r="K73" s="538">
        <f t="shared" si="57"/>
        <v>0</v>
      </c>
      <c r="L73" s="501"/>
      <c r="M73" s="538" t="str">
        <f t="shared" si="58"/>
        <v>#DIV/0!</v>
      </c>
      <c r="N73" s="501">
        <f t="shared" si="62"/>
        <v>0</v>
      </c>
      <c r="O73" s="542" t="str">
        <f t="shared" si="65"/>
        <v>#DIV/0!</v>
      </c>
      <c r="P73" s="482">
        <v>0.0</v>
      </c>
      <c r="Q73" s="716" t="str">
        <f t="shared" si="59"/>
        <v>#DIV/0!</v>
      </c>
      <c r="R73" s="459"/>
      <c r="S73" s="716" t="str">
        <f t="shared" si="60"/>
        <v>#DIV/0!</v>
      </c>
      <c r="T73" s="459">
        <f t="shared" si="63"/>
        <v>0</v>
      </c>
      <c r="U73" s="716" t="str">
        <f t="shared" si="66"/>
        <v>#DIV/0!</v>
      </c>
    </row>
    <row r="74" ht="15.75" customHeight="1">
      <c r="A74" s="425"/>
      <c r="B74" s="450"/>
      <c r="C74" s="450" t="s">
        <v>269</v>
      </c>
      <c r="D74" s="448">
        <v>0.0</v>
      </c>
      <c r="E74" s="538">
        <f t="shared" si="55"/>
        <v>0</v>
      </c>
      <c r="F74" s="501"/>
      <c r="G74" s="538" t="str">
        <f t="shared" si="56"/>
        <v>#DIV/0!</v>
      </c>
      <c r="H74" s="501">
        <f t="shared" si="61"/>
        <v>0</v>
      </c>
      <c r="I74" s="542" t="str">
        <f t="shared" si="64"/>
        <v>#DIV/0!</v>
      </c>
      <c r="J74" s="448">
        <v>0.0</v>
      </c>
      <c r="K74" s="538">
        <f t="shared" si="57"/>
        <v>0</v>
      </c>
      <c r="L74" s="501"/>
      <c r="M74" s="538" t="str">
        <f t="shared" si="58"/>
        <v>#DIV/0!</v>
      </c>
      <c r="N74" s="501">
        <f t="shared" si="62"/>
        <v>0</v>
      </c>
      <c r="O74" s="542" t="str">
        <f t="shared" si="65"/>
        <v>#DIV/0!</v>
      </c>
      <c r="P74" s="482">
        <v>0.0</v>
      </c>
      <c r="Q74" s="716" t="str">
        <f t="shared" si="59"/>
        <v>#DIV/0!</v>
      </c>
      <c r="R74" s="459"/>
      <c r="S74" s="716" t="str">
        <f t="shared" si="60"/>
        <v>#DIV/0!</v>
      </c>
      <c r="T74" s="459">
        <f t="shared" si="63"/>
        <v>0</v>
      </c>
      <c r="U74" s="716" t="str">
        <f t="shared" si="66"/>
        <v>#DIV/0!</v>
      </c>
    </row>
    <row r="75" ht="15.75" customHeight="1">
      <c r="A75" s="425"/>
      <c r="B75" s="450"/>
      <c r="C75" s="450" t="s">
        <v>305</v>
      </c>
      <c r="D75" s="448">
        <v>0.0</v>
      </c>
      <c r="E75" s="538">
        <f t="shared" si="55"/>
        <v>0</v>
      </c>
      <c r="F75" s="501"/>
      <c r="G75" s="538" t="str">
        <f t="shared" si="56"/>
        <v>#DIV/0!</v>
      </c>
      <c r="H75" s="501">
        <f t="shared" si="61"/>
        <v>0</v>
      </c>
      <c r="I75" s="542" t="str">
        <f t="shared" si="64"/>
        <v>#DIV/0!</v>
      </c>
      <c r="J75" s="448">
        <v>0.0</v>
      </c>
      <c r="K75" s="538">
        <f t="shared" si="57"/>
        <v>0</v>
      </c>
      <c r="L75" s="501"/>
      <c r="M75" s="538" t="str">
        <f t="shared" si="58"/>
        <v>#DIV/0!</v>
      </c>
      <c r="N75" s="501">
        <f t="shared" si="62"/>
        <v>0</v>
      </c>
      <c r="O75" s="542" t="str">
        <f t="shared" si="65"/>
        <v>#DIV/0!</v>
      </c>
      <c r="P75" s="482">
        <v>0.0</v>
      </c>
      <c r="Q75" s="716" t="str">
        <f t="shared" si="59"/>
        <v>#DIV/0!</v>
      </c>
      <c r="R75" s="459"/>
      <c r="S75" s="716" t="str">
        <f t="shared" si="60"/>
        <v>#DIV/0!</v>
      </c>
      <c r="T75" s="459">
        <f t="shared" si="63"/>
        <v>0</v>
      </c>
      <c r="U75" s="716" t="str">
        <f t="shared" si="66"/>
        <v>#DIV/0!</v>
      </c>
    </row>
    <row r="76" ht="15.75" customHeight="1">
      <c r="A76" s="425"/>
      <c r="B76" s="450"/>
      <c r="C76" s="450" t="s">
        <v>306</v>
      </c>
      <c r="D76" s="448">
        <v>0.0</v>
      </c>
      <c r="E76" s="538">
        <f t="shared" si="55"/>
        <v>0</v>
      </c>
      <c r="F76" s="501"/>
      <c r="G76" s="538"/>
      <c r="H76" s="501"/>
      <c r="I76" s="542"/>
      <c r="J76" s="448">
        <v>0.0</v>
      </c>
      <c r="K76" s="538">
        <f t="shared" si="57"/>
        <v>0</v>
      </c>
      <c r="L76" s="501"/>
      <c r="M76" s="538"/>
      <c r="N76" s="501"/>
      <c r="O76" s="542"/>
      <c r="P76" s="482">
        <v>0.0</v>
      </c>
      <c r="Q76" s="716" t="str">
        <f t="shared" si="59"/>
        <v>#DIV/0!</v>
      </c>
      <c r="R76" s="459"/>
      <c r="S76" s="716"/>
      <c r="T76" s="459"/>
      <c r="U76" s="716"/>
    </row>
    <row r="77" ht="15.75" customHeight="1">
      <c r="A77" s="425"/>
      <c r="B77" s="450"/>
      <c r="C77" s="450" t="s">
        <v>307</v>
      </c>
      <c r="D77" s="448">
        <v>0.0</v>
      </c>
      <c r="E77" s="538">
        <f t="shared" si="55"/>
        <v>0</v>
      </c>
      <c r="F77" s="501"/>
      <c r="G77" s="538" t="str">
        <f t="shared" ref="G77:G79" si="67">F77/F$29</f>
        <v>#DIV/0!</v>
      </c>
      <c r="H77" s="501">
        <f t="shared" ref="H77:H79" si="68">D77-F77</f>
        <v>0</v>
      </c>
      <c r="I77" s="542" t="str">
        <f t="shared" ref="I77:I79" si="69">H77/F77</f>
        <v>#DIV/0!</v>
      </c>
      <c r="J77" s="448">
        <v>0.0</v>
      </c>
      <c r="K77" s="538">
        <f t="shared" si="57"/>
        <v>0</v>
      </c>
      <c r="L77" s="501"/>
      <c r="M77" s="538" t="str">
        <f t="shared" ref="M77:M79" si="70">L77/L$29</f>
        <v>#DIV/0!</v>
      </c>
      <c r="N77" s="501">
        <f t="shared" ref="N77:N79" si="71">J77-L77</f>
        <v>0</v>
      </c>
      <c r="O77" s="542" t="str">
        <f t="shared" ref="O77:O79" si="72">N77/L77</f>
        <v>#DIV/0!</v>
      </c>
      <c r="P77" s="482">
        <v>0.0</v>
      </c>
      <c r="Q77" s="716" t="str">
        <f t="shared" si="59"/>
        <v>#DIV/0!</v>
      </c>
      <c r="R77" s="459"/>
      <c r="S77" s="716" t="str">
        <f t="shared" ref="S77:S79" si="73">R77/R$29</f>
        <v>#DIV/0!</v>
      </c>
      <c r="T77" s="459">
        <f t="shared" ref="T77:T79" si="74">P77-R77</f>
        <v>0</v>
      </c>
      <c r="U77" s="716" t="str">
        <f t="shared" ref="U77:U79" si="75">T77/R77</f>
        <v>#DIV/0!</v>
      </c>
    </row>
    <row r="78" ht="15.75" customHeight="1">
      <c r="A78" s="425"/>
      <c r="B78" s="450"/>
      <c r="C78" s="450" t="s">
        <v>299</v>
      </c>
      <c r="D78" s="448">
        <v>0.0</v>
      </c>
      <c r="E78" s="538">
        <f t="shared" si="55"/>
        <v>0</v>
      </c>
      <c r="F78" s="501"/>
      <c r="G78" s="538" t="str">
        <f t="shared" si="67"/>
        <v>#DIV/0!</v>
      </c>
      <c r="H78" s="501">
        <f t="shared" si="68"/>
        <v>0</v>
      </c>
      <c r="I78" s="542" t="str">
        <f t="shared" si="69"/>
        <v>#DIV/0!</v>
      </c>
      <c r="J78" s="448">
        <v>0.0</v>
      </c>
      <c r="K78" s="538">
        <f t="shared" si="57"/>
        <v>0</v>
      </c>
      <c r="L78" s="501"/>
      <c r="M78" s="538" t="str">
        <f t="shared" si="70"/>
        <v>#DIV/0!</v>
      </c>
      <c r="N78" s="501">
        <f t="shared" si="71"/>
        <v>0</v>
      </c>
      <c r="O78" s="542" t="str">
        <f t="shared" si="72"/>
        <v>#DIV/0!</v>
      </c>
      <c r="P78" s="482">
        <v>0.0</v>
      </c>
      <c r="Q78" s="716" t="str">
        <f t="shared" si="59"/>
        <v>#DIV/0!</v>
      </c>
      <c r="R78" s="459"/>
      <c r="S78" s="716" t="str">
        <f t="shared" si="73"/>
        <v>#DIV/0!</v>
      </c>
      <c r="T78" s="459">
        <f t="shared" si="74"/>
        <v>0</v>
      </c>
      <c r="U78" s="716" t="str">
        <f t="shared" si="75"/>
        <v>#DIV/0!</v>
      </c>
    </row>
    <row r="79" ht="15.75" customHeight="1">
      <c r="A79" s="425"/>
      <c r="B79" s="450"/>
      <c r="C79" s="450" t="s">
        <v>214</v>
      </c>
      <c r="D79" s="448">
        <v>0.0</v>
      </c>
      <c r="E79" s="538">
        <f t="shared" si="55"/>
        <v>0</v>
      </c>
      <c r="F79" s="501"/>
      <c r="G79" s="538" t="str">
        <f t="shared" si="67"/>
        <v>#DIV/0!</v>
      </c>
      <c r="H79" s="501">
        <f t="shared" si="68"/>
        <v>0</v>
      </c>
      <c r="I79" s="542" t="str">
        <f t="shared" si="69"/>
        <v>#DIV/0!</v>
      </c>
      <c r="J79" s="448">
        <v>0.0</v>
      </c>
      <c r="K79" s="538">
        <f t="shared" si="57"/>
        <v>0</v>
      </c>
      <c r="L79" s="501"/>
      <c r="M79" s="538" t="str">
        <f t="shared" si="70"/>
        <v>#DIV/0!</v>
      </c>
      <c r="N79" s="501">
        <f t="shared" si="71"/>
        <v>0</v>
      </c>
      <c r="O79" s="542" t="str">
        <f t="shared" si="72"/>
        <v>#DIV/0!</v>
      </c>
      <c r="P79" s="482">
        <v>0.0</v>
      </c>
      <c r="Q79" s="716" t="str">
        <f t="shared" si="59"/>
        <v>#DIV/0!</v>
      </c>
      <c r="R79" s="459"/>
      <c r="S79" s="716" t="str">
        <f t="shared" si="73"/>
        <v>#DIV/0!</v>
      </c>
      <c r="T79" s="459">
        <f t="shared" si="74"/>
        <v>0</v>
      </c>
      <c r="U79" s="716" t="str">
        <f t="shared" si="75"/>
        <v>#DIV/0!</v>
      </c>
    </row>
    <row r="80" ht="15.75" customHeight="1">
      <c r="A80" s="425"/>
      <c r="B80" s="450"/>
      <c r="C80" s="450" t="s">
        <v>270</v>
      </c>
      <c r="D80" s="448">
        <v>0.0</v>
      </c>
      <c r="E80" s="538">
        <f t="shared" si="55"/>
        <v>0</v>
      </c>
      <c r="F80" s="501"/>
      <c r="G80" s="538"/>
      <c r="H80" s="501"/>
      <c r="I80" s="542"/>
      <c r="J80" s="448">
        <v>0.0</v>
      </c>
      <c r="K80" s="538">
        <f t="shared" si="57"/>
        <v>0</v>
      </c>
      <c r="L80" s="501"/>
      <c r="M80" s="538"/>
      <c r="N80" s="501"/>
      <c r="O80" s="542"/>
      <c r="P80" s="482">
        <v>0.0</v>
      </c>
      <c r="Q80" s="716" t="str">
        <f t="shared" si="59"/>
        <v>#DIV/0!</v>
      </c>
      <c r="R80" s="459"/>
      <c r="S80" s="716"/>
      <c r="T80" s="459"/>
      <c r="U80" s="716"/>
    </row>
    <row r="81" ht="15.75" customHeight="1">
      <c r="A81" s="425"/>
      <c r="B81" s="450"/>
      <c r="C81" s="450" t="s">
        <v>271</v>
      </c>
      <c r="D81" s="452">
        <v>98796.50000000001</v>
      </c>
      <c r="E81" s="538">
        <f>D81/D$28</f>
        <v>0.2767625645</v>
      </c>
      <c r="F81" s="501"/>
      <c r="G81" s="538" t="str">
        <f>F81/F$29</f>
        <v>#DIV/0!</v>
      </c>
      <c r="H81" s="501">
        <f>D81-F81</f>
        <v>98796.5</v>
      </c>
      <c r="I81" s="542" t="str">
        <f>H81/F81</f>
        <v>#DIV/0!</v>
      </c>
      <c r="J81" s="452">
        <v>116275.0</v>
      </c>
      <c r="K81" s="538" t="str">
        <f>J81/J$28</f>
        <v>#DIV/0!</v>
      </c>
      <c r="L81" s="501"/>
      <c r="M81" s="538" t="str">
        <f>L81/L$29</f>
        <v>#DIV/0!</v>
      </c>
      <c r="N81" s="501">
        <f>J81-L81</f>
        <v>116275</v>
      </c>
      <c r="O81" s="542" t="str">
        <f>N81/L81</f>
        <v>#DIV/0!</v>
      </c>
      <c r="P81" s="459"/>
      <c r="Q81" s="716" t="str">
        <f>P81/P$28</f>
        <v>#DIV/0!</v>
      </c>
      <c r="R81" s="459"/>
      <c r="S81" s="716" t="str">
        <f>R81/R$29</f>
        <v>#DIV/0!</v>
      </c>
      <c r="T81" s="459">
        <f>P81-R81</f>
        <v>0</v>
      </c>
      <c r="U81" s="716" t="str">
        <f>T81/R81</f>
        <v>#DIV/0!</v>
      </c>
    </row>
    <row r="82" ht="15.75" customHeight="1">
      <c r="A82" s="425"/>
      <c r="B82" s="468"/>
      <c r="C82" s="578"/>
      <c r="D82" s="470"/>
      <c r="E82" s="526"/>
      <c r="F82" s="527"/>
      <c r="G82" s="526"/>
      <c r="H82" s="526"/>
      <c r="I82" s="528"/>
      <c r="J82" s="470"/>
      <c r="K82" s="526"/>
      <c r="L82" s="527"/>
      <c r="M82" s="526"/>
      <c r="N82" s="526"/>
      <c r="O82" s="528"/>
      <c r="P82" s="472"/>
      <c r="Q82" s="525"/>
      <c r="R82" s="472"/>
      <c r="S82" s="525"/>
      <c r="T82" s="525"/>
      <c r="U82" s="525"/>
    </row>
    <row r="83" ht="15.75" customHeight="1">
      <c r="A83" s="425"/>
      <c r="B83" s="474"/>
      <c r="C83" s="492" t="s">
        <v>35</v>
      </c>
      <c r="D83" s="444">
        <f>SUM(D84:D87)</f>
        <v>674779.24</v>
      </c>
      <c r="E83" s="529">
        <f t="shared" ref="E83:E87" si="76">D83/D$29</f>
        <v>0.06862880888</v>
      </c>
      <c r="F83" s="530">
        <f>SUM(F84:F87)</f>
        <v>0</v>
      </c>
      <c r="G83" s="529" t="str">
        <f t="shared" ref="G83:G87" si="77">F83/F$29</f>
        <v>#DIV/0!</v>
      </c>
      <c r="H83" s="530">
        <f>SUM(H84:H87)</f>
        <v>674779.24</v>
      </c>
      <c r="I83" s="531"/>
      <c r="J83" s="444">
        <f>SUM(J84:J87)</f>
        <v>721776</v>
      </c>
      <c r="K83" s="529">
        <f t="shared" ref="K83:K87" si="78">J83/J$29</f>
        <v>0.07749901566</v>
      </c>
      <c r="L83" s="530">
        <f>SUM(L84:L87)</f>
        <v>0</v>
      </c>
      <c r="M83" s="529" t="str">
        <f t="shared" ref="M83:M87" si="79">L83/L$29</f>
        <v>#DIV/0!</v>
      </c>
      <c r="N83" s="530">
        <f>SUM(N84:N87)</f>
        <v>721776</v>
      </c>
      <c r="O83" s="531"/>
      <c r="P83" s="475">
        <f>SUM(P84:P87)</f>
        <v>0</v>
      </c>
      <c r="Q83" s="581" t="str">
        <f t="shared" ref="Q83:Q87" si="80">P83/P$29</f>
        <v>#DIV/0!</v>
      </c>
      <c r="R83" s="475">
        <f>SUM(R84:R87)</f>
        <v>0</v>
      </c>
      <c r="S83" s="581" t="str">
        <f t="shared" ref="S83:S87" si="81">R83/R$29</f>
        <v>#DIV/0!</v>
      </c>
      <c r="T83" s="475">
        <f>SUM(T84:T87)</f>
        <v>0</v>
      </c>
      <c r="U83" s="581"/>
    </row>
    <row r="84" ht="15.75" customHeight="1">
      <c r="A84" s="425"/>
      <c r="B84" s="481"/>
      <c r="C84" s="481" t="s">
        <v>215</v>
      </c>
      <c r="D84" s="448">
        <v>4125.0</v>
      </c>
      <c r="E84" s="533">
        <f t="shared" si="76"/>
        <v>0.0004195354863</v>
      </c>
      <c r="F84" s="523">
        <v>0.0</v>
      </c>
      <c r="G84" s="533" t="str">
        <f t="shared" si="77"/>
        <v>#DIV/0!</v>
      </c>
      <c r="H84" s="501">
        <f t="shared" ref="H84:H87" si="82">D84-F84</f>
        <v>4125</v>
      </c>
      <c r="I84" s="536"/>
      <c r="J84" s="448">
        <v>1682.0</v>
      </c>
      <c r="K84" s="533">
        <f t="shared" si="78"/>
        <v>0.0001806008295</v>
      </c>
      <c r="L84" s="523">
        <v>0.0</v>
      </c>
      <c r="M84" s="533" t="str">
        <f t="shared" si="79"/>
        <v>#DIV/0!</v>
      </c>
      <c r="N84" s="501">
        <f t="shared" ref="N84:N87" si="83">J84-L84</f>
        <v>1682</v>
      </c>
      <c r="O84" s="536"/>
      <c r="P84" s="482"/>
      <c r="Q84" s="725" t="str">
        <f t="shared" si="80"/>
        <v>#DIV/0!</v>
      </c>
      <c r="R84" s="482">
        <v>0.0</v>
      </c>
      <c r="S84" s="725" t="str">
        <f t="shared" si="81"/>
        <v>#DIV/0!</v>
      </c>
      <c r="T84" s="459">
        <f t="shared" ref="T84:T87" si="84">P84-R84</f>
        <v>0</v>
      </c>
      <c r="U84" s="725"/>
    </row>
    <row r="85" ht="15.75" customHeight="1">
      <c r="A85" s="425"/>
      <c r="B85" s="450"/>
      <c r="C85" s="450" t="s">
        <v>216</v>
      </c>
      <c r="D85" s="452"/>
      <c r="E85" s="538">
        <f t="shared" si="76"/>
        <v>0</v>
      </c>
      <c r="F85" s="501">
        <v>0.0</v>
      </c>
      <c r="G85" s="538" t="str">
        <f t="shared" si="77"/>
        <v>#DIV/0!</v>
      </c>
      <c r="H85" s="501">
        <f t="shared" si="82"/>
        <v>0</v>
      </c>
      <c r="I85" s="542" t="str">
        <f t="shared" ref="I85:I87" si="85">H85/F85</f>
        <v>#DIV/0!</v>
      </c>
      <c r="J85" s="452"/>
      <c r="K85" s="538">
        <f t="shared" si="78"/>
        <v>0</v>
      </c>
      <c r="L85" s="501">
        <v>0.0</v>
      </c>
      <c r="M85" s="538" t="str">
        <f t="shared" si="79"/>
        <v>#DIV/0!</v>
      </c>
      <c r="N85" s="501">
        <f t="shared" si="83"/>
        <v>0</v>
      </c>
      <c r="O85" s="542" t="str">
        <f t="shared" ref="O85:O87" si="86">N85/L85</f>
        <v>#DIV/0!</v>
      </c>
      <c r="P85" s="459"/>
      <c r="Q85" s="716" t="str">
        <f t="shared" si="80"/>
        <v>#DIV/0!</v>
      </c>
      <c r="R85" s="459">
        <v>0.0</v>
      </c>
      <c r="S85" s="716" t="str">
        <f t="shared" si="81"/>
        <v>#DIV/0!</v>
      </c>
      <c r="T85" s="459">
        <f t="shared" si="84"/>
        <v>0</v>
      </c>
      <c r="U85" s="716" t="str">
        <f t="shared" ref="U85:U87" si="87">T85/R85</f>
        <v>#DIV/0!</v>
      </c>
    </row>
    <row r="86" ht="15.75" customHeight="1">
      <c r="A86" s="425"/>
      <c r="B86" s="450"/>
      <c r="C86" s="450" t="s">
        <v>272</v>
      </c>
      <c r="D86" s="452">
        <v>420514.54000000004</v>
      </c>
      <c r="E86" s="538">
        <f t="shared" si="76"/>
        <v>0.04276867201</v>
      </c>
      <c r="F86" s="501">
        <v>0.0</v>
      </c>
      <c r="G86" s="538" t="str">
        <f t="shared" si="77"/>
        <v>#DIV/0!</v>
      </c>
      <c r="H86" s="501">
        <f t="shared" si="82"/>
        <v>420514.54</v>
      </c>
      <c r="I86" s="542" t="str">
        <f t="shared" si="85"/>
        <v>#DIV/0!</v>
      </c>
      <c r="J86" s="452">
        <v>428912.0</v>
      </c>
      <c r="K86" s="538">
        <f t="shared" si="78"/>
        <v>0.04605342628</v>
      </c>
      <c r="L86" s="501">
        <v>0.0</v>
      </c>
      <c r="M86" s="538" t="str">
        <f t="shared" si="79"/>
        <v>#DIV/0!</v>
      </c>
      <c r="N86" s="501">
        <f t="shared" si="83"/>
        <v>428912</v>
      </c>
      <c r="O86" s="542" t="str">
        <f t="shared" si="86"/>
        <v>#DIV/0!</v>
      </c>
      <c r="P86" s="459"/>
      <c r="Q86" s="716" t="str">
        <f t="shared" si="80"/>
        <v>#DIV/0!</v>
      </c>
      <c r="R86" s="459">
        <v>0.0</v>
      </c>
      <c r="S86" s="716" t="str">
        <f t="shared" si="81"/>
        <v>#DIV/0!</v>
      </c>
      <c r="T86" s="459">
        <f t="shared" si="84"/>
        <v>0</v>
      </c>
      <c r="U86" s="716" t="str">
        <f t="shared" si="87"/>
        <v>#DIV/0!</v>
      </c>
    </row>
    <row r="87" ht="15.75" customHeight="1">
      <c r="A87" s="425"/>
      <c r="B87" s="450"/>
      <c r="C87" s="450" t="s">
        <v>308</v>
      </c>
      <c r="D87" s="452">
        <v>250139.69999999998</v>
      </c>
      <c r="E87" s="538">
        <f t="shared" si="76"/>
        <v>0.02544060138</v>
      </c>
      <c r="F87" s="501">
        <v>0.0</v>
      </c>
      <c r="G87" s="538" t="str">
        <f t="shared" si="77"/>
        <v>#DIV/0!</v>
      </c>
      <c r="H87" s="501">
        <f t="shared" si="82"/>
        <v>250139.7</v>
      </c>
      <c r="I87" s="542" t="str">
        <f t="shared" si="85"/>
        <v>#DIV/0!</v>
      </c>
      <c r="J87" s="452">
        <v>291182.0</v>
      </c>
      <c r="K87" s="538">
        <f t="shared" si="78"/>
        <v>0.03126498855</v>
      </c>
      <c r="L87" s="501">
        <v>0.0</v>
      </c>
      <c r="M87" s="538" t="str">
        <f t="shared" si="79"/>
        <v>#DIV/0!</v>
      </c>
      <c r="N87" s="501">
        <f t="shared" si="83"/>
        <v>291182</v>
      </c>
      <c r="O87" s="542" t="str">
        <f t="shared" si="86"/>
        <v>#DIV/0!</v>
      </c>
      <c r="P87" s="459"/>
      <c r="Q87" s="716" t="str">
        <f t="shared" si="80"/>
        <v>#DIV/0!</v>
      </c>
      <c r="R87" s="459">
        <v>0.0</v>
      </c>
      <c r="S87" s="716" t="str">
        <f t="shared" si="81"/>
        <v>#DIV/0!</v>
      </c>
      <c r="T87" s="459">
        <f t="shared" si="84"/>
        <v>0</v>
      </c>
      <c r="U87" s="716" t="str">
        <f t="shared" si="87"/>
        <v>#DIV/0!</v>
      </c>
    </row>
    <row r="88" ht="15.75" customHeight="1">
      <c r="A88" s="425"/>
      <c r="B88" s="450"/>
      <c r="C88" s="450"/>
      <c r="D88" s="452"/>
      <c r="E88" s="521"/>
      <c r="F88" s="501"/>
      <c r="G88" s="521"/>
      <c r="H88" s="501"/>
      <c r="I88" s="464"/>
      <c r="J88" s="452"/>
      <c r="K88" s="521"/>
      <c r="L88" s="501"/>
      <c r="M88" s="521"/>
      <c r="N88" s="501"/>
      <c r="O88" s="464"/>
      <c r="P88" s="459"/>
      <c r="Q88" s="454"/>
      <c r="R88" s="459"/>
      <c r="S88" s="454"/>
      <c r="T88" s="459"/>
      <c r="U88" s="454"/>
    </row>
    <row r="89" ht="15.75" customHeight="1">
      <c r="A89" s="425"/>
      <c r="B89" s="468"/>
      <c r="C89" s="468"/>
      <c r="D89" s="470"/>
      <c r="E89" s="526"/>
      <c r="F89" s="527"/>
      <c r="G89" s="526"/>
      <c r="H89" s="526"/>
      <c r="I89" s="528"/>
      <c r="J89" s="470"/>
      <c r="K89" s="526"/>
      <c r="L89" s="527"/>
      <c r="M89" s="526"/>
      <c r="N89" s="526"/>
      <c r="O89" s="528"/>
      <c r="P89" s="472"/>
      <c r="Q89" s="525"/>
      <c r="R89" s="472"/>
      <c r="S89" s="525"/>
      <c r="T89" s="525"/>
      <c r="U89" s="525"/>
    </row>
    <row r="90" ht="15.75" customHeight="1">
      <c r="A90" s="425"/>
      <c r="B90" s="474"/>
      <c r="C90" s="492" t="s">
        <v>219</v>
      </c>
      <c r="D90" s="444">
        <f>SUM(D91:D95)</f>
        <v>1093486</v>
      </c>
      <c r="E90" s="529">
        <f t="shared" ref="E90:E95" si="88">D90/D$29</f>
        <v>0.1112136196</v>
      </c>
      <c r="F90" s="530">
        <f>SUM(F91:F95)</f>
        <v>0</v>
      </c>
      <c r="G90" s="529" t="str">
        <f t="shared" ref="G90:G91" si="89">F90/F$29</f>
        <v>#DIV/0!</v>
      </c>
      <c r="H90" s="530">
        <f>SUM(H91:H95)</f>
        <v>1093486</v>
      </c>
      <c r="I90" s="556"/>
      <c r="J90" s="444">
        <f>SUM(J91:J95)</f>
        <v>1116762.04</v>
      </c>
      <c r="K90" s="529">
        <f t="shared" ref="K90:K95" si="90">J90/J$29</f>
        <v>0.1199097211</v>
      </c>
      <c r="L90" s="530">
        <f>SUM(L91:L95)</f>
        <v>0</v>
      </c>
      <c r="M90" s="529" t="str">
        <f t="shared" ref="M90:M91" si="91">L90/L$29</f>
        <v>#DIV/0!</v>
      </c>
      <c r="N90" s="530">
        <f>SUM(N91:N95)</f>
        <v>1116762.04</v>
      </c>
      <c r="O90" s="556"/>
      <c r="P90" s="475">
        <f>SUM(P91:P95)</f>
        <v>0</v>
      </c>
      <c r="Q90" s="581" t="str">
        <f t="shared" ref="Q90:Q95" si="92">P90/P$29</f>
        <v>#DIV/0!</v>
      </c>
      <c r="R90" s="475">
        <f>SUM(R91:R95)</f>
        <v>0</v>
      </c>
      <c r="S90" s="581" t="str">
        <f t="shared" ref="S90:S91" si="93">R90/R$29</f>
        <v>#DIV/0!</v>
      </c>
      <c r="T90" s="475">
        <f>SUM(T91:T95)</f>
        <v>0</v>
      </c>
      <c r="U90" s="442"/>
    </row>
    <row r="91" ht="15.75" customHeight="1">
      <c r="A91" s="425"/>
      <c r="B91" s="481"/>
      <c r="C91" s="481" t="s">
        <v>309</v>
      </c>
      <c r="D91" s="448">
        <v>837506.0</v>
      </c>
      <c r="E91" s="533">
        <f t="shared" si="88"/>
        <v>0.08517902716</v>
      </c>
      <c r="F91" s="523"/>
      <c r="G91" s="533" t="str">
        <f t="shared" si="89"/>
        <v>#DIV/0!</v>
      </c>
      <c r="H91" s="523">
        <f t="shared" ref="H91:H95" si="94">D91-F91</f>
        <v>837506</v>
      </c>
      <c r="I91" s="536" t="str">
        <f>H91/F91</f>
        <v>#DIV/0!</v>
      </c>
      <c r="J91" s="448">
        <f>897954-60449</f>
        <v>837505</v>
      </c>
      <c r="K91" s="533">
        <f t="shared" si="90"/>
        <v>0.08992514729</v>
      </c>
      <c r="L91" s="523"/>
      <c r="M91" s="533" t="str">
        <f t="shared" si="91"/>
        <v>#DIV/0!</v>
      </c>
      <c r="N91" s="523">
        <f t="shared" ref="N91:N95" si="95">J91-L91</f>
        <v>837505</v>
      </c>
      <c r="O91" s="536" t="str">
        <f>N91/L91</f>
        <v>#DIV/0!</v>
      </c>
      <c r="P91" s="482"/>
      <c r="Q91" s="725" t="str">
        <f t="shared" si="92"/>
        <v>#DIV/0!</v>
      </c>
      <c r="R91" s="482"/>
      <c r="S91" s="725" t="str">
        <f t="shared" si="93"/>
        <v>#DIV/0!</v>
      </c>
      <c r="T91" s="482">
        <f t="shared" ref="T91:T95" si="96">P91-R91</f>
        <v>0</v>
      </c>
      <c r="U91" s="725" t="str">
        <f>T91/R91</f>
        <v>#DIV/0!</v>
      </c>
    </row>
    <row r="92" ht="15.75" customHeight="1">
      <c r="A92" s="425"/>
      <c r="B92" s="450"/>
      <c r="C92" s="450" t="s">
        <v>310</v>
      </c>
      <c r="D92" s="452">
        <v>43330.0</v>
      </c>
      <c r="E92" s="538">
        <f t="shared" si="88"/>
        <v>0.004406902454</v>
      </c>
      <c r="F92" s="501"/>
      <c r="G92" s="538"/>
      <c r="H92" s="501">
        <f t="shared" si="94"/>
        <v>43330</v>
      </c>
      <c r="I92" s="542"/>
      <c r="J92" s="448">
        <v>43330.0</v>
      </c>
      <c r="K92" s="538">
        <f t="shared" si="90"/>
        <v>0.004652457755</v>
      </c>
      <c r="L92" s="501"/>
      <c r="M92" s="538"/>
      <c r="N92" s="501">
        <f t="shared" si="95"/>
        <v>43330</v>
      </c>
      <c r="O92" s="542"/>
      <c r="P92" s="482"/>
      <c r="Q92" s="716" t="str">
        <f t="shared" si="92"/>
        <v>#DIV/0!</v>
      </c>
      <c r="R92" s="459"/>
      <c r="S92" s="716"/>
      <c r="T92" s="459">
        <f t="shared" si="96"/>
        <v>0</v>
      </c>
      <c r="U92" s="716"/>
    </row>
    <row r="93" ht="15.75" customHeight="1">
      <c r="A93" s="425"/>
      <c r="B93" s="450"/>
      <c r="C93" s="450" t="s">
        <v>221</v>
      </c>
      <c r="D93" s="452">
        <v>173968.0</v>
      </c>
      <c r="E93" s="538">
        <f t="shared" si="88"/>
        <v>0.01769351503</v>
      </c>
      <c r="F93" s="501"/>
      <c r="G93" s="538" t="str">
        <f t="shared" ref="G93:G95" si="97">F93/F$29</f>
        <v>#DIV/0!</v>
      </c>
      <c r="H93" s="501">
        <f t="shared" si="94"/>
        <v>173968</v>
      </c>
      <c r="I93" s="542" t="str">
        <f t="shared" ref="I93:I95" si="98">H93/F93</f>
        <v>#DIV/0!</v>
      </c>
      <c r="J93" s="452">
        <v>173000.0</v>
      </c>
      <c r="K93" s="538">
        <f t="shared" si="90"/>
        <v>0.01857547177</v>
      </c>
      <c r="L93" s="501"/>
      <c r="M93" s="538" t="str">
        <f t="shared" ref="M93:M95" si="99">L93/L$29</f>
        <v>#DIV/0!</v>
      </c>
      <c r="N93" s="501">
        <f t="shared" si="95"/>
        <v>173000</v>
      </c>
      <c r="O93" s="542" t="str">
        <f t="shared" ref="O93:O95" si="100">N93/L93</f>
        <v>#DIV/0!</v>
      </c>
      <c r="P93" s="459"/>
      <c r="Q93" s="716" t="str">
        <f t="shared" si="92"/>
        <v>#DIV/0!</v>
      </c>
      <c r="R93" s="459"/>
      <c r="S93" s="716" t="str">
        <f t="shared" ref="S93:S95" si="101">R93/R$29</f>
        <v>#DIV/0!</v>
      </c>
      <c r="T93" s="459">
        <f t="shared" si="96"/>
        <v>0</v>
      </c>
      <c r="U93" s="716" t="str">
        <f t="shared" ref="U93:U95" si="102">T93/R93</f>
        <v>#DIV/0!</v>
      </c>
    </row>
    <row r="94" ht="15.75" customHeight="1">
      <c r="A94" s="425"/>
      <c r="B94" s="450"/>
      <c r="C94" s="450" t="s">
        <v>222</v>
      </c>
      <c r="D94" s="452">
        <v>36204.0</v>
      </c>
      <c r="E94" s="538">
        <f t="shared" si="88"/>
        <v>0.003682148545</v>
      </c>
      <c r="F94" s="501"/>
      <c r="G94" s="538" t="str">
        <f t="shared" si="97"/>
        <v>#DIV/0!</v>
      </c>
      <c r="H94" s="501">
        <f t="shared" si="94"/>
        <v>36204</v>
      </c>
      <c r="I94" s="542" t="str">
        <f t="shared" si="98"/>
        <v>#DIV/0!</v>
      </c>
      <c r="J94" s="452">
        <v>60449.04</v>
      </c>
      <c r="K94" s="538">
        <f t="shared" si="90"/>
        <v>0.006490574773</v>
      </c>
      <c r="L94" s="501"/>
      <c r="M94" s="538" t="str">
        <f t="shared" si="99"/>
        <v>#DIV/0!</v>
      </c>
      <c r="N94" s="501">
        <f t="shared" si="95"/>
        <v>60449.04</v>
      </c>
      <c r="O94" s="542" t="str">
        <f t="shared" si="100"/>
        <v>#DIV/0!</v>
      </c>
      <c r="P94" s="459"/>
      <c r="Q94" s="716" t="str">
        <f t="shared" si="92"/>
        <v>#DIV/0!</v>
      </c>
      <c r="R94" s="459"/>
      <c r="S94" s="716" t="str">
        <f t="shared" si="101"/>
        <v>#DIV/0!</v>
      </c>
      <c r="T94" s="459">
        <f t="shared" si="96"/>
        <v>0</v>
      </c>
      <c r="U94" s="716" t="str">
        <f t="shared" si="102"/>
        <v>#DIV/0!</v>
      </c>
    </row>
    <row r="95" ht="15.75" customHeight="1">
      <c r="A95" s="425"/>
      <c r="B95" s="450"/>
      <c r="C95" s="450" t="s">
        <v>223</v>
      </c>
      <c r="D95" s="452">
        <v>2478.0</v>
      </c>
      <c r="E95" s="538">
        <f t="shared" si="88"/>
        <v>0.0002520264085</v>
      </c>
      <c r="F95" s="501"/>
      <c r="G95" s="538" t="str">
        <f t="shared" si="97"/>
        <v>#DIV/0!</v>
      </c>
      <c r="H95" s="501">
        <f t="shared" si="94"/>
        <v>2478</v>
      </c>
      <c r="I95" s="542" t="str">
        <f t="shared" si="98"/>
        <v>#DIV/0!</v>
      </c>
      <c r="J95" s="452">
        <v>2478.0</v>
      </c>
      <c r="K95" s="538">
        <f t="shared" si="90"/>
        <v>0.0002660694742</v>
      </c>
      <c r="L95" s="501"/>
      <c r="M95" s="538" t="str">
        <f t="shared" si="99"/>
        <v>#DIV/0!</v>
      </c>
      <c r="N95" s="501">
        <f t="shared" si="95"/>
        <v>2478</v>
      </c>
      <c r="O95" s="542" t="str">
        <f t="shared" si="100"/>
        <v>#DIV/0!</v>
      </c>
      <c r="P95" s="459"/>
      <c r="Q95" s="716" t="str">
        <f t="shared" si="92"/>
        <v>#DIV/0!</v>
      </c>
      <c r="R95" s="459"/>
      <c r="S95" s="716" t="str">
        <f t="shared" si="101"/>
        <v>#DIV/0!</v>
      </c>
      <c r="T95" s="459">
        <f t="shared" si="96"/>
        <v>0</v>
      </c>
      <c r="U95" s="716" t="str">
        <f t="shared" si="102"/>
        <v>#DIV/0!</v>
      </c>
    </row>
    <row r="96" ht="15.75" customHeight="1">
      <c r="A96" s="425"/>
      <c r="B96" s="468"/>
      <c r="C96" s="578"/>
      <c r="D96" s="470"/>
      <c r="E96" s="526"/>
      <c r="F96" s="527"/>
      <c r="G96" s="526"/>
      <c r="H96" s="526"/>
      <c r="I96" s="528"/>
      <c r="J96" s="470"/>
      <c r="K96" s="526"/>
      <c r="L96" s="527"/>
      <c r="M96" s="526"/>
      <c r="N96" s="526"/>
      <c r="O96" s="528"/>
      <c r="P96" s="472"/>
      <c r="Q96" s="525"/>
      <c r="R96" s="472"/>
      <c r="S96" s="525"/>
      <c r="T96" s="525"/>
      <c r="U96" s="525"/>
    </row>
    <row r="97" ht="15.75" customHeight="1">
      <c r="A97" s="425"/>
      <c r="B97" s="477"/>
      <c r="C97" s="492" t="s">
        <v>37</v>
      </c>
      <c r="D97" s="444">
        <f>SUM(D98:D105)</f>
        <v>1746002.687</v>
      </c>
      <c r="E97" s="529">
        <f t="shared" ref="E97:E108" si="103">D97/D$29</f>
        <v>0.1775782027</v>
      </c>
      <c r="F97" s="530">
        <f>SUM(F98:F104)</f>
        <v>0</v>
      </c>
      <c r="G97" s="529" t="str">
        <f t="shared" ref="G97:G105" si="104">F97/F$29</f>
        <v>#DIV/0!</v>
      </c>
      <c r="H97" s="530">
        <f>SUM(H98:H104)</f>
        <v>1746002.687</v>
      </c>
      <c r="I97" s="556"/>
      <c r="J97" s="444">
        <f>SUM(J98:J105)</f>
        <v>1791147.047</v>
      </c>
      <c r="K97" s="529">
        <f t="shared" ref="K97:K108" si="105">J97/J$29</f>
        <v>0.1923202393</v>
      </c>
      <c r="L97" s="530">
        <f>SUM(L98:L104)</f>
        <v>0</v>
      </c>
      <c r="M97" s="529" t="str">
        <f t="shared" ref="M97:M105" si="106">L97/L$29</f>
        <v>#DIV/0!</v>
      </c>
      <c r="N97" s="530">
        <f>SUM(N98:N104)</f>
        <v>1791147.047</v>
      </c>
      <c r="O97" s="556"/>
      <c r="P97" s="475">
        <f>SUM(P98:P105)</f>
        <v>0</v>
      </c>
      <c r="Q97" s="581" t="str">
        <f t="shared" ref="Q97:Q108" si="107">P97/P$29</f>
        <v>#DIV/0!</v>
      </c>
      <c r="R97" s="475">
        <f>SUM(R98:R104)</f>
        <v>0</v>
      </c>
      <c r="S97" s="581" t="str">
        <f t="shared" ref="S97:S105" si="108">R97/R$29</f>
        <v>#DIV/0!</v>
      </c>
      <c r="T97" s="475">
        <f>SUM(T98:T104)</f>
        <v>0</v>
      </c>
      <c r="U97" s="442"/>
    </row>
    <row r="98" ht="15.75" customHeight="1">
      <c r="A98" s="425"/>
      <c r="B98" s="481"/>
      <c r="C98" s="481" t="s">
        <v>224</v>
      </c>
      <c r="D98" s="448"/>
      <c r="E98" s="533">
        <f t="shared" si="103"/>
        <v>0</v>
      </c>
      <c r="F98" s="523"/>
      <c r="G98" s="533" t="str">
        <f t="shared" si="104"/>
        <v>#DIV/0!</v>
      </c>
      <c r="H98" s="523">
        <f t="shared" ref="H98:H105" si="109">D98-F98</f>
        <v>0</v>
      </c>
      <c r="I98" s="536" t="str">
        <f t="shared" ref="I98:I105" si="110">H98/F98</f>
        <v>#DIV/0!</v>
      </c>
      <c r="J98" s="448"/>
      <c r="K98" s="533">
        <f t="shared" si="105"/>
        <v>0</v>
      </c>
      <c r="L98" s="523"/>
      <c r="M98" s="533" t="str">
        <f t="shared" si="106"/>
        <v>#DIV/0!</v>
      </c>
      <c r="N98" s="523">
        <f t="shared" ref="N98:N105" si="111">J98-L98</f>
        <v>0</v>
      </c>
      <c r="O98" s="536" t="str">
        <f t="shared" ref="O98:O105" si="112">N98/L98</f>
        <v>#DIV/0!</v>
      </c>
      <c r="P98" s="482"/>
      <c r="Q98" s="725" t="str">
        <f t="shared" si="107"/>
        <v>#DIV/0!</v>
      </c>
      <c r="R98" s="482"/>
      <c r="S98" s="725" t="str">
        <f t="shared" si="108"/>
        <v>#DIV/0!</v>
      </c>
      <c r="T98" s="482">
        <f t="shared" ref="T98:T105" si="113">P98-R98</f>
        <v>0</v>
      </c>
      <c r="U98" s="725" t="str">
        <f t="shared" ref="U98:U105" si="114">T98/R98</f>
        <v>#DIV/0!</v>
      </c>
    </row>
    <row r="99" ht="15.75" customHeight="1">
      <c r="A99" s="425"/>
      <c r="B99" s="450"/>
      <c r="C99" s="450" t="s">
        <v>225</v>
      </c>
      <c r="D99" s="452">
        <v>1700708.6666666667</v>
      </c>
      <c r="E99" s="538">
        <f t="shared" si="103"/>
        <v>0.1729715485</v>
      </c>
      <c r="F99" s="501"/>
      <c r="G99" s="538" t="str">
        <f t="shared" si="104"/>
        <v>#DIV/0!</v>
      </c>
      <c r="H99" s="501">
        <f t="shared" si="109"/>
        <v>1700708.667</v>
      </c>
      <c r="I99" s="542" t="str">
        <f t="shared" si="110"/>
        <v>#DIV/0!</v>
      </c>
      <c r="J99" s="452">
        <v>1742868.6666666667</v>
      </c>
      <c r="K99" s="538">
        <f t="shared" si="105"/>
        <v>0.1871364607</v>
      </c>
      <c r="L99" s="501"/>
      <c r="M99" s="538" t="str">
        <f t="shared" si="106"/>
        <v>#DIV/0!</v>
      </c>
      <c r="N99" s="501">
        <f t="shared" si="111"/>
        <v>1742868.667</v>
      </c>
      <c r="O99" s="542" t="str">
        <f t="shared" si="112"/>
        <v>#DIV/0!</v>
      </c>
      <c r="P99" s="459"/>
      <c r="Q99" s="716" t="str">
        <f t="shared" si="107"/>
        <v>#DIV/0!</v>
      </c>
      <c r="R99" s="459"/>
      <c r="S99" s="716" t="str">
        <f t="shared" si="108"/>
        <v>#DIV/0!</v>
      </c>
      <c r="T99" s="459">
        <f t="shared" si="113"/>
        <v>0</v>
      </c>
      <c r="U99" s="716" t="str">
        <f t="shared" si="114"/>
        <v>#DIV/0!</v>
      </c>
    </row>
    <row r="100" ht="15.75" customHeight="1">
      <c r="A100" s="425"/>
      <c r="B100" s="450"/>
      <c r="C100" s="450" t="s">
        <v>226</v>
      </c>
      <c r="D100" s="452">
        <v>1350.0</v>
      </c>
      <c r="E100" s="538">
        <f t="shared" si="103"/>
        <v>0.0001373025228</v>
      </c>
      <c r="F100" s="501"/>
      <c r="G100" s="538" t="str">
        <f t="shared" si="104"/>
        <v>#DIV/0!</v>
      </c>
      <c r="H100" s="501">
        <f t="shared" si="109"/>
        <v>1350</v>
      </c>
      <c r="I100" s="542" t="str">
        <f t="shared" si="110"/>
        <v>#DIV/0!</v>
      </c>
      <c r="J100" s="452">
        <v>543.0</v>
      </c>
      <c r="K100" s="538">
        <f t="shared" si="105"/>
        <v>0.00005830335936</v>
      </c>
      <c r="L100" s="501"/>
      <c r="M100" s="538" t="str">
        <f t="shared" si="106"/>
        <v>#DIV/0!</v>
      </c>
      <c r="N100" s="501">
        <f t="shared" si="111"/>
        <v>543</v>
      </c>
      <c r="O100" s="542" t="str">
        <f t="shared" si="112"/>
        <v>#DIV/0!</v>
      </c>
      <c r="P100" s="459"/>
      <c r="Q100" s="716" t="str">
        <f t="shared" si="107"/>
        <v>#DIV/0!</v>
      </c>
      <c r="R100" s="459"/>
      <c r="S100" s="716" t="str">
        <f t="shared" si="108"/>
        <v>#DIV/0!</v>
      </c>
      <c r="T100" s="459">
        <f t="shared" si="113"/>
        <v>0</v>
      </c>
      <c r="U100" s="716" t="str">
        <f t="shared" si="114"/>
        <v>#DIV/0!</v>
      </c>
    </row>
    <row r="101" ht="15.75" customHeight="1">
      <c r="A101" s="425"/>
      <c r="B101" s="450"/>
      <c r="C101" s="450" t="s">
        <v>228</v>
      </c>
      <c r="D101" s="452">
        <v>36387.02</v>
      </c>
      <c r="E101" s="538">
        <f t="shared" si="103"/>
        <v>0.003700762699</v>
      </c>
      <c r="F101" s="501"/>
      <c r="G101" s="538" t="str">
        <f t="shared" si="104"/>
        <v>#DIV/0!</v>
      </c>
      <c r="H101" s="501">
        <f t="shared" si="109"/>
        <v>36387.02</v>
      </c>
      <c r="I101" s="542" t="str">
        <f t="shared" si="110"/>
        <v>#DIV/0!</v>
      </c>
      <c r="J101" s="452">
        <v>45118.38</v>
      </c>
      <c r="K101" s="538">
        <f t="shared" si="105"/>
        <v>0.004844480889</v>
      </c>
      <c r="L101" s="501"/>
      <c r="M101" s="538" t="str">
        <f t="shared" si="106"/>
        <v>#DIV/0!</v>
      </c>
      <c r="N101" s="501">
        <f t="shared" si="111"/>
        <v>45118.38</v>
      </c>
      <c r="O101" s="542" t="str">
        <f t="shared" si="112"/>
        <v>#DIV/0!</v>
      </c>
      <c r="P101" s="459"/>
      <c r="Q101" s="716" t="str">
        <f t="shared" si="107"/>
        <v>#DIV/0!</v>
      </c>
      <c r="R101" s="459"/>
      <c r="S101" s="716" t="str">
        <f t="shared" si="108"/>
        <v>#DIV/0!</v>
      </c>
      <c r="T101" s="459">
        <f t="shared" si="113"/>
        <v>0</v>
      </c>
      <c r="U101" s="716" t="str">
        <f t="shared" si="114"/>
        <v>#DIV/0!</v>
      </c>
    </row>
    <row r="102" ht="15.75" customHeight="1">
      <c r="A102" s="425"/>
      <c r="B102" s="450"/>
      <c r="C102" s="450" t="s">
        <v>229</v>
      </c>
      <c r="D102" s="452"/>
      <c r="E102" s="538">
        <f t="shared" si="103"/>
        <v>0</v>
      </c>
      <c r="F102" s="501"/>
      <c r="G102" s="538" t="str">
        <f t="shared" si="104"/>
        <v>#DIV/0!</v>
      </c>
      <c r="H102" s="501">
        <f t="shared" si="109"/>
        <v>0</v>
      </c>
      <c r="I102" s="542" t="str">
        <f t="shared" si="110"/>
        <v>#DIV/0!</v>
      </c>
      <c r="J102" s="452"/>
      <c r="K102" s="538">
        <f t="shared" si="105"/>
        <v>0</v>
      </c>
      <c r="L102" s="501"/>
      <c r="M102" s="538" t="str">
        <f t="shared" si="106"/>
        <v>#DIV/0!</v>
      </c>
      <c r="N102" s="501">
        <f t="shared" si="111"/>
        <v>0</v>
      </c>
      <c r="O102" s="542" t="str">
        <f t="shared" si="112"/>
        <v>#DIV/0!</v>
      </c>
      <c r="P102" s="459"/>
      <c r="Q102" s="716" t="str">
        <f t="shared" si="107"/>
        <v>#DIV/0!</v>
      </c>
      <c r="R102" s="459"/>
      <c r="S102" s="716" t="str">
        <f t="shared" si="108"/>
        <v>#DIV/0!</v>
      </c>
      <c r="T102" s="459">
        <f t="shared" si="113"/>
        <v>0</v>
      </c>
      <c r="U102" s="716" t="str">
        <f t="shared" si="114"/>
        <v>#DIV/0!</v>
      </c>
    </row>
    <row r="103" ht="15.75" customHeight="1">
      <c r="A103" s="425"/>
      <c r="B103" s="450"/>
      <c r="C103" s="450" t="s">
        <v>230</v>
      </c>
      <c r="D103" s="452">
        <v>7557.0</v>
      </c>
      <c r="E103" s="538">
        <f t="shared" si="103"/>
        <v>0.000768589011</v>
      </c>
      <c r="F103" s="501"/>
      <c r="G103" s="538" t="str">
        <f t="shared" si="104"/>
        <v>#DIV/0!</v>
      </c>
      <c r="H103" s="501">
        <f t="shared" si="109"/>
        <v>7557</v>
      </c>
      <c r="I103" s="542" t="str">
        <f t="shared" si="110"/>
        <v>#DIV/0!</v>
      </c>
      <c r="J103" s="452">
        <v>2617.0</v>
      </c>
      <c r="K103" s="538">
        <f t="shared" si="105"/>
        <v>0.0002809942752</v>
      </c>
      <c r="L103" s="501"/>
      <c r="M103" s="538" t="str">
        <f t="shared" si="106"/>
        <v>#DIV/0!</v>
      </c>
      <c r="N103" s="501">
        <f t="shared" si="111"/>
        <v>2617</v>
      </c>
      <c r="O103" s="542" t="str">
        <f t="shared" si="112"/>
        <v>#DIV/0!</v>
      </c>
      <c r="P103" s="459"/>
      <c r="Q103" s="716" t="str">
        <f t="shared" si="107"/>
        <v>#DIV/0!</v>
      </c>
      <c r="R103" s="459"/>
      <c r="S103" s="716" t="str">
        <f t="shared" si="108"/>
        <v>#DIV/0!</v>
      </c>
      <c r="T103" s="459">
        <f t="shared" si="113"/>
        <v>0</v>
      </c>
      <c r="U103" s="716" t="str">
        <f t="shared" si="114"/>
        <v>#DIV/0!</v>
      </c>
    </row>
    <row r="104" ht="15.75" customHeight="1">
      <c r="A104" s="425"/>
      <c r="B104" s="450"/>
      <c r="C104" s="450" t="s">
        <v>231</v>
      </c>
      <c r="D104" s="452"/>
      <c r="E104" s="538">
        <f t="shared" si="103"/>
        <v>0</v>
      </c>
      <c r="F104" s="501"/>
      <c r="G104" s="538" t="str">
        <f t="shared" si="104"/>
        <v>#DIV/0!</v>
      </c>
      <c r="H104" s="501">
        <f t="shared" si="109"/>
        <v>0</v>
      </c>
      <c r="I104" s="542" t="str">
        <f t="shared" si="110"/>
        <v>#DIV/0!</v>
      </c>
      <c r="J104" s="452"/>
      <c r="K104" s="538">
        <f t="shared" si="105"/>
        <v>0</v>
      </c>
      <c r="L104" s="501"/>
      <c r="M104" s="538" t="str">
        <f t="shared" si="106"/>
        <v>#DIV/0!</v>
      </c>
      <c r="N104" s="501">
        <f t="shared" si="111"/>
        <v>0</v>
      </c>
      <c r="O104" s="542" t="str">
        <f t="shared" si="112"/>
        <v>#DIV/0!</v>
      </c>
      <c r="P104" s="459"/>
      <c r="Q104" s="716" t="str">
        <f t="shared" si="107"/>
        <v>#DIV/0!</v>
      </c>
      <c r="R104" s="459"/>
      <c r="S104" s="716" t="str">
        <f t="shared" si="108"/>
        <v>#DIV/0!</v>
      </c>
      <c r="T104" s="459">
        <f t="shared" si="113"/>
        <v>0</v>
      </c>
      <c r="U104" s="716" t="str">
        <f t="shared" si="114"/>
        <v>#DIV/0!</v>
      </c>
    </row>
    <row r="105" ht="15.75" customHeight="1">
      <c r="A105" s="425"/>
      <c r="B105" s="450"/>
      <c r="C105" s="558" t="s">
        <v>232</v>
      </c>
      <c r="D105" s="452"/>
      <c r="E105" s="538">
        <f t="shared" si="103"/>
        <v>0</v>
      </c>
      <c r="F105" s="501"/>
      <c r="G105" s="538" t="str">
        <f t="shared" si="104"/>
        <v>#DIV/0!</v>
      </c>
      <c r="H105" s="501">
        <f t="shared" si="109"/>
        <v>0</v>
      </c>
      <c r="I105" s="542" t="str">
        <f t="shared" si="110"/>
        <v>#DIV/0!</v>
      </c>
      <c r="J105" s="452"/>
      <c r="K105" s="538">
        <f t="shared" si="105"/>
        <v>0</v>
      </c>
      <c r="L105" s="501"/>
      <c r="M105" s="538" t="str">
        <f t="shared" si="106"/>
        <v>#DIV/0!</v>
      </c>
      <c r="N105" s="501">
        <f t="shared" si="111"/>
        <v>0</v>
      </c>
      <c r="O105" s="542" t="str">
        <f t="shared" si="112"/>
        <v>#DIV/0!</v>
      </c>
      <c r="P105" s="459"/>
      <c r="Q105" s="716" t="str">
        <f t="shared" si="107"/>
        <v>#DIV/0!</v>
      </c>
      <c r="R105" s="459"/>
      <c r="S105" s="716" t="str">
        <f t="shared" si="108"/>
        <v>#DIV/0!</v>
      </c>
      <c r="T105" s="459">
        <f t="shared" si="113"/>
        <v>0</v>
      </c>
      <c r="U105" s="716" t="str">
        <f t="shared" si="114"/>
        <v>#DIV/0!</v>
      </c>
    </row>
    <row r="106" ht="15.75" customHeight="1">
      <c r="A106" s="425"/>
      <c r="B106" s="468"/>
      <c r="C106" s="578"/>
      <c r="D106" s="470"/>
      <c r="E106" s="545">
        <f t="shared" si="103"/>
        <v>0</v>
      </c>
      <c r="F106" s="527"/>
      <c r="G106" s="526"/>
      <c r="H106" s="526"/>
      <c r="I106" s="528"/>
      <c r="J106" s="470"/>
      <c r="K106" s="538">
        <f t="shared" si="105"/>
        <v>0</v>
      </c>
      <c r="L106" s="501"/>
      <c r="M106" s="521"/>
      <c r="N106" s="521"/>
      <c r="O106" s="464"/>
      <c r="P106" s="472"/>
      <c r="Q106" s="716" t="str">
        <f t="shared" si="107"/>
        <v>#DIV/0!</v>
      </c>
      <c r="R106" s="459"/>
      <c r="S106" s="454"/>
      <c r="T106" s="454"/>
      <c r="U106" s="454"/>
    </row>
    <row r="107" ht="15.75" customHeight="1">
      <c r="A107" s="425"/>
      <c r="B107" s="477"/>
      <c r="C107" s="492" t="s">
        <v>38</v>
      </c>
      <c r="D107" s="475">
        <f>SUM(D108)</f>
        <v>25508</v>
      </c>
      <c r="E107" s="581">
        <f t="shared" si="103"/>
        <v>0.002594305742</v>
      </c>
      <c r="F107" s="475">
        <f>SUM(F108)</f>
        <v>0</v>
      </c>
      <c r="G107" s="581" t="str">
        <f>F107/F$29</f>
        <v>#DIV/0!</v>
      </c>
      <c r="H107" s="475">
        <f>SUM(H108)</f>
        <v>25508</v>
      </c>
      <c r="I107" s="442"/>
      <c r="J107" s="475">
        <f>SUM(J108)</f>
        <v>29639.82</v>
      </c>
      <c r="K107" s="706">
        <f t="shared" si="105"/>
        <v>0.003182506587</v>
      </c>
      <c r="L107" s="455">
        <f>SUM(L108)</f>
        <v>0</v>
      </c>
      <c r="M107" s="743" t="str">
        <f>L107/L$29</f>
        <v>#DIV/0!</v>
      </c>
      <c r="N107" s="744">
        <f>SUM(N108)</f>
        <v>29639.82</v>
      </c>
      <c r="O107" s="745"/>
      <c r="P107" s="475">
        <f>SUM(P108)</f>
        <v>0</v>
      </c>
      <c r="Q107" s="738" t="str">
        <f t="shared" si="107"/>
        <v>#DIV/0!</v>
      </c>
      <c r="R107" s="457">
        <f>SUM(R108)</f>
        <v>0</v>
      </c>
      <c r="S107" s="738" t="str">
        <f>R107/R$29</f>
        <v>#DIV/0!</v>
      </c>
      <c r="T107" s="457">
        <f>SUM(T108)</f>
        <v>0</v>
      </c>
      <c r="U107" s="736"/>
    </row>
    <row r="108" ht="15.75" customHeight="1">
      <c r="A108" s="425"/>
      <c r="B108" s="481"/>
      <c r="C108" s="481" t="s">
        <v>276</v>
      </c>
      <c r="D108" s="448">
        <v>25508.0</v>
      </c>
      <c r="E108" s="533">
        <f t="shared" si="103"/>
        <v>0.002594305742</v>
      </c>
      <c r="F108" s="523"/>
      <c r="G108" s="533">
        <v>0.012</v>
      </c>
      <c r="H108" s="523">
        <f>D108-F108</f>
        <v>25508</v>
      </c>
      <c r="I108" s="524"/>
      <c r="J108" s="448">
        <v>29639.82</v>
      </c>
      <c r="K108" s="538">
        <f t="shared" si="105"/>
        <v>0.003182506587</v>
      </c>
      <c r="L108" s="501"/>
      <c r="M108" s="538">
        <v>0.012</v>
      </c>
      <c r="N108" s="501">
        <f>J108-L108</f>
        <v>29639.82</v>
      </c>
      <c r="O108" s="464"/>
      <c r="P108" s="482"/>
      <c r="Q108" s="716" t="str">
        <f t="shared" si="107"/>
        <v>#DIV/0!</v>
      </c>
      <c r="R108" s="459"/>
      <c r="S108" s="716">
        <v>0.012</v>
      </c>
      <c r="T108" s="459">
        <f>P108-R108</f>
        <v>0</v>
      </c>
      <c r="U108" s="454"/>
    </row>
    <row r="109" ht="15.75" customHeight="1">
      <c r="A109" s="425"/>
      <c r="B109" s="468"/>
      <c r="C109" s="468"/>
      <c r="D109" s="470"/>
      <c r="E109" s="526"/>
      <c r="F109" s="527"/>
      <c r="G109" s="526"/>
      <c r="H109" s="526"/>
      <c r="I109" s="528"/>
      <c r="J109" s="470"/>
      <c r="K109" s="521"/>
      <c r="L109" s="501"/>
      <c r="M109" s="521"/>
      <c r="N109" s="521"/>
      <c r="O109" s="464"/>
      <c r="P109" s="472"/>
      <c r="Q109" s="454"/>
      <c r="R109" s="459"/>
      <c r="S109" s="454"/>
      <c r="T109" s="454"/>
      <c r="U109" s="454"/>
    </row>
    <row r="110" ht="15.75" customHeight="1">
      <c r="A110" s="425"/>
      <c r="B110" s="477"/>
      <c r="C110" s="492" t="s">
        <v>238</v>
      </c>
      <c r="D110" s="475">
        <f>SUM(D111:D112)</f>
        <v>49820.33333</v>
      </c>
      <c r="E110" s="581">
        <f t="shared" ref="E110:E111" si="115">D110/D$29</f>
        <v>0.005067005521</v>
      </c>
      <c r="F110" s="475">
        <f>SUM(F111:F112)</f>
        <v>49820.33333</v>
      </c>
      <c r="G110" s="581" t="str">
        <f t="shared" ref="G110:G111" si="116">F110/F$29</f>
        <v>#DIV/0!</v>
      </c>
      <c r="H110" s="627">
        <f>SUM(H111:H112)</f>
        <v>49820.33333</v>
      </c>
      <c r="I110" s="442"/>
      <c r="J110" s="475">
        <f>SUM(J111:J112)</f>
        <v>49820.33333</v>
      </c>
      <c r="K110" s="706">
        <f t="shared" ref="K110:K112" si="117">J110/J$29</f>
        <v>0.005349342169</v>
      </c>
      <c r="L110" s="744">
        <f>SUM(L111:L112)</f>
        <v>0</v>
      </c>
      <c r="M110" s="743" t="str">
        <f t="shared" ref="M110:M112" si="118">L110/L$29</f>
        <v>#DIV/0!</v>
      </c>
      <c r="N110" s="707">
        <f>SUM(N111:N112)</f>
        <v>49820.33333</v>
      </c>
      <c r="O110" s="745"/>
      <c r="P110" s="475">
        <f>SUM(P111:P112)</f>
        <v>0</v>
      </c>
      <c r="Q110" s="738" t="str">
        <f t="shared" ref="Q110:Q112" si="119">P110/P$29</f>
        <v>#DIV/0!</v>
      </c>
      <c r="R110" s="457">
        <f>SUM(R111:R112)</f>
        <v>0</v>
      </c>
      <c r="S110" s="738" t="str">
        <f t="shared" ref="S110:S112" si="120">R110/R$29</f>
        <v>#DIV/0!</v>
      </c>
      <c r="T110" s="746">
        <f>SUM(T111:T112)</f>
        <v>0</v>
      </c>
      <c r="U110" s="736"/>
    </row>
    <row r="111" ht="15.75" customHeight="1">
      <c r="A111" s="425"/>
      <c r="B111" s="481"/>
      <c r="C111" s="481" t="s">
        <v>239</v>
      </c>
      <c r="D111" s="448">
        <v>0.0</v>
      </c>
      <c r="E111" s="533">
        <f t="shared" si="115"/>
        <v>0</v>
      </c>
      <c r="F111" s="523"/>
      <c r="G111" s="533" t="str">
        <f t="shared" si="116"/>
        <v>#DIV/0!</v>
      </c>
      <c r="H111" s="610">
        <f>D111-F111</f>
        <v>0</v>
      </c>
      <c r="I111" s="536" t="str">
        <f>H111/F111</f>
        <v>#DIV/0!</v>
      </c>
      <c r="J111" s="448">
        <v>0.0</v>
      </c>
      <c r="K111" s="538">
        <f t="shared" si="117"/>
        <v>0</v>
      </c>
      <c r="L111" s="501"/>
      <c r="M111" s="538" t="str">
        <f t="shared" si="118"/>
        <v>#DIV/0!</v>
      </c>
      <c r="N111" s="612">
        <f t="shared" ref="N111:N112" si="121">J111-L111</f>
        <v>0</v>
      </c>
      <c r="O111" s="542" t="str">
        <f t="shared" ref="O111:O113" si="122">N111/L111</f>
        <v>#DIV/0!</v>
      </c>
      <c r="P111" s="482"/>
      <c r="Q111" s="716" t="str">
        <f t="shared" si="119"/>
        <v>#DIV/0!</v>
      </c>
      <c r="R111" s="459"/>
      <c r="S111" s="716" t="str">
        <f t="shared" si="120"/>
        <v>#DIV/0!</v>
      </c>
      <c r="T111" s="685">
        <f t="shared" ref="T111:T112" si="123">P111-R111</f>
        <v>0</v>
      </c>
      <c r="U111" s="716" t="str">
        <f t="shared" ref="U111:U113" si="124">T111/R111</f>
        <v>#DIV/0!</v>
      </c>
    </row>
    <row r="112" ht="15.75" customHeight="1">
      <c r="A112" s="425"/>
      <c r="B112" s="450"/>
      <c r="C112" s="450" t="s">
        <v>301</v>
      </c>
      <c r="D112" s="452">
        <v>49820.333333333336</v>
      </c>
      <c r="E112" s="452">
        <v>49820.333333333336</v>
      </c>
      <c r="F112" s="452">
        <v>49820.333333333336</v>
      </c>
      <c r="G112" s="452">
        <v>49820.333333333336</v>
      </c>
      <c r="H112" s="452">
        <v>49820.333333333336</v>
      </c>
      <c r="I112" s="452">
        <v>49820.333333333336</v>
      </c>
      <c r="J112" s="452">
        <v>49820.333333333336</v>
      </c>
      <c r="K112" s="538">
        <f t="shared" si="117"/>
        <v>0.005349342169</v>
      </c>
      <c r="L112" s="501"/>
      <c r="M112" s="538" t="str">
        <f t="shared" si="118"/>
        <v>#DIV/0!</v>
      </c>
      <c r="N112" s="612">
        <f t="shared" si="121"/>
        <v>49820.33333</v>
      </c>
      <c r="O112" s="542" t="str">
        <f t="shared" si="122"/>
        <v>#DIV/0!</v>
      </c>
      <c r="P112" s="459"/>
      <c r="Q112" s="716" t="str">
        <f t="shared" si="119"/>
        <v>#DIV/0!</v>
      </c>
      <c r="R112" s="459"/>
      <c r="S112" s="716" t="str">
        <f t="shared" si="120"/>
        <v>#DIV/0!</v>
      </c>
      <c r="T112" s="685">
        <f t="shared" si="123"/>
        <v>0</v>
      </c>
      <c r="U112" s="716" t="str">
        <f t="shared" si="124"/>
        <v>#DIV/0!</v>
      </c>
    </row>
    <row r="113" ht="15.75" customHeight="1">
      <c r="A113" s="425"/>
      <c r="B113" s="468"/>
      <c r="C113" s="468"/>
      <c r="D113" s="470"/>
      <c r="E113" s="526"/>
      <c r="F113" s="527"/>
      <c r="G113" s="526"/>
      <c r="H113" s="664"/>
      <c r="I113" s="546" t="str">
        <f>H113/F113</f>
        <v>#DIV/0!</v>
      </c>
      <c r="J113" s="470"/>
      <c r="K113" s="521"/>
      <c r="L113" s="501"/>
      <c r="M113" s="521"/>
      <c r="N113" s="612"/>
      <c r="O113" s="542" t="str">
        <f t="shared" si="122"/>
        <v>#DIV/0!</v>
      </c>
      <c r="P113" s="472"/>
      <c r="Q113" s="454"/>
      <c r="R113" s="459"/>
      <c r="S113" s="454"/>
      <c r="T113" s="685"/>
      <c r="U113" s="716" t="str">
        <f t="shared" si="124"/>
        <v>#DIV/0!</v>
      </c>
    </row>
    <row r="114" ht="15.75" customHeight="1">
      <c r="A114" s="425"/>
      <c r="B114" s="477"/>
      <c r="C114" s="492" t="s">
        <v>40</v>
      </c>
      <c r="D114" s="475">
        <f>SUM(D115:D127)</f>
        <v>327269.25</v>
      </c>
      <c r="E114" s="581">
        <f t="shared" ref="E114:E116" si="125">D114/D$29</f>
        <v>0.03328510642</v>
      </c>
      <c r="F114" s="475">
        <f>SUM(F115:F126)</f>
        <v>15522.25</v>
      </c>
      <c r="G114" s="581" t="str">
        <f t="shared" ref="G114:G116" si="126">F114/F$29</f>
        <v>#DIV/0!</v>
      </c>
      <c r="H114" s="475">
        <f>SUM(H115:H127)</f>
        <v>327269.25</v>
      </c>
      <c r="I114" s="442"/>
      <c r="J114" s="475">
        <f>SUM(J115:J127)</f>
        <v>141618.25</v>
      </c>
      <c r="K114" s="706">
        <f t="shared" ref="K114:K127" si="127">J114/J$29</f>
        <v>0.01520592951</v>
      </c>
      <c r="L114" s="744">
        <f>SUM(L115:L126)</f>
        <v>0</v>
      </c>
      <c r="M114" s="743" t="str">
        <f t="shared" ref="M114:M130" si="128">L114/L$29</f>
        <v>#DIV/0!</v>
      </c>
      <c r="N114" s="455">
        <f>SUM(N115:N127)</f>
        <v>141618.25</v>
      </c>
      <c r="O114" s="745"/>
      <c r="P114" s="475">
        <f>SUM(P115:P127)</f>
        <v>0</v>
      </c>
      <c r="Q114" s="738" t="str">
        <f t="shared" ref="Q114:Q127" si="129">P114/P$29</f>
        <v>#DIV/0!</v>
      </c>
      <c r="R114" s="457">
        <f>SUM(R115:R126)</f>
        <v>0</v>
      </c>
      <c r="S114" s="738" t="str">
        <f t="shared" ref="S114:S130" si="130">R114/R$29</f>
        <v>#DIV/0!</v>
      </c>
      <c r="T114" s="457">
        <f>SUM(T115:T127)</f>
        <v>0</v>
      </c>
      <c r="U114" s="736"/>
    </row>
    <row r="115" ht="15.75" customHeight="1">
      <c r="A115" s="425"/>
      <c r="B115" s="481"/>
      <c r="C115" s="481" t="s">
        <v>241</v>
      </c>
      <c r="D115" s="448">
        <v>0.0</v>
      </c>
      <c r="E115" s="533">
        <f t="shared" si="125"/>
        <v>0</v>
      </c>
      <c r="F115" s="523"/>
      <c r="G115" s="533" t="str">
        <f t="shared" si="126"/>
        <v>#DIV/0!</v>
      </c>
      <c r="H115" s="523">
        <f t="shared" ref="H115:H116" si="131">D115-F115</f>
        <v>0</v>
      </c>
      <c r="I115" s="536" t="str">
        <f t="shared" ref="I115:I116" si="132">H115/F115</f>
        <v>#DIV/0!</v>
      </c>
      <c r="J115" s="448">
        <v>0.0</v>
      </c>
      <c r="K115" s="538">
        <f t="shared" si="127"/>
        <v>0</v>
      </c>
      <c r="L115" s="501"/>
      <c r="M115" s="538" t="str">
        <f t="shared" si="128"/>
        <v>#DIV/0!</v>
      </c>
      <c r="N115" s="501">
        <f t="shared" ref="N115:N127" si="133">J115-L115</f>
        <v>0</v>
      </c>
      <c r="O115" s="542" t="str">
        <f t="shared" ref="O115:O127" si="134">N115/L115</f>
        <v>#DIV/0!</v>
      </c>
      <c r="P115" s="482"/>
      <c r="Q115" s="716" t="str">
        <f t="shared" si="129"/>
        <v>#DIV/0!</v>
      </c>
      <c r="R115" s="459"/>
      <c r="S115" s="716" t="str">
        <f t="shared" si="130"/>
        <v>#DIV/0!</v>
      </c>
      <c r="T115" s="459">
        <f t="shared" ref="T115:T127" si="135">P115-R115</f>
        <v>0</v>
      </c>
      <c r="U115" s="716" t="str">
        <f t="shared" ref="U115:U127" si="136">T115/R115</f>
        <v>#DIV/0!</v>
      </c>
    </row>
    <row r="116" ht="15.75" customHeight="1">
      <c r="A116" s="425"/>
      <c r="B116" s="450"/>
      <c r="C116" s="450" t="s">
        <v>242</v>
      </c>
      <c r="D116" s="452">
        <v>1072.0</v>
      </c>
      <c r="E116" s="538">
        <f t="shared" si="125"/>
        <v>0.0001090283737</v>
      </c>
      <c r="F116" s="501"/>
      <c r="G116" s="538" t="str">
        <f t="shared" si="126"/>
        <v>#DIV/0!</v>
      </c>
      <c r="H116" s="501">
        <f t="shared" si="131"/>
        <v>1072</v>
      </c>
      <c r="I116" s="542" t="str">
        <f t="shared" si="132"/>
        <v>#DIV/0!</v>
      </c>
      <c r="J116" s="452">
        <v>1339.0</v>
      </c>
      <c r="K116" s="538">
        <f t="shared" si="127"/>
        <v>0.000143772004</v>
      </c>
      <c r="L116" s="501"/>
      <c r="M116" s="538" t="str">
        <f t="shared" si="128"/>
        <v>#DIV/0!</v>
      </c>
      <c r="N116" s="501">
        <f t="shared" si="133"/>
        <v>1339</v>
      </c>
      <c r="O116" s="542" t="str">
        <f t="shared" si="134"/>
        <v>#DIV/0!</v>
      </c>
      <c r="P116" s="459"/>
      <c r="Q116" s="716" t="str">
        <f t="shared" si="129"/>
        <v>#DIV/0!</v>
      </c>
      <c r="R116" s="459"/>
      <c r="S116" s="716" t="str">
        <f t="shared" si="130"/>
        <v>#DIV/0!</v>
      </c>
      <c r="T116" s="459">
        <f t="shared" si="135"/>
        <v>0</v>
      </c>
      <c r="U116" s="716" t="str">
        <f t="shared" si="136"/>
        <v>#DIV/0!</v>
      </c>
    </row>
    <row r="117" ht="15.75" customHeight="1">
      <c r="A117" s="425"/>
      <c r="B117" s="450"/>
      <c r="C117" s="450" t="s">
        <v>243</v>
      </c>
      <c r="D117" s="452">
        <v>1362.25</v>
      </c>
      <c r="E117" s="452">
        <v>1362.25</v>
      </c>
      <c r="F117" s="452">
        <v>1362.25</v>
      </c>
      <c r="G117" s="452">
        <v>1362.25</v>
      </c>
      <c r="H117" s="452">
        <v>1362.25</v>
      </c>
      <c r="I117" s="452">
        <v>1362.25</v>
      </c>
      <c r="J117" s="452">
        <v>1362.25</v>
      </c>
      <c r="K117" s="538">
        <f t="shared" si="127"/>
        <v>0.0001462684186</v>
      </c>
      <c r="L117" s="501"/>
      <c r="M117" s="538" t="str">
        <f t="shared" si="128"/>
        <v>#DIV/0!</v>
      </c>
      <c r="N117" s="501">
        <f t="shared" si="133"/>
        <v>1362.25</v>
      </c>
      <c r="O117" s="542" t="str">
        <f t="shared" si="134"/>
        <v>#DIV/0!</v>
      </c>
      <c r="P117" s="459"/>
      <c r="Q117" s="716" t="str">
        <f t="shared" si="129"/>
        <v>#DIV/0!</v>
      </c>
      <c r="R117" s="459"/>
      <c r="S117" s="716" t="str">
        <f t="shared" si="130"/>
        <v>#DIV/0!</v>
      </c>
      <c r="T117" s="459">
        <f t="shared" si="135"/>
        <v>0</v>
      </c>
      <c r="U117" s="716" t="str">
        <f t="shared" si="136"/>
        <v>#DIV/0!</v>
      </c>
    </row>
    <row r="118" ht="15.75" customHeight="1">
      <c r="A118" s="425"/>
      <c r="B118" s="450"/>
      <c r="C118" s="450" t="s">
        <v>244</v>
      </c>
      <c r="D118" s="452">
        <v>0.0</v>
      </c>
      <c r="E118" s="538">
        <f t="shared" ref="E118:E124" si="137">D118/D$29</f>
        <v>0</v>
      </c>
      <c r="F118" s="501"/>
      <c r="G118" s="538" t="str">
        <f t="shared" ref="G118:G124" si="138">F118/F$29</f>
        <v>#DIV/0!</v>
      </c>
      <c r="H118" s="501">
        <f t="shared" ref="H118:H124" si="139">D118-F118</f>
        <v>0</v>
      </c>
      <c r="I118" s="542" t="str">
        <f t="shared" ref="I118:I124" si="140">H118/F118</f>
        <v>#DIV/0!</v>
      </c>
      <c r="J118" s="452">
        <v>0.0</v>
      </c>
      <c r="K118" s="538">
        <f t="shared" si="127"/>
        <v>0</v>
      </c>
      <c r="L118" s="501"/>
      <c r="M118" s="538" t="str">
        <f t="shared" si="128"/>
        <v>#DIV/0!</v>
      </c>
      <c r="N118" s="501">
        <f t="shared" si="133"/>
        <v>0</v>
      </c>
      <c r="O118" s="542" t="str">
        <f t="shared" si="134"/>
        <v>#DIV/0!</v>
      </c>
      <c r="P118" s="459"/>
      <c r="Q118" s="716" t="str">
        <f t="shared" si="129"/>
        <v>#DIV/0!</v>
      </c>
      <c r="R118" s="459"/>
      <c r="S118" s="716" t="str">
        <f t="shared" si="130"/>
        <v>#DIV/0!</v>
      </c>
      <c r="T118" s="459">
        <f t="shared" si="135"/>
        <v>0</v>
      </c>
      <c r="U118" s="716" t="str">
        <f t="shared" si="136"/>
        <v>#DIV/0!</v>
      </c>
    </row>
    <row r="119" ht="15.75" customHeight="1">
      <c r="A119" s="425"/>
      <c r="B119" s="450"/>
      <c r="C119" s="450" t="s">
        <v>290</v>
      </c>
      <c r="D119" s="452">
        <v>0.0</v>
      </c>
      <c r="E119" s="538">
        <f t="shared" si="137"/>
        <v>0</v>
      </c>
      <c r="F119" s="501"/>
      <c r="G119" s="538" t="str">
        <f t="shared" si="138"/>
        <v>#DIV/0!</v>
      </c>
      <c r="H119" s="501">
        <f t="shared" si="139"/>
        <v>0</v>
      </c>
      <c r="I119" s="542" t="str">
        <f t="shared" si="140"/>
        <v>#DIV/0!</v>
      </c>
      <c r="J119" s="452">
        <v>0.0</v>
      </c>
      <c r="K119" s="538">
        <f t="shared" si="127"/>
        <v>0</v>
      </c>
      <c r="L119" s="501"/>
      <c r="M119" s="538" t="str">
        <f t="shared" si="128"/>
        <v>#DIV/0!</v>
      </c>
      <c r="N119" s="501">
        <f t="shared" si="133"/>
        <v>0</v>
      </c>
      <c r="O119" s="542" t="str">
        <f t="shared" si="134"/>
        <v>#DIV/0!</v>
      </c>
      <c r="P119" s="459"/>
      <c r="Q119" s="716" t="str">
        <f t="shared" si="129"/>
        <v>#DIV/0!</v>
      </c>
      <c r="R119" s="459"/>
      <c r="S119" s="716" t="str">
        <f t="shared" si="130"/>
        <v>#DIV/0!</v>
      </c>
      <c r="T119" s="459">
        <f t="shared" si="135"/>
        <v>0</v>
      </c>
      <c r="U119" s="716" t="str">
        <f t="shared" si="136"/>
        <v>#DIV/0!</v>
      </c>
    </row>
    <row r="120" ht="15.75" customHeight="1">
      <c r="A120" s="425"/>
      <c r="B120" s="450"/>
      <c r="C120" s="450" t="s">
        <v>247</v>
      </c>
      <c r="D120" s="452">
        <v>277890.0</v>
      </c>
      <c r="E120" s="538">
        <f t="shared" si="137"/>
        <v>0.02826296153</v>
      </c>
      <c r="F120" s="501"/>
      <c r="G120" s="538" t="str">
        <f t="shared" si="138"/>
        <v>#DIV/0!</v>
      </c>
      <c r="H120" s="501">
        <f t="shared" si="139"/>
        <v>277890</v>
      </c>
      <c r="I120" s="542" t="str">
        <f t="shared" si="140"/>
        <v>#DIV/0!</v>
      </c>
      <c r="J120" s="452">
        <v>77101.0</v>
      </c>
      <c r="K120" s="538">
        <f t="shared" si="127"/>
        <v>0.008278540165</v>
      </c>
      <c r="L120" s="501"/>
      <c r="M120" s="538" t="str">
        <f t="shared" si="128"/>
        <v>#DIV/0!</v>
      </c>
      <c r="N120" s="501">
        <f t="shared" si="133"/>
        <v>77101</v>
      </c>
      <c r="O120" s="542" t="str">
        <f t="shared" si="134"/>
        <v>#DIV/0!</v>
      </c>
      <c r="P120" s="459"/>
      <c r="Q120" s="716" t="str">
        <f t="shared" si="129"/>
        <v>#DIV/0!</v>
      </c>
      <c r="R120" s="459"/>
      <c r="S120" s="716" t="str">
        <f t="shared" si="130"/>
        <v>#DIV/0!</v>
      </c>
      <c r="T120" s="459">
        <f t="shared" si="135"/>
        <v>0</v>
      </c>
      <c r="U120" s="716" t="str">
        <f t="shared" si="136"/>
        <v>#DIV/0!</v>
      </c>
    </row>
    <row r="121" ht="15.75" customHeight="1">
      <c r="A121" s="425"/>
      <c r="B121" s="450"/>
      <c r="C121" s="450" t="s">
        <v>246</v>
      </c>
      <c r="D121" s="452">
        <v>6195.0</v>
      </c>
      <c r="E121" s="538">
        <f t="shared" si="137"/>
        <v>0.0006300660213</v>
      </c>
      <c r="F121" s="501"/>
      <c r="G121" s="538" t="str">
        <f t="shared" si="138"/>
        <v>#DIV/0!</v>
      </c>
      <c r="H121" s="501">
        <f t="shared" si="139"/>
        <v>6195</v>
      </c>
      <c r="I121" s="542" t="str">
        <f t="shared" si="140"/>
        <v>#DIV/0!</v>
      </c>
      <c r="J121" s="452">
        <v>8909.0</v>
      </c>
      <c r="K121" s="538">
        <f t="shared" si="127"/>
        <v>0.0009565831096</v>
      </c>
      <c r="L121" s="501"/>
      <c r="M121" s="538" t="str">
        <f t="shared" si="128"/>
        <v>#DIV/0!</v>
      </c>
      <c r="N121" s="501">
        <f t="shared" si="133"/>
        <v>8909</v>
      </c>
      <c r="O121" s="542" t="str">
        <f t="shared" si="134"/>
        <v>#DIV/0!</v>
      </c>
      <c r="P121" s="459"/>
      <c r="Q121" s="716" t="str">
        <f t="shared" si="129"/>
        <v>#DIV/0!</v>
      </c>
      <c r="R121" s="459"/>
      <c r="S121" s="716" t="str">
        <f t="shared" si="130"/>
        <v>#DIV/0!</v>
      </c>
      <c r="T121" s="459">
        <f t="shared" si="135"/>
        <v>0</v>
      </c>
      <c r="U121" s="716" t="str">
        <f t="shared" si="136"/>
        <v>#DIV/0!</v>
      </c>
    </row>
    <row r="122" ht="15.75" customHeight="1">
      <c r="A122" s="425"/>
      <c r="B122" s="450"/>
      <c r="C122" s="450" t="s">
        <v>249</v>
      </c>
      <c r="D122" s="452">
        <v>0.0</v>
      </c>
      <c r="E122" s="538">
        <f t="shared" si="137"/>
        <v>0</v>
      </c>
      <c r="F122" s="501"/>
      <c r="G122" s="538" t="str">
        <f t="shared" si="138"/>
        <v>#DIV/0!</v>
      </c>
      <c r="H122" s="501">
        <f t="shared" si="139"/>
        <v>0</v>
      </c>
      <c r="I122" s="542" t="str">
        <f t="shared" si="140"/>
        <v>#DIV/0!</v>
      </c>
      <c r="J122" s="452">
        <v>0.0</v>
      </c>
      <c r="K122" s="538">
        <f t="shared" si="127"/>
        <v>0</v>
      </c>
      <c r="L122" s="501"/>
      <c r="M122" s="538" t="str">
        <f t="shared" si="128"/>
        <v>#DIV/0!</v>
      </c>
      <c r="N122" s="501">
        <f t="shared" si="133"/>
        <v>0</v>
      </c>
      <c r="O122" s="542" t="str">
        <f t="shared" si="134"/>
        <v>#DIV/0!</v>
      </c>
      <c r="P122" s="459"/>
      <c r="Q122" s="716" t="str">
        <f t="shared" si="129"/>
        <v>#DIV/0!</v>
      </c>
      <c r="R122" s="459"/>
      <c r="S122" s="716" t="str">
        <f t="shared" si="130"/>
        <v>#DIV/0!</v>
      </c>
      <c r="T122" s="459">
        <f t="shared" si="135"/>
        <v>0</v>
      </c>
      <c r="U122" s="716" t="str">
        <f t="shared" si="136"/>
        <v>#DIV/0!</v>
      </c>
    </row>
    <row r="123" ht="15.75" customHeight="1">
      <c r="A123" s="425"/>
      <c r="B123" s="450"/>
      <c r="C123" s="450" t="s">
        <v>250</v>
      </c>
      <c r="D123" s="452">
        <v>16230.0</v>
      </c>
      <c r="E123" s="538">
        <f t="shared" si="137"/>
        <v>0.001650681441</v>
      </c>
      <c r="F123" s="501"/>
      <c r="G123" s="538" t="str">
        <f t="shared" si="138"/>
        <v>#DIV/0!</v>
      </c>
      <c r="H123" s="501">
        <f t="shared" si="139"/>
        <v>16230</v>
      </c>
      <c r="I123" s="542" t="str">
        <f t="shared" si="140"/>
        <v>#DIV/0!</v>
      </c>
      <c r="J123" s="452">
        <v>19335.0</v>
      </c>
      <c r="K123" s="538">
        <f t="shared" si="127"/>
        <v>0.002076050558</v>
      </c>
      <c r="L123" s="501"/>
      <c r="M123" s="538" t="str">
        <f t="shared" si="128"/>
        <v>#DIV/0!</v>
      </c>
      <c r="N123" s="501">
        <f t="shared" si="133"/>
        <v>19335</v>
      </c>
      <c r="O123" s="542" t="str">
        <f t="shared" si="134"/>
        <v>#DIV/0!</v>
      </c>
      <c r="P123" s="459"/>
      <c r="Q123" s="716" t="str">
        <f t="shared" si="129"/>
        <v>#DIV/0!</v>
      </c>
      <c r="R123" s="459"/>
      <c r="S123" s="716" t="str">
        <f t="shared" si="130"/>
        <v>#DIV/0!</v>
      </c>
      <c r="T123" s="459">
        <f t="shared" si="135"/>
        <v>0</v>
      </c>
      <c r="U123" s="716" t="str">
        <f t="shared" si="136"/>
        <v>#DIV/0!</v>
      </c>
    </row>
    <row r="124" ht="15.75" customHeight="1">
      <c r="A124" s="425"/>
      <c r="B124" s="450"/>
      <c r="C124" s="450" t="s">
        <v>251</v>
      </c>
      <c r="D124" s="452">
        <v>10360.0</v>
      </c>
      <c r="E124" s="538">
        <f t="shared" si="137"/>
        <v>0.001053669731</v>
      </c>
      <c r="F124" s="501"/>
      <c r="G124" s="538" t="str">
        <f t="shared" si="138"/>
        <v>#DIV/0!</v>
      </c>
      <c r="H124" s="501">
        <f t="shared" si="139"/>
        <v>10360</v>
      </c>
      <c r="I124" s="542" t="str">
        <f t="shared" si="140"/>
        <v>#DIV/0!</v>
      </c>
      <c r="J124" s="452">
        <v>19412.0</v>
      </c>
      <c r="K124" s="538">
        <f t="shared" si="127"/>
        <v>0.002084318254</v>
      </c>
      <c r="L124" s="501"/>
      <c r="M124" s="538" t="str">
        <f t="shared" si="128"/>
        <v>#DIV/0!</v>
      </c>
      <c r="N124" s="501">
        <f t="shared" si="133"/>
        <v>19412</v>
      </c>
      <c r="O124" s="542" t="str">
        <f t="shared" si="134"/>
        <v>#DIV/0!</v>
      </c>
      <c r="P124" s="459"/>
      <c r="Q124" s="716" t="str">
        <f t="shared" si="129"/>
        <v>#DIV/0!</v>
      </c>
      <c r="R124" s="459"/>
      <c r="S124" s="716" t="str">
        <f t="shared" si="130"/>
        <v>#DIV/0!</v>
      </c>
      <c r="T124" s="459">
        <f t="shared" si="135"/>
        <v>0</v>
      </c>
      <c r="U124" s="716" t="str">
        <f t="shared" si="136"/>
        <v>#DIV/0!</v>
      </c>
    </row>
    <row r="125" ht="15.75" customHeight="1">
      <c r="A125" s="425"/>
      <c r="B125" s="450"/>
      <c r="C125" s="450" t="s">
        <v>311</v>
      </c>
      <c r="D125" s="452">
        <v>14160.0</v>
      </c>
      <c r="E125" s="452">
        <v>14160.0</v>
      </c>
      <c r="F125" s="452">
        <v>14160.0</v>
      </c>
      <c r="G125" s="452">
        <v>14160.0</v>
      </c>
      <c r="H125" s="452">
        <v>14160.0</v>
      </c>
      <c r="I125" s="452">
        <v>14160.0</v>
      </c>
      <c r="J125" s="452">
        <v>14160.0</v>
      </c>
      <c r="K125" s="538">
        <f t="shared" si="127"/>
        <v>0.001520396995</v>
      </c>
      <c r="L125" s="501"/>
      <c r="M125" s="538" t="str">
        <f t="shared" si="128"/>
        <v>#DIV/0!</v>
      </c>
      <c r="N125" s="501">
        <f t="shared" si="133"/>
        <v>14160</v>
      </c>
      <c r="O125" s="542" t="str">
        <f t="shared" si="134"/>
        <v>#DIV/0!</v>
      </c>
      <c r="P125" s="459"/>
      <c r="Q125" s="716" t="str">
        <f t="shared" si="129"/>
        <v>#DIV/0!</v>
      </c>
      <c r="R125" s="459"/>
      <c r="S125" s="716" t="str">
        <f t="shared" si="130"/>
        <v>#DIV/0!</v>
      </c>
      <c r="T125" s="459">
        <f t="shared" si="135"/>
        <v>0</v>
      </c>
      <c r="U125" s="716" t="str">
        <f t="shared" si="136"/>
        <v>#DIV/0!</v>
      </c>
    </row>
    <row r="126" ht="15.75" customHeight="1">
      <c r="A126" s="425"/>
      <c r="B126" s="450"/>
      <c r="C126" s="450" t="s">
        <v>303</v>
      </c>
      <c r="D126" s="452">
        <v>0.0</v>
      </c>
      <c r="E126" s="538">
        <f t="shared" ref="E126:E127" si="141">D126/D$29</f>
        <v>0</v>
      </c>
      <c r="F126" s="501"/>
      <c r="G126" s="538" t="str">
        <f t="shared" ref="G126:G130" si="142">F126/F$29</f>
        <v>#DIV/0!</v>
      </c>
      <c r="H126" s="501">
        <f t="shared" ref="H126:H127" si="143">D126-F126</f>
        <v>0</v>
      </c>
      <c r="I126" s="542" t="str">
        <f t="shared" ref="I126:I127" si="144">H126/F126</f>
        <v>#DIV/0!</v>
      </c>
      <c r="J126" s="452">
        <v>0.0</v>
      </c>
      <c r="K126" s="538">
        <f t="shared" si="127"/>
        <v>0</v>
      </c>
      <c r="L126" s="501"/>
      <c r="M126" s="538" t="str">
        <f t="shared" si="128"/>
        <v>#DIV/0!</v>
      </c>
      <c r="N126" s="501">
        <f t="shared" si="133"/>
        <v>0</v>
      </c>
      <c r="O126" s="542" t="str">
        <f t="shared" si="134"/>
        <v>#DIV/0!</v>
      </c>
      <c r="P126" s="459"/>
      <c r="Q126" s="716" t="str">
        <f t="shared" si="129"/>
        <v>#DIV/0!</v>
      </c>
      <c r="R126" s="459"/>
      <c r="S126" s="716" t="str">
        <f t="shared" si="130"/>
        <v>#DIV/0!</v>
      </c>
      <c r="T126" s="459">
        <f t="shared" si="135"/>
        <v>0</v>
      </c>
      <c r="U126" s="716" t="str">
        <f t="shared" si="136"/>
        <v>#DIV/0!</v>
      </c>
    </row>
    <row r="127" ht="15.75" customHeight="1">
      <c r="A127" s="425"/>
      <c r="B127" s="450"/>
      <c r="C127" s="450" t="s">
        <v>280</v>
      </c>
      <c r="D127" s="452">
        <v>0.0</v>
      </c>
      <c r="E127" s="538">
        <f t="shared" si="141"/>
        <v>0</v>
      </c>
      <c r="F127" s="501"/>
      <c r="G127" s="538" t="str">
        <f t="shared" si="142"/>
        <v>#DIV/0!</v>
      </c>
      <c r="H127" s="501">
        <f t="shared" si="143"/>
        <v>0</v>
      </c>
      <c r="I127" s="542" t="str">
        <f t="shared" si="144"/>
        <v>#DIV/0!</v>
      </c>
      <c r="J127" s="452">
        <v>0.0</v>
      </c>
      <c r="K127" s="538">
        <f t="shared" si="127"/>
        <v>0</v>
      </c>
      <c r="L127" s="501"/>
      <c r="M127" s="538" t="str">
        <f t="shared" si="128"/>
        <v>#DIV/0!</v>
      </c>
      <c r="N127" s="501">
        <f t="shared" si="133"/>
        <v>0</v>
      </c>
      <c r="O127" s="542" t="str">
        <f t="shared" si="134"/>
        <v>#DIV/0!</v>
      </c>
      <c r="P127" s="459"/>
      <c r="Q127" s="716" t="str">
        <f t="shared" si="129"/>
        <v>#DIV/0!</v>
      </c>
      <c r="R127" s="459"/>
      <c r="S127" s="716" t="str">
        <f t="shared" si="130"/>
        <v>#DIV/0!</v>
      </c>
      <c r="T127" s="459">
        <f t="shared" si="135"/>
        <v>0</v>
      </c>
      <c r="U127" s="716" t="str">
        <f t="shared" si="136"/>
        <v>#DIV/0!</v>
      </c>
    </row>
    <row r="128" ht="15.75" customHeight="1">
      <c r="A128" s="425"/>
      <c r="B128" s="450"/>
      <c r="C128" s="450"/>
      <c r="D128" s="452"/>
      <c r="E128" s="521"/>
      <c r="F128" s="501"/>
      <c r="G128" s="538" t="str">
        <f t="shared" si="142"/>
        <v>#DIV/0!</v>
      </c>
      <c r="H128" s="521"/>
      <c r="I128" s="464"/>
      <c r="J128" s="452"/>
      <c r="K128" s="521"/>
      <c r="L128" s="501"/>
      <c r="M128" s="538" t="str">
        <f t="shared" si="128"/>
        <v>#DIV/0!</v>
      </c>
      <c r="N128" s="521"/>
      <c r="O128" s="464"/>
      <c r="P128" s="459"/>
      <c r="Q128" s="454"/>
      <c r="R128" s="459"/>
      <c r="S128" s="716" t="str">
        <f t="shared" si="130"/>
        <v>#DIV/0!</v>
      </c>
      <c r="T128" s="454"/>
      <c r="U128" s="454"/>
    </row>
    <row r="129" ht="15.75" customHeight="1">
      <c r="A129" s="425"/>
      <c r="B129" s="468"/>
      <c r="C129" s="645"/>
      <c r="D129" s="470"/>
      <c r="E129" s="526"/>
      <c r="F129" s="527"/>
      <c r="G129" s="545" t="str">
        <f t="shared" si="142"/>
        <v>#DIV/0!</v>
      </c>
      <c r="H129" s="526"/>
      <c r="I129" s="528"/>
      <c r="J129" s="470"/>
      <c r="K129" s="521"/>
      <c r="L129" s="501"/>
      <c r="M129" s="538" t="str">
        <f t="shared" si="128"/>
        <v>#DIV/0!</v>
      </c>
      <c r="N129" s="521"/>
      <c r="O129" s="464"/>
      <c r="P129" s="472"/>
      <c r="Q129" s="454"/>
      <c r="R129" s="459"/>
      <c r="S129" s="716" t="str">
        <f t="shared" si="130"/>
        <v>#DIV/0!</v>
      </c>
      <c r="T129" s="454"/>
      <c r="U129" s="454"/>
    </row>
    <row r="130" ht="15.75" customHeight="1">
      <c r="A130" s="425"/>
      <c r="B130" s="477"/>
      <c r="C130" s="492" t="s">
        <v>41</v>
      </c>
      <c r="D130" s="493">
        <f>SUM(D131:D132)</f>
        <v>0</v>
      </c>
      <c r="E130" s="628">
        <f>D130/D$29</f>
        <v>0</v>
      </c>
      <c r="F130" s="493">
        <f>SUM(F131:F132)</f>
        <v>0</v>
      </c>
      <c r="G130" s="628" t="str">
        <f t="shared" si="142"/>
        <v>#DIV/0!</v>
      </c>
      <c r="H130" s="747">
        <f>SUM(H131)</f>
        <v>0</v>
      </c>
      <c r="I130" s="629"/>
      <c r="J130" s="493">
        <f>SUM(J131:J132)</f>
        <v>0</v>
      </c>
      <c r="K130" s="541">
        <f>J130/J$29</f>
        <v>0</v>
      </c>
      <c r="L130" s="501">
        <f>SUM(L131:L132)</f>
        <v>0</v>
      </c>
      <c r="M130" s="538" t="str">
        <f t="shared" si="128"/>
        <v>#DIV/0!</v>
      </c>
      <c r="N130" s="732">
        <f>SUM(N131)</f>
        <v>0</v>
      </c>
      <c r="O130" s="464"/>
      <c r="P130" s="493">
        <f>SUM(P131:P132)</f>
        <v>0</v>
      </c>
      <c r="Q130" s="716" t="str">
        <f>P130/P$29</f>
        <v>#DIV/0!</v>
      </c>
      <c r="R130" s="459">
        <f>SUM(R131:R132)</f>
        <v>0</v>
      </c>
      <c r="S130" s="716" t="str">
        <f t="shared" si="130"/>
        <v>#DIV/0!</v>
      </c>
      <c r="T130" s="700">
        <f>SUM(T131)</f>
        <v>0</v>
      </c>
      <c r="U130" s="454"/>
    </row>
    <row r="131" ht="15.75" customHeight="1">
      <c r="A131" s="425"/>
      <c r="B131" s="481"/>
      <c r="C131" s="481" t="s">
        <v>253</v>
      </c>
      <c r="D131" s="448">
        <v>0.0</v>
      </c>
      <c r="E131" s="522"/>
      <c r="F131" s="523"/>
      <c r="G131" s="522"/>
      <c r="H131" s="448">
        <v>0.0</v>
      </c>
      <c r="I131" s="524"/>
      <c r="J131" s="448">
        <v>0.0</v>
      </c>
      <c r="K131" s="521"/>
      <c r="L131" s="501"/>
      <c r="M131" s="521"/>
      <c r="N131" s="452">
        <v>0.0</v>
      </c>
      <c r="O131" s="464"/>
      <c r="P131" s="482">
        <v>0.0</v>
      </c>
      <c r="Q131" s="454"/>
      <c r="R131" s="459"/>
      <c r="S131" s="454"/>
      <c r="T131" s="459">
        <v>0.0</v>
      </c>
      <c r="U131" s="454"/>
    </row>
    <row r="132" ht="15.75" customHeight="1">
      <c r="A132" s="425"/>
      <c r="B132" s="450"/>
      <c r="C132" s="450" t="s">
        <v>41</v>
      </c>
      <c r="D132" s="452">
        <v>0.0</v>
      </c>
      <c r="E132" s="538">
        <f>D132/D$29</f>
        <v>0</v>
      </c>
      <c r="F132" s="501">
        <v>0.0</v>
      </c>
      <c r="G132" s="538" t="str">
        <f>F132/F$29</f>
        <v>#DIV/0!</v>
      </c>
      <c r="H132" s="452">
        <v>0.0</v>
      </c>
      <c r="I132" s="464"/>
      <c r="J132" s="452">
        <v>0.0</v>
      </c>
      <c r="K132" s="538">
        <f>J132/J$29</f>
        <v>0</v>
      </c>
      <c r="L132" s="501">
        <v>0.0</v>
      </c>
      <c r="M132" s="538" t="str">
        <f>L132/L$29</f>
        <v>#DIV/0!</v>
      </c>
      <c r="N132" s="452">
        <v>0.0</v>
      </c>
      <c r="O132" s="464"/>
      <c r="P132" s="459">
        <v>0.0</v>
      </c>
      <c r="Q132" s="716" t="str">
        <f>P132/P$29</f>
        <v>#DIV/0!</v>
      </c>
      <c r="R132" s="459">
        <v>0.0</v>
      </c>
      <c r="S132" s="716" t="str">
        <f>R132/R$29</f>
        <v>#DIV/0!</v>
      </c>
      <c r="T132" s="459">
        <v>0.0</v>
      </c>
      <c r="U132" s="454"/>
    </row>
    <row r="133" ht="15.75" customHeight="1">
      <c r="A133" s="425"/>
      <c r="B133" s="468"/>
      <c r="C133" s="468"/>
      <c r="D133" s="470"/>
      <c r="E133" s="526"/>
      <c r="F133" s="527"/>
      <c r="G133" s="526"/>
      <c r="H133" s="526"/>
      <c r="I133" s="528"/>
      <c r="J133" s="470"/>
      <c r="K133" s="521"/>
      <c r="L133" s="501"/>
      <c r="M133" s="521"/>
      <c r="N133" s="521"/>
      <c r="O133" s="464"/>
      <c r="P133" s="472"/>
      <c r="Q133" s="454"/>
      <c r="R133" s="459"/>
      <c r="S133" s="454"/>
      <c r="T133" s="454"/>
      <c r="U133" s="454"/>
    </row>
    <row r="134" ht="15.75" customHeight="1">
      <c r="A134" s="425"/>
      <c r="B134" s="477"/>
      <c r="C134" s="492" t="s">
        <v>42</v>
      </c>
      <c r="D134" s="493">
        <f>SUM(D135:D136)</f>
        <v>0</v>
      </c>
      <c r="E134" s="628">
        <f>D134/D$29</f>
        <v>0</v>
      </c>
      <c r="F134" s="493">
        <f>SUM(F135:F136)</f>
        <v>0</v>
      </c>
      <c r="G134" s="628" t="str">
        <f>F134/F$29</f>
        <v>#DIV/0!</v>
      </c>
      <c r="H134" s="493">
        <f>SUM(H135:H136)</f>
        <v>0</v>
      </c>
      <c r="I134" s="629"/>
      <c r="J134" s="493">
        <f>SUM(J135:J136)</f>
        <v>0</v>
      </c>
      <c r="K134" s="541">
        <f>J134/J$29</f>
        <v>0</v>
      </c>
      <c r="L134" s="501">
        <f>SUM(L135:L136)</f>
        <v>0</v>
      </c>
      <c r="M134" s="538" t="str">
        <f>L134/L$29</f>
        <v>#DIV/0!</v>
      </c>
      <c r="N134" s="452">
        <f>SUM(N135:N136)</f>
        <v>0</v>
      </c>
      <c r="O134" s="464"/>
      <c r="P134" s="493">
        <f>SUM(P135:P136)</f>
        <v>0</v>
      </c>
      <c r="Q134" s="716" t="str">
        <f>P134/P$29</f>
        <v>#DIV/0!</v>
      </c>
      <c r="R134" s="459">
        <f>SUM(R135:R136)</f>
        <v>0</v>
      </c>
      <c r="S134" s="716" t="str">
        <f>R134/R$29</f>
        <v>#DIV/0!</v>
      </c>
      <c r="T134" s="459">
        <f>SUM(T135:T136)</f>
        <v>0</v>
      </c>
      <c r="U134" s="454"/>
    </row>
    <row r="135" ht="15.75" customHeight="1">
      <c r="A135" s="425"/>
      <c r="B135" s="481"/>
      <c r="C135" s="481" t="s">
        <v>283</v>
      </c>
      <c r="D135" s="448">
        <v>0.0</v>
      </c>
      <c r="E135" s="522"/>
      <c r="F135" s="523"/>
      <c r="G135" s="533"/>
      <c r="H135" s="522"/>
      <c r="I135" s="524"/>
      <c r="J135" s="448">
        <v>0.0</v>
      </c>
      <c r="K135" s="521"/>
      <c r="L135" s="501"/>
      <c r="M135" s="538"/>
      <c r="N135" s="521"/>
      <c r="O135" s="464"/>
      <c r="P135" s="482">
        <v>0.0</v>
      </c>
      <c r="Q135" s="454"/>
      <c r="R135" s="459"/>
      <c r="S135" s="716"/>
      <c r="T135" s="454"/>
      <c r="U135" s="454"/>
    </row>
    <row r="136" ht="15.75" customHeight="1">
      <c r="A136" s="425"/>
      <c r="B136" s="450"/>
      <c r="C136" s="450" t="s">
        <v>256</v>
      </c>
      <c r="D136" s="452">
        <v>0.0</v>
      </c>
      <c r="E136" s="521"/>
      <c r="F136" s="501"/>
      <c r="G136" s="538"/>
      <c r="H136" s="521"/>
      <c r="I136" s="464"/>
      <c r="J136" s="452">
        <v>0.0</v>
      </c>
      <c r="K136" s="521"/>
      <c r="L136" s="501"/>
      <c r="M136" s="538"/>
      <c r="N136" s="521"/>
      <c r="O136" s="464"/>
      <c r="P136" s="459">
        <v>0.0</v>
      </c>
      <c r="Q136" s="454"/>
      <c r="R136" s="459"/>
      <c r="S136" s="716"/>
      <c r="T136" s="454"/>
      <c r="U136" s="454"/>
    </row>
    <row r="137" ht="15.75" customHeight="1">
      <c r="A137" s="425"/>
      <c r="B137" s="450"/>
      <c r="C137" s="450"/>
      <c r="D137" s="452"/>
      <c r="E137" s="521"/>
      <c r="F137" s="501"/>
      <c r="G137" s="521"/>
      <c r="H137" s="521"/>
      <c r="I137" s="464"/>
      <c r="J137" s="452"/>
      <c r="K137" s="521"/>
      <c r="L137" s="501"/>
      <c r="M137" s="521"/>
      <c r="N137" s="521"/>
      <c r="O137" s="464"/>
      <c r="P137" s="459"/>
      <c r="Q137" s="454"/>
      <c r="R137" s="459"/>
      <c r="S137" s="454"/>
      <c r="T137" s="454"/>
      <c r="U137" s="454"/>
    </row>
    <row r="138" ht="15.75" customHeight="1">
      <c r="A138" s="425"/>
      <c r="B138" s="468"/>
      <c r="C138" s="468"/>
      <c r="D138" s="470"/>
      <c r="E138" s="526"/>
      <c r="F138" s="527"/>
      <c r="G138" s="526"/>
      <c r="H138" s="526"/>
      <c r="I138" s="528"/>
      <c r="J138" s="470"/>
      <c r="K138" s="526"/>
      <c r="L138" s="527"/>
      <c r="M138" s="526"/>
      <c r="N138" s="526"/>
      <c r="O138" s="528"/>
      <c r="P138" s="472"/>
      <c r="Q138" s="525"/>
      <c r="R138" s="472"/>
      <c r="S138" s="525"/>
      <c r="T138" s="525"/>
      <c r="U138" s="525"/>
    </row>
    <row r="139" ht="15.75" customHeight="1">
      <c r="A139" s="425"/>
      <c r="B139" s="474"/>
      <c r="C139" s="474" t="s">
        <v>257</v>
      </c>
      <c r="D139" s="444">
        <f>D61+D70+D83+D90+D97+D107+D110+D114+D130+D134</f>
        <v>4245149.833</v>
      </c>
      <c r="E139" s="529">
        <f>D139/D$29</f>
        <v>0.4317553939</v>
      </c>
      <c r="F139" s="444">
        <f>F61+F70+F83+F90+F97+F107+F110+F114+F130+F134</f>
        <v>65342.58333</v>
      </c>
      <c r="G139" s="529" t="str">
        <f>F139/F$29</f>
        <v>#DIV/0!</v>
      </c>
      <c r="H139" s="444">
        <f>H61+H70+H83+H90+H97+H107+H110+H114+H130+H134</f>
        <v>4245149.833</v>
      </c>
      <c r="I139" s="556"/>
      <c r="J139" s="444">
        <f>J61+J70+J83+J90+J97+J107+J110+J114+J130+J134</f>
        <v>4220755.49</v>
      </c>
      <c r="K139" s="529">
        <f>J139/J$29</f>
        <v>0.4531937829</v>
      </c>
      <c r="L139" s="444">
        <f>L61+L70+L83+L90+L97+L107+L110+L114+L130+L134</f>
        <v>0</v>
      </c>
      <c r="M139" s="529" t="str">
        <f>L139/L$29</f>
        <v>#DIV/0!</v>
      </c>
      <c r="N139" s="444">
        <f>N61+N70+N83+N90+N97+N107+N110+N114+N130+N134</f>
        <v>4220755.49</v>
      </c>
      <c r="O139" s="556"/>
      <c r="P139" s="475">
        <f>P61+P70+P83+P90+P97+P107+P110+P114+P130+P134</f>
        <v>0</v>
      </c>
      <c r="Q139" s="581" t="str">
        <f>P139/P$29</f>
        <v>#DIV/0!</v>
      </c>
      <c r="R139" s="475">
        <f>R61+R70+R83+R90+R97+R107+R110+R114+R130+R134</f>
        <v>0</v>
      </c>
      <c r="S139" s="581" t="str">
        <f>R139/R$29</f>
        <v>#DIV/0!</v>
      </c>
      <c r="T139" s="475">
        <f>T61+T70+T83+T90+T97+T107+T110+T114+T130+T134</f>
        <v>0</v>
      </c>
      <c r="U139" s="442"/>
    </row>
    <row r="140" ht="15.75" customHeight="1">
      <c r="A140" s="425"/>
      <c r="B140" s="508"/>
      <c r="C140" s="508"/>
      <c r="D140" s="494"/>
      <c r="E140" s="586"/>
      <c r="F140" s="563"/>
      <c r="G140" s="586"/>
      <c r="H140" s="586"/>
      <c r="I140" s="440"/>
      <c r="J140" s="494"/>
      <c r="K140" s="586"/>
      <c r="L140" s="563"/>
      <c r="M140" s="586"/>
      <c r="N140" s="586"/>
      <c r="O140" s="440"/>
      <c r="P140" s="495"/>
      <c r="Q140" s="741"/>
      <c r="R140" s="495"/>
      <c r="S140" s="741"/>
      <c r="T140" s="741"/>
      <c r="U140" s="741"/>
    </row>
    <row r="141" ht="15.75" customHeight="1">
      <c r="A141" s="425"/>
      <c r="B141" s="474"/>
      <c r="C141" s="474" t="s">
        <v>258</v>
      </c>
      <c r="D141" s="444">
        <f>D52-D139</f>
        <v>2060232.96</v>
      </c>
      <c r="E141" s="529">
        <f>D141/D$29</f>
        <v>0.2095371726</v>
      </c>
      <c r="F141" s="530" t="str">
        <f>F52-F139</f>
        <v>#REF!</v>
      </c>
      <c r="G141" s="529" t="str">
        <f>F141/F$29</f>
        <v>#REF!</v>
      </c>
      <c r="H141" s="555"/>
      <c r="I141" s="556"/>
      <c r="J141" s="444">
        <f>J52-J139</f>
        <v>1234107.576</v>
      </c>
      <c r="K141" s="529">
        <f>J141/J$29</f>
        <v>0.1325094245</v>
      </c>
      <c r="L141" s="530" t="str">
        <f>L52-L139</f>
        <v>#REF!</v>
      </c>
      <c r="M141" s="529" t="str">
        <f>L141/L$29</f>
        <v>#REF!</v>
      </c>
      <c r="N141" s="555"/>
      <c r="O141" s="556"/>
      <c r="P141" s="475">
        <f>P52-P139</f>
        <v>0</v>
      </c>
      <c r="Q141" s="581" t="str">
        <f>P141/P$29</f>
        <v>#DIV/0!</v>
      </c>
      <c r="R141" s="475" t="str">
        <f>R52-R139</f>
        <v>#REF!</v>
      </c>
      <c r="S141" s="581" t="str">
        <f>R141/R$29</f>
        <v>#REF!</v>
      </c>
      <c r="T141" s="442"/>
      <c r="U141" s="442"/>
    </row>
    <row r="142" ht="15.75" customHeight="1">
      <c r="A142" s="425"/>
      <c r="B142" s="425"/>
      <c r="C142" s="425"/>
      <c r="D142" s="748"/>
      <c r="E142" s="235"/>
      <c r="F142" s="748"/>
      <c r="G142" s="235"/>
      <c r="H142" s="235"/>
      <c r="I142" s="235"/>
      <c r="J142" s="748"/>
      <c r="K142" s="235"/>
      <c r="L142" s="748"/>
      <c r="M142" s="235"/>
      <c r="N142" s="235"/>
      <c r="O142" s="235"/>
      <c r="P142" s="748"/>
      <c r="Q142" s="235"/>
      <c r="R142" s="748"/>
      <c r="S142" s="235"/>
      <c r="T142" s="235"/>
      <c r="U142" s="235"/>
    </row>
    <row r="143" ht="15.75" customHeight="1">
      <c r="A143" s="425"/>
      <c r="B143" s="425"/>
      <c r="C143" s="427"/>
      <c r="D143" s="748"/>
      <c r="E143" s="235"/>
      <c r="F143" s="748"/>
      <c r="G143" s="235"/>
      <c r="H143" s="235"/>
      <c r="I143" s="235"/>
      <c r="J143" s="748"/>
      <c r="K143" s="235"/>
      <c r="L143" s="748"/>
      <c r="M143" s="235"/>
      <c r="N143" s="235"/>
      <c r="O143" s="235"/>
      <c r="P143" s="748"/>
      <c r="Q143" s="235"/>
      <c r="R143" s="748"/>
      <c r="S143" s="235"/>
      <c r="T143" s="235"/>
      <c r="U143" s="235"/>
    </row>
    <row r="144" ht="15.75" customHeight="1">
      <c r="A144" s="425"/>
      <c r="B144" s="425"/>
      <c r="C144" s="425"/>
      <c r="D144" s="748"/>
      <c r="E144" s="235"/>
      <c r="F144" s="748"/>
      <c r="G144" s="235"/>
      <c r="H144" s="235"/>
      <c r="I144" s="235"/>
      <c r="J144" s="748"/>
      <c r="K144" s="235"/>
      <c r="L144" s="748"/>
      <c r="M144" s="235"/>
      <c r="N144" s="235"/>
      <c r="O144" s="235"/>
      <c r="P144" s="748"/>
      <c r="Q144" s="235"/>
      <c r="R144" s="748"/>
      <c r="S144" s="235"/>
      <c r="T144" s="235"/>
      <c r="U144" s="235"/>
    </row>
    <row r="145" ht="15.75" customHeight="1">
      <c r="A145" s="425"/>
      <c r="B145" s="425"/>
      <c r="C145" s="425"/>
      <c r="D145" s="748"/>
      <c r="E145" s="235"/>
      <c r="F145" s="748"/>
      <c r="G145" s="235"/>
      <c r="H145" s="235"/>
      <c r="I145" s="235"/>
      <c r="J145" s="748"/>
      <c r="K145" s="235"/>
      <c r="L145" s="748"/>
      <c r="M145" s="235"/>
      <c r="N145" s="235"/>
      <c r="O145" s="235"/>
      <c r="P145" s="748"/>
      <c r="Q145" s="235"/>
      <c r="R145" s="748"/>
      <c r="S145" s="235"/>
      <c r="T145" s="235"/>
      <c r="U145" s="235"/>
    </row>
    <row r="146" ht="15.75" customHeight="1">
      <c r="A146" s="425"/>
      <c r="B146" s="425"/>
      <c r="C146" s="425"/>
      <c r="D146" s="748"/>
      <c r="E146" s="235"/>
      <c r="F146" s="748"/>
      <c r="G146" s="235"/>
      <c r="H146" s="235"/>
      <c r="I146" s="235"/>
      <c r="J146" s="748"/>
      <c r="K146" s="235"/>
      <c r="L146" s="748"/>
      <c r="M146" s="235"/>
      <c r="N146" s="235"/>
      <c r="O146" s="235"/>
      <c r="P146" s="748"/>
      <c r="Q146" s="235"/>
      <c r="R146" s="748"/>
      <c r="S146" s="235"/>
      <c r="T146" s="235"/>
      <c r="U146" s="235"/>
    </row>
    <row r="147" ht="15.75" customHeight="1">
      <c r="A147" s="425"/>
      <c r="B147" s="425"/>
      <c r="C147" s="425"/>
      <c r="D147" s="748"/>
      <c r="E147" s="235"/>
      <c r="F147" s="748"/>
      <c r="G147" s="235"/>
      <c r="H147" s="235"/>
      <c r="I147" s="235"/>
      <c r="J147" s="748"/>
      <c r="K147" s="235"/>
      <c r="L147" s="748"/>
      <c r="M147" s="235"/>
      <c r="N147" s="235"/>
      <c r="O147" s="235"/>
      <c r="P147" s="748"/>
      <c r="Q147" s="235"/>
      <c r="R147" s="748"/>
      <c r="S147" s="235"/>
      <c r="T147" s="235"/>
      <c r="U147" s="235"/>
    </row>
    <row r="148" ht="15.75" customHeight="1">
      <c r="A148" s="425"/>
      <c r="B148" s="425"/>
      <c r="C148" s="425"/>
      <c r="D148" s="748"/>
      <c r="E148" s="235"/>
      <c r="F148" s="748"/>
      <c r="G148" s="235"/>
      <c r="H148" s="235"/>
      <c r="I148" s="235"/>
      <c r="J148" s="748"/>
      <c r="K148" s="235"/>
      <c r="L148" s="748"/>
      <c r="M148" s="235"/>
      <c r="N148" s="235"/>
      <c r="O148" s="235"/>
      <c r="P148" s="748"/>
      <c r="Q148" s="235"/>
      <c r="R148" s="748"/>
      <c r="S148" s="235"/>
      <c r="T148" s="235"/>
      <c r="U148" s="235"/>
    </row>
    <row r="149" ht="15.75" customHeight="1">
      <c r="A149" s="425"/>
      <c r="B149" s="425"/>
      <c r="C149" s="425"/>
      <c r="D149" s="748"/>
      <c r="E149" s="235"/>
      <c r="F149" s="748"/>
      <c r="G149" s="235"/>
      <c r="H149" s="235"/>
      <c r="I149" s="235"/>
      <c r="J149" s="748"/>
      <c r="K149" s="235"/>
      <c r="L149" s="748"/>
      <c r="M149" s="235"/>
      <c r="N149" s="235"/>
      <c r="O149" s="235"/>
      <c r="P149" s="748"/>
      <c r="Q149" s="235"/>
      <c r="R149" s="748"/>
      <c r="S149" s="235"/>
      <c r="T149" s="235"/>
      <c r="U149" s="235"/>
    </row>
    <row r="150" ht="15.75" customHeight="1">
      <c r="A150" s="425"/>
      <c r="B150" s="425"/>
      <c r="C150" s="425"/>
      <c r="D150" s="748"/>
      <c r="E150" s="235"/>
      <c r="F150" s="748"/>
      <c r="G150" s="235"/>
      <c r="H150" s="235"/>
      <c r="I150" s="235"/>
      <c r="J150" s="748"/>
      <c r="K150" s="235"/>
      <c r="L150" s="748"/>
      <c r="M150" s="235"/>
      <c r="N150" s="235"/>
      <c r="O150" s="235"/>
      <c r="P150" s="748"/>
      <c r="Q150" s="235"/>
      <c r="R150" s="748"/>
      <c r="S150" s="235"/>
      <c r="T150" s="235"/>
      <c r="U150" s="235"/>
    </row>
    <row r="151" ht="15.75" customHeight="1">
      <c r="A151" s="425"/>
      <c r="B151" s="425"/>
      <c r="C151" s="425"/>
      <c r="D151" s="748"/>
      <c r="E151" s="235"/>
      <c r="F151" s="748"/>
      <c r="G151" s="235"/>
      <c r="H151" s="235"/>
      <c r="I151" s="235"/>
      <c r="J151" s="748"/>
      <c r="K151" s="235"/>
      <c r="L151" s="748"/>
      <c r="M151" s="235"/>
      <c r="N151" s="235"/>
      <c r="O151" s="235"/>
      <c r="P151" s="748"/>
      <c r="Q151" s="235"/>
      <c r="R151" s="748"/>
      <c r="S151" s="235"/>
      <c r="T151" s="235"/>
      <c r="U151" s="235"/>
    </row>
    <row r="152" ht="15.75" customHeight="1">
      <c r="A152" s="425"/>
      <c r="B152" s="425"/>
      <c r="C152" s="425"/>
      <c r="D152" s="748"/>
      <c r="E152" s="235"/>
      <c r="F152" s="748"/>
      <c r="G152" s="235"/>
      <c r="H152" s="235"/>
      <c r="I152" s="235"/>
      <c r="J152" s="748"/>
      <c r="K152" s="235"/>
      <c r="L152" s="748"/>
      <c r="M152" s="235"/>
      <c r="N152" s="235"/>
      <c r="O152" s="235"/>
      <c r="P152" s="748"/>
      <c r="Q152" s="235"/>
      <c r="R152" s="748"/>
      <c r="S152" s="235"/>
      <c r="T152" s="235"/>
      <c r="U152" s="235"/>
    </row>
    <row r="153" ht="15.75" customHeight="1">
      <c r="A153" s="425"/>
      <c r="B153" s="425"/>
      <c r="C153" s="425"/>
      <c r="D153" s="748"/>
      <c r="E153" s="235"/>
      <c r="F153" s="748"/>
      <c r="G153" s="235"/>
      <c r="H153" s="235"/>
      <c r="I153" s="235"/>
      <c r="J153" s="748"/>
      <c r="K153" s="235"/>
      <c r="L153" s="748"/>
      <c r="M153" s="235"/>
      <c r="N153" s="235"/>
      <c r="O153" s="235"/>
      <c r="P153" s="748"/>
      <c r="Q153" s="235"/>
      <c r="R153" s="748"/>
      <c r="S153" s="235"/>
      <c r="T153" s="235"/>
      <c r="U153" s="235"/>
    </row>
    <row r="154" ht="15.75" customHeight="1">
      <c r="A154" s="425"/>
      <c r="B154" s="425"/>
      <c r="C154" s="425"/>
      <c r="D154" s="748"/>
      <c r="E154" s="235"/>
      <c r="F154" s="748"/>
      <c r="G154" s="235"/>
      <c r="H154" s="235"/>
      <c r="I154" s="235"/>
      <c r="J154" s="748"/>
      <c r="K154" s="235"/>
      <c r="L154" s="748"/>
      <c r="M154" s="235"/>
      <c r="N154" s="235"/>
      <c r="O154" s="235"/>
      <c r="P154" s="748"/>
      <c r="Q154" s="235"/>
      <c r="R154" s="748"/>
      <c r="S154" s="235"/>
      <c r="T154" s="235"/>
      <c r="U154" s="235"/>
    </row>
    <row r="155" ht="15.75" customHeight="1">
      <c r="A155" s="425"/>
      <c r="B155" s="425"/>
      <c r="C155" s="425"/>
      <c r="D155" s="748"/>
      <c r="E155" s="235"/>
      <c r="F155" s="748"/>
      <c r="G155" s="235"/>
      <c r="H155" s="235"/>
      <c r="I155" s="235"/>
      <c r="J155" s="748"/>
      <c r="K155" s="235"/>
      <c r="L155" s="748"/>
      <c r="M155" s="235"/>
      <c r="N155" s="235"/>
      <c r="O155" s="235"/>
      <c r="P155" s="748"/>
      <c r="Q155" s="235"/>
      <c r="R155" s="748"/>
      <c r="S155" s="235"/>
      <c r="T155" s="235"/>
      <c r="U155" s="235"/>
    </row>
    <row r="156" ht="15.75" customHeight="1">
      <c r="A156" s="425"/>
      <c r="B156" s="425"/>
      <c r="C156" s="425"/>
      <c r="D156" s="748"/>
      <c r="E156" s="235"/>
      <c r="F156" s="748"/>
      <c r="G156" s="235"/>
      <c r="H156" s="235"/>
      <c r="I156" s="235"/>
      <c r="J156" s="748"/>
      <c r="K156" s="235"/>
      <c r="L156" s="748"/>
      <c r="M156" s="235"/>
      <c r="N156" s="235"/>
      <c r="O156" s="235"/>
      <c r="P156" s="748"/>
      <c r="Q156" s="235"/>
      <c r="R156" s="748"/>
      <c r="S156" s="235"/>
      <c r="T156" s="235"/>
      <c r="U156" s="235"/>
    </row>
    <row r="157" ht="15.75" customHeight="1">
      <c r="A157" s="425"/>
      <c r="B157" s="425"/>
      <c r="C157" s="425"/>
      <c r="D157" s="748"/>
      <c r="E157" s="235"/>
      <c r="F157" s="748"/>
      <c r="G157" s="235"/>
      <c r="H157" s="235"/>
      <c r="I157" s="235"/>
      <c r="J157" s="748"/>
      <c r="K157" s="235"/>
      <c r="L157" s="748"/>
      <c r="M157" s="235"/>
      <c r="N157" s="235"/>
      <c r="O157" s="235"/>
      <c r="P157" s="748"/>
      <c r="Q157" s="235"/>
      <c r="R157" s="748"/>
      <c r="S157" s="235"/>
      <c r="T157" s="235"/>
      <c r="U157" s="235"/>
    </row>
    <row r="158" ht="15.75" customHeight="1">
      <c r="A158" s="425"/>
      <c r="B158" s="425"/>
      <c r="C158" s="425"/>
      <c r="D158" s="748"/>
      <c r="E158" s="235"/>
      <c r="F158" s="748"/>
      <c r="G158" s="235"/>
      <c r="H158" s="235"/>
      <c r="I158" s="235"/>
      <c r="J158" s="748"/>
      <c r="K158" s="235"/>
      <c r="L158" s="748"/>
      <c r="M158" s="235"/>
      <c r="N158" s="235"/>
      <c r="O158" s="235"/>
      <c r="P158" s="748"/>
      <c r="Q158" s="235"/>
      <c r="R158" s="748"/>
      <c r="S158" s="235"/>
      <c r="T158" s="235"/>
      <c r="U158" s="235"/>
    </row>
    <row r="159" ht="15.75" customHeight="1">
      <c r="A159" s="425"/>
      <c r="B159" s="425"/>
      <c r="C159" s="425"/>
      <c r="D159" s="748"/>
      <c r="E159" s="235"/>
      <c r="F159" s="748"/>
      <c r="G159" s="235"/>
      <c r="H159" s="235"/>
      <c r="I159" s="235"/>
      <c r="J159" s="748"/>
      <c r="K159" s="235"/>
      <c r="L159" s="748"/>
      <c r="M159" s="235"/>
      <c r="N159" s="235"/>
      <c r="O159" s="235"/>
      <c r="P159" s="748"/>
      <c r="Q159" s="235"/>
      <c r="R159" s="748"/>
      <c r="S159" s="235"/>
      <c r="T159" s="235"/>
      <c r="U159" s="235"/>
    </row>
    <row r="160" ht="15.75" customHeight="1">
      <c r="A160" s="425"/>
      <c r="B160" s="425"/>
      <c r="C160" s="425"/>
      <c r="D160" s="748"/>
      <c r="E160" s="235"/>
      <c r="F160" s="748"/>
      <c r="G160" s="235"/>
      <c r="H160" s="235"/>
      <c r="I160" s="235"/>
      <c r="J160" s="748"/>
      <c r="K160" s="235"/>
      <c r="L160" s="748"/>
      <c r="M160" s="235"/>
      <c r="N160" s="235"/>
      <c r="O160" s="235"/>
      <c r="P160" s="748"/>
      <c r="Q160" s="235"/>
      <c r="R160" s="748"/>
      <c r="S160" s="235"/>
      <c r="T160" s="235"/>
      <c r="U160" s="235"/>
    </row>
    <row r="161" ht="15.75" customHeight="1">
      <c r="A161" s="425"/>
      <c r="B161" s="425"/>
      <c r="C161" s="425"/>
      <c r="D161" s="748"/>
      <c r="E161" s="235"/>
      <c r="F161" s="748"/>
      <c r="G161" s="235"/>
      <c r="H161" s="235"/>
      <c r="I161" s="235"/>
      <c r="J161" s="748"/>
      <c r="K161" s="235"/>
      <c r="L161" s="748"/>
      <c r="M161" s="235"/>
      <c r="N161" s="235"/>
      <c r="O161" s="235"/>
      <c r="P161" s="748"/>
      <c r="Q161" s="235"/>
      <c r="R161" s="748"/>
      <c r="S161" s="235"/>
      <c r="T161" s="235"/>
      <c r="U161" s="235"/>
    </row>
    <row r="162" ht="15.75" customHeight="1">
      <c r="A162" s="425"/>
      <c r="B162" s="425"/>
      <c r="C162" s="425"/>
      <c r="D162" s="748"/>
      <c r="E162" s="235"/>
      <c r="F162" s="748"/>
      <c r="G162" s="235"/>
      <c r="H162" s="235"/>
      <c r="I162" s="235"/>
      <c r="J162" s="748"/>
      <c r="K162" s="235"/>
      <c r="L162" s="748"/>
      <c r="M162" s="235"/>
      <c r="N162" s="235"/>
      <c r="O162" s="235"/>
      <c r="P162" s="748"/>
      <c r="Q162" s="235"/>
      <c r="R162" s="748"/>
      <c r="S162" s="235"/>
      <c r="T162" s="235"/>
      <c r="U162" s="235"/>
    </row>
    <row r="163" ht="15.75" customHeight="1">
      <c r="A163" s="425"/>
      <c r="B163" s="425"/>
      <c r="C163" s="425"/>
      <c r="D163" s="748"/>
      <c r="E163" s="235"/>
      <c r="F163" s="748"/>
      <c r="G163" s="235"/>
      <c r="H163" s="235"/>
      <c r="I163" s="235"/>
      <c r="J163" s="748"/>
      <c r="K163" s="235"/>
      <c r="L163" s="748"/>
      <c r="M163" s="235"/>
      <c r="N163" s="235"/>
      <c r="O163" s="235"/>
      <c r="P163" s="748"/>
      <c r="Q163" s="235"/>
      <c r="R163" s="748"/>
      <c r="S163" s="235"/>
      <c r="T163" s="235"/>
      <c r="U163" s="235"/>
    </row>
    <row r="164" ht="15.75" customHeight="1">
      <c r="A164" s="425"/>
      <c r="B164" s="425"/>
      <c r="C164" s="425"/>
      <c r="D164" s="748"/>
      <c r="E164" s="235"/>
      <c r="F164" s="748"/>
      <c r="G164" s="235"/>
      <c r="H164" s="235"/>
      <c r="I164" s="235"/>
      <c r="J164" s="748"/>
      <c r="K164" s="235"/>
      <c r="L164" s="748"/>
      <c r="M164" s="235"/>
      <c r="N164" s="235"/>
      <c r="O164" s="235"/>
      <c r="P164" s="748"/>
      <c r="Q164" s="235"/>
      <c r="R164" s="748"/>
      <c r="S164" s="235"/>
      <c r="T164" s="235"/>
      <c r="U164" s="235"/>
    </row>
    <row r="165" ht="15.75" customHeight="1">
      <c r="A165" s="425"/>
      <c r="B165" s="425"/>
      <c r="C165" s="425"/>
      <c r="D165" s="748"/>
      <c r="E165" s="235"/>
      <c r="F165" s="748"/>
      <c r="G165" s="235"/>
      <c r="H165" s="235"/>
      <c r="I165" s="235"/>
      <c r="J165" s="748"/>
      <c r="K165" s="235"/>
      <c r="L165" s="748"/>
      <c r="M165" s="235"/>
      <c r="N165" s="235"/>
      <c r="O165" s="235"/>
      <c r="P165" s="748"/>
      <c r="Q165" s="235"/>
      <c r="R165" s="748"/>
      <c r="S165" s="235"/>
      <c r="T165" s="235"/>
      <c r="U165" s="235"/>
    </row>
    <row r="166" ht="15.75" customHeight="1">
      <c r="A166" s="425"/>
      <c r="B166" s="425"/>
      <c r="C166" s="425"/>
      <c r="D166" s="748"/>
      <c r="E166" s="235"/>
      <c r="F166" s="748"/>
      <c r="G166" s="235"/>
      <c r="H166" s="235"/>
      <c r="I166" s="235"/>
      <c r="J166" s="748"/>
      <c r="K166" s="235"/>
      <c r="L166" s="748"/>
      <c r="M166" s="235"/>
      <c r="N166" s="235"/>
      <c r="O166" s="235"/>
      <c r="P166" s="748"/>
      <c r="Q166" s="235"/>
      <c r="R166" s="748"/>
      <c r="S166" s="235"/>
      <c r="T166" s="235"/>
      <c r="U166" s="235"/>
    </row>
    <row r="167" ht="15.75" customHeight="1">
      <c r="A167" s="425"/>
      <c r="B167" s="425"/>
      <c r="C167" s="425"/>
      <c r="D167" s="748"/>
      <c r="E167" s="235"/>
      <c r="F167" s="748"/>
      <c r="G167" s="235"/>
      <c r="H167" s="235"/>
      <c r="I167" s="235"/>
      <c r="J167" s="748"/>
      <c r="K167" s="235"/>
      <c r="L167" s="748"/>
      <c r="M167" s="235"/>
      <c r="N167" s="235"/>
      <c r="O167" s="235"/>
      <c r="P167" s="748"/>
      <c r="Q167" s="235"/>
      <c r="R167" s="748"/>
      <c r="S167" s="235"/>
      <c r="T167" s="235"/>
      <c r="U167" s="235"/>
    </row>
    <row r="168" ht="15.75" customHeight="1">
      <c r="A168" s="425"/>
      <c r="B168" s="425"/>
      <c r="C168" s="425"/>
      <c r="D168" s="748"/>
      <c r="E168" s="235"/>
      <c r="F168" s="748"/>
      <c r="G168" s="235"/>
      <c r="H168" s="235"/>
      <c r="I168" s="235"/>
      <c r="J168" s="748"/>
      <c r="K168" s="235"/>
      <c r="L168" s="748"/>
      <c r="M168" s="235"/>
      <c r="N168" s="235"/>
      <c r="O168" s="235"/>
      <c r="P168" s="748"/>
      <c r="Q168" s="235"/>
      <c r="R168" s="748"/>
      <c r="S168" s="235"/>
      <c r="T168" s="235"/>
      <c r="U168" s="235"/>
    </row>
    <row r="169" ht="15.75" customHeight="1">
      <c r="A169" s="425"/>
      <c r="B169" s="425"/>
      <c r="C169" s="425"/>
      <c r="D169" s="748"/>
      <c r="E169" s="235"/>
      <c r="F169" s="748"/>
      <c r="G169" s="235"/>
      <c r="H169" s="235"/>
      <c r="I169" s="235"/>
      <c r="J169" s="748"/>
      <c r="K169" s="235"/>
      <c r="L169" s="748"/>
      <c r="M169" s="235"/>
      <c r="N169" s="235"/>
      <c r="O169" s="235"/>
      <c r="P169" s="748"/>
      <c r="Q169" s="235"/>
      <c r="R169" s="748"/>
      <c r="S169" s="235"/>
      <c r="T169" s="235"/>
      <c r="U169" s="235"/>
    </row>
    <row r="170" ht="15.75" customHeight="1">
      <c r="A170" s="425"/>
      <c r="B170" s="425"/>
      <c r="C170" s="425"/>
      <c r="D170" s="748"/>
      <c r="E170" s="235"/>
      <c r="F170" s="748"/>
      <c r="G170" s="235"/>
      <c r="H170" s="235"/>
      <c r="I170" s="235"/>
      <c r="J170" s="748"/>
      <c r="K170" s="235"/>
      <c r="L170" s="748"/>
      <c r="M170" s="235"/>
      <c r="N170" s="235"/>
      <c r="O170" s="235"/>
      <c r="P170" s="748"/>
      <c r="Q170" s="235"/>
      <c r="R170" s="748"/>
      <c r="S170" s="235"/>
      <c r="T170" s="235"/>
      <c r="U170" s="235"/>
    </row>
    <row r="171" ht="15.75" customHeight="1">
      <c r="A171" s="425"/>
      <c r="B171" s="425"/>
      <c r="C171" s="425"/>
      <c r="D171" s="748"/>
      <c r="E171" s="235"/>
      <c r="F171" s="748"/>
      <c r="G171" s="235"/>
      <c r="H171" s="235"/>
      <c r="I171" s="235"/>
      <c r="J171" s="748"/>
      <c r="K171" s="235"/>
      <c r="L171" s="748"/>
      <c r="M171" s="235"/>
      <c r="N171" s="235"/>
      <c r="O171" s="235"/>
      <c r="P171" s="748"/>
      <c r="Q171" s="235"/>
      <c r="R171" s="748"/>
      <c r="S171" s="235"/>
      <c r="T171" s="235"/>
      <c r="U171" s="235"/>
    </row>
    <row r="172" ht="15.75" customHeight="1">
      <c r="A172" s="425"/>
      <c r="B172" s="425"/>
      <c r="C172" s="425"/>
      <c r="D172" s="748"/>
      <c r="E172" s="235"/>
      <c r="F172" s="748"/>
      <c r="G172" s="235"/>
      <c r="H172" s="235"/>
      <c r="I172" s="235"/>
      <c r="J172" s="748"/>
      <c r="K172" s="235"/>
      <c r="L172" s="748"/>
      <c r="M172" s="235"/>
      <c r="N172" s="235"/>
      <c r="O172" s="235"/>
      <c r="P172" s="748"/>
      <c r="Q172" s="235"/>
      <c r="R172" s="748"/>
      <c r="S172" s="235"/>
      <c r="T172" s="235"/>
      <c r="U172" s="235"/>
    </row>
    <row r="173" ht="15.75" customHeight="1">
      <c r="A173" s="425"/>
      <c r="B173" s="425"/>
      <c r="C173" s="425"/>
      <c r="D173" s="748"/>
      <c r="E173" s="235"/>
      <c r="F173" s="748"/>
      <c r="G173" s="235"/>
      <c r="H173" s="235"/>
      <c r="I173" s="235"/>
      <c r="J173" s="748"/>
      <c r="K173" s="235"/>
      <c r="L173" s="748"/>
      <c r="M173" s="235"/>
      <c r="N173" s="235"/>
      <c r="O173" s="235"/>
      <c r="P173" s="748"/>
      <c r="Q173" s="235"/>
      <c r="R173" s="748"/>
      <c r="S173" s="235"/>
      <c r="T173" s="235"/>
      <c r="U173" s="235"/>
    </row>
    <row r="174" ht="15.75" customHeight="1">
      <c r="A174" s="425"/>
      <c r="B174" s="425"/>
      <c r="C174" s="425"/>
      <c r="D174" s="748"/>
      <c r="E174" s="235"/>
      <c r="F174" s="748"/>
      <c r="G174" s="235"/>
      <c r="H174" s="235"/>
      <c r="I174" s="235"/>
      <c r="J174" s="748"/>
      <c r="K174" s="235"/>
      <c r="L174" s="748"/>
      <c r="M174" s="235"/>
      <c r="N174" s="235"/>
      <c r="O174" s="235"/>
      <c r="P174" s="748"/>
      <c r="Q174" s="235"/>
      <c r="R174" s="748"/>
      <c r="S174" s="235"/>
      <c r="T174" s="235"/>
      <c r="U174" s="235"/>
    </row>
    <row r="175" ht="15.75" customHeight="1">
      <c r="A175" s="425"/>
      <c r="B175" s="425"/>
      <c r="C175" s="425"/>
      <c r="D175" s="748"/>
      <c r="E175" s="235"/>
      <c r="F175" s="748"/>
      <c r="G175" s="235"/>
      <c r="H175" s="235"/>
      <c r="I175" s="235"/>
      <c r="J175" s="748"/>
      <c r="K175" s="235"/>
      <c r="L175" s="748"/>
      <c r="M175" s="235"/>
      <c r="N175" s="235"/>
      <c r="O175" s="235"/>
      <c r="P175" s="748"/>
      <c r="Q175" s="235"/>
      <c r="R175" s="748"/>
      <c r="S175" s="235"/>
      <c r="T175" s="235"/>
      <c r="U175" s="235"/>
    </row>
    <row r="176" ht="15.75" customHeight="1">
      <c r="A176" s="425"/>
      <c r="B176" s="425"/>
      <c r="C176" s="425"/>
      <c r="D176" s="748"/>
      <c r="E176" s="235"/>
      <c r="F176" s="748"/>
      <c r="G176" s="235"/>
      <c r="H176" s="235"/>
      <c r="I176" s="235"/>
      <c r="J176" s="748"/>
      <c r="K176" s="235"/>
      <c r="L176" s="748"/>
      <c r="M176" s="235"/>
      <c r="N176" s="235"/>
      <c r="O176" s="235"/>
      <c r="P176" s="748"/>
      <c r="Q176" s="235"/>
      <c r="R176" s="748"/>
      <c r="S176" s="235"/>
      <c r="T176" s="235"/>
      <c r="U176" s="235"/>
    </row>
    <row r="177" ht="15.75" customHeight="1">
      <c r="A177" s="425"/>
      <c r="B177" s="425"/>
      <c r="C177" s="425"/>
      <c r="D177" s="748"/>
      <c r="E177" s="235"/>
      <c r="F177" s="748"/>
      <c r="G177" s="235"/>
      <c r="H177" s="235"/>
      <c r="I177" s="235"/>
      <c r="J177" s="748"/>
      <c r="K177" s="235"/>
      <c r="L177" s="748"/>
      <c r="M177" s="235"/>
      <c r="N177" s="235"/>
      <c r="O177" s="235"/>
      <c r="P177" s="748"/>
      <c r="Q177" s="235"/>
      <c r="R177" s="748"/>
      <c r="S177" s="235"/>
      <c r="T177" s="235"/>
      <c r="U177" s="235"/>
    </row>
    <row r="178" ht="15.75" customHeight="1">
      <c r="A178" s="425"/>
      <c r="B178" s="425"/>
      <c r="C178" s="425"/>
      <c r="D178" s="748"/>
      <c r="E178" s="235"/>
      <c r="F178" s="748"/>
      <c r="G178" s="235"/>
      <c r="H178" s="235"/>
      <c r="I178" s="235"/>
      <c r="J178" s="748"/>
      <c r="K178" s="235"/>
      <c r="L178" s="748"/>
      <c r="M178" s="235"/>
      <c r="N178" s="235"/>
      <c r="O178" s="235"/>
      <c r="P178" s="748"/>
      <c r="Q178" s="235"/>
      <c r="R178" s="748"/>
      <c r="S178" s="235"/>
      <c r="T178" s="235"/>
      <c r="U178" s="235"/>
    </row>
    <row r="179" ht="15.75" customHeight="1">
      <c r="A179" s="425"/>
      <c r="B179" s="425"/>
      <c r="C179" s="425"/>
      <c r="D179" s="748"/>
      <c r="E179" s="235"/>
      <c r="F179" s="748"/>
      <c r="G179" s="235"/>
      <c r="H179" s="235"/>
      <c r="I179" s="235"/>
      <c r="J179" s="748"/>
      <c r="K179" s="235"/>
      <c r="L179" s="748"/>
      <c r="M179" s="235"/>
      <c r="N179" s="235"/>
      <c r="O179" s="235"/>
      <c r="P179" s="748"/>
      <c r="Q179" s="235"/>
      <c r="R179" s="748"/>
      <c r="S179" s="235"/>
      <c r="T179" s="235"/>
      <c r="U179" s="235"/>
    </row>
    <row r="180" ht="15.75" customHeight="1">
      <c r="A180" s="425"/>
      <c r="B180" s="425"/>
      <c r="C180" s="425"/>
      <c r="D180" s="748"/>
      <c r="E180" s="235"/>
      <c r="F180" s="748"/>
      <c r="G180" s="235"/>
      <c r="H180" s="235"/>
      <c r="I180" s="235"/>
      <c r="J180" s="748"/>
      <c r="K180" s="235"/>
      <c r="L180" s="748"/>
      <c r="M180" s="235"/>
      <c r="N180" s="235"/>
      <c r="O180" s="235"/>
      <c r="P180" s="748"/>
      <c r="Q180" s="235"/>
      <c r="R180" s="748"/>
      <c r="S180" s="235"/>
      <c r="T180" s="235"/>
      <c r="U180" s="235"/>
    </row>
    <row r="181" ht="15.75" customHeight="1">
      <c r="A181" s="425"/>
      <c r="B181" s="425"/>
      <c r="C181" s="425"/>
      <c r="D181" s="748"/>
      <c r="E181" s="235"/>
      <c r="F181" s="748"/>
      <c r="G181" s="235"/>
      <c r="H181" s="235"/>
      <c r="I181" s="235"/>
      <c r="J181" s="748"/>
      <c r="K181" s="235"/>
      <c r="L181" s="748"/>
      <c r="M181" s="235"/>
      <c r="N181" s="235"/>
      <c r="O181" s="235"/>
      <c r="P181" s="748"/>
      <c r="Q181" s="235"/>
      <c r="R181" s="748"/>
      <c r="S181" s="235"/>
      <c r="T181" s="235"/>
      <c r="U181" s="235"/>
    </row>
    <row r="182" ht="15.75" customHeight="1">
      <c r="A182" s="425"/>
      <c r="B182" s="425"/>
      <c r="C182" s="425"/>
      <c r="D182" s="748"/>
      <c r="E182" s="235"/>
      <c r="F182" s="748"/>
      <c r="G182" s="235"/>
      <c r="H182" s="235"/>
      <c r="I182" s="235"/>
      <c r="J182" s="748"/>
      <c r="K182" s="235"/>
      <c r="L182" s="748"/>
      <c r="M182" s="235"/>
      <c r="N182" s="235"/>
      <c r="O182" s="235"/>
      <c r="P182" s="748"/>
      <c r="Q182" s="235"/>
      <c r="R182" s="748"/>
      <c r="S182" s="235"/>
      <c r="T182" s="235"/>
      <c r="U182" s="235"/>
    </row>
    <row r="183" ht="15.75" customHeight="1">
      <c r="A183" s="425"/>
      <c r="B183" s="425"/>
      <c r="C183" s="425"/>
      <c r="D183" s="511"/>
      <c r="E183" s="425"/>
      <c r="F183" s="511"/>
      <c r="G183" s="425"/>
      <c r="H183" s="425"/>
      <c r="I183" s="425"/>
      <c r="J183" s="511"/>
      <c r="K183" s="425"/>
      <c r="L183" s="511"/>
      <c r="M183" s="425"/>
      <c r="N183" s="425"/>
      <c r="O183" s="425"/>
      <c r="P183" s="511"/>
      <c r="Q183" s="425"/>
      <c r="R183" s="511"/>
      <c r="S183" s="425"/>
      <c r="T183" s="425"/>
      <c r="U183" s="425"/>
    </row>
    <row r="184" ht="15.75" customHeight="1">
      <c r="A184" s="425"/>
      <c r="B184" s="425"/>
      <c r="C184" s="425"/>
      <c r="D184" s="511"/>
      <c r="E184" s="425"/>
      <c r="F184" s="511"/>
      <c r="G184" s="425"/>
      <c r="H184" s="425"/>
      <c r="I184" s="425"/>
      <c r="J184" s="511"/>
      <c r="K184" s="425"/>
      <c r="L184" s="511"/>
      <c r="M184" s="425"/>
      <c r="N184" s="425"/>
      <c r="O184" s="425"/>
      <c r="P184" s="511"/>
      <c r="Q184" s="425"/>
      <c r="R184" s="511"/>
      <c r="S184" s="425"/>
      <c r="T184" s="425"/>
      <c r="U184" s="425"/>
    </row>
    <row r="185" ht="15.75" customHeight="1">
      <c r="A185" s="425"/>
      <c r="B185" s="425"/>
      <c r="C185" s="425"/>
      <c r="D185" s="511"/>
      <c r="E185" s="425"/>
      <c r="F185" s="511"/>
      <c r="G185" s="425"/>
      <c r="H185" s="425"/>
      <c r="I185" s="425"/>
      <c r="J185" s="511"/>
      <c r="K185" s="425"/>
      <c r="L185" s="511"/>
      <c r="M185" s="425"/>
      <c r="N185" s="425"/>
      <c r="O185" s="425"/>
      <c r="P185" s="511"/>
      <c r="Q185" s="425"/>
      <c r="R185" s="511"/>
      <c r="S185" s="425"/>
      <c r="T185" s="425"/>
      <c r="U185" s="425"/>
    </row>
    <row r="186" ht="15.75" customHeight="1">
      <c r="A186" s="425"/>
      <c r="B186" s="425"/>
      <c r="C186" s="425"/>
      <c r="D186" s="511"/>
      <c r="E186" s="425"/>
      <c r="F186" s="511"/>
      <c r="G186" s="425"/>
      <c r="H186" s="425"/>
      <c r="I186" s="425"/>
      <c r="J186" s="511"/>
      <c r="K186" s="425"/>
      <c r="L186" s="511"/>
      <c r="M186" s="425"/>
      <c r="N186" s="425"/>
      <c r="O186" s="425"/>
      <c r="P186" s="511"/>
      <c r="Q186" s="425"/>
      <c r="R186" s="511"/>
      <c r="S186" s="425"/>
      <c r="T186" s="425"/>
      <c r="U186" s="425"/>
    </row>
    <row r="187" ht="15.75" customHeight="1">
      <c r="A187" s="425"/>
      <c r="B187" s="425"/>
      <c r="C187" s="425"/>
      <c r="D187" s="511"/>
      <c r="E187" s="425"/>
      <c r="F187" s="511"/>
      <c r="G187" s="425"/>
      <c r="H187" s="425"/>
      <c r="I187" s="425"/>
      <c r="J187" s="511"/>
      <c r="K187" s="425"/>
      <c r="L187" s="511"/>
      <c r="M187" s="425"/>
      <c r="N187" s="425"/>
      <c r="O187" s="425"/>
      <c r="P187" s="511"/>
      <c r="Q187" s="425"/>
      <c r="R187" s="511"/>
      <c r="S187" s="425"/>
      <c r="T187" s="425"/>
      <c r="U187" s="425"/>
    </row>
    <row r="188" ht="15.75" customHeight="1">
      <c r="A188" s="425"/>
      <c r="B188" s="425"/>
      <c r="C188" s="425"/>
      <c r="D188" s="511"/>
      <c r="E188" s="425"/>
      <c r="F188" s="511"/>
      <c r="G188" s="425"/>
      <c r="H188" s="425"/>
      <c r="I188" s="425"/>
      <c r="J188" s="511"/>
      <c r="K188" s="425"/>
      <c r="L188" s="511"/>
      <c r="M188" s="425"/>
      <c r="N188" s="425"/>
      <c r="O188" s="425"/>
      <c r="P188" s="511"/>
      <c r="Q188" s="425"/>
      <c r="R188" s="511"/>
      <c r="S188" s="425"/>
      <c r="T188" s="425"/>
      <c r="U188" s="425"/>
    </row>
    <row r="189" ht="15.75" customHeight="1">
      <c r="A189" s="425"/>
      <c r="B189" s="425"/>
      <c r="C189" s="425"/>
      <c r="D189" s="511"/>
      <c r="E189" s="425"/>
      <c r="F189" s="511"/>
      <c r="G189" s="425"/>
      <c r="H189" s="425"/>
      <c r="I189" s="425"/>
      <c r="J189" s="511"/>
      <c r="K189" s="425"/>
      <c r="L189" s="511"/>
      <c r="M189" s="425"/>
      <c r="N189" s="425"/>
      <c r="O189" s="425"/>
      <c r="P189" s="511"/>
      <c r="Q189" s="425"/>
      <c r="R189" s="511"/>
      <c r="S189" s="425"/>
      <c r="T189" s="425"/>
      <c r="U189" s="425"/>
    </row>
    <row r="190" ht="15.75" customHeight="1">
      <c r="A190" s="425"/>
      <c r="B190" s="425"/>
      <c r="C190" s="425"/>
      <c r="D190" s="511"/>
      <c r="E190" s="425"/>
      <c r="F190" s="511"/>
      <c r="G190" s="425"/>
      <c r="H190" s="425"/>
      <c r="I190" s="425"/>
      <c r="J190" s="511"/>
      <c r="K190" s="425"/>
      <c r="L190" s="511"/>
      <c r="M190" s="425"/>
      <c r="N190" s="425"/>
      <c r="O190" s="425"/>
      <c r="P190" s="511"/>
      <c r="Q190" s="425"/>
      <c r="R190" s="511"/>
      <c r="S190" s="425"/>
      <c r="T190" s="425"/>
      <c r="U190" s="425"/>
    </row>
    <row r="191" ht="15.75" customHeight="1">
      <c r="A191" s="425"/>
      <c r="B191" s="425"/>
      <c r="C191" s="425"/>
      <c r="D191" s="511"/>
      <c r="E191" s="425"/>
      <c r="F191" s="511"/>
      <c r="G191" s="425"/>
      <c r="H191" s="425"/>
      <c r="I191" s="425"/>
      <c r="J191" s="511"/>
      <c r="K191" s="425"/>
      <c r="L191" s="511"/>
      <c r="M191" s="425"/>
      <c r="N191" s="425"/>
      <c r="O191" s="425"/>
      <c r="P191" s="511"/>
      <c r="Q191" s="425"/>
      <c r="R191" s="511"/>
      <c r="S191" s="425"/>
      <c r="T191" s="425"/>
      <c r="U191" s="425"/>
    </row>
    <row r="192" ht="15.75" customHeight="1">
      <c r="A192" s="425"/>
      <c r="B192" s="425"/>
      <c r="C192" s="425"/>
      <c r="D192" s="511"/>
      <c r="E192" s="425"/>
      <c r="F192" s="511"/>
      <c r="G192" s="425"/>
      <c r="H192" s="425"/>
      <c r="I192" s="425"/>
      <c r="J192" s="511"/>
      <c r="K192" s="425"/>
      <c r="L192" s="511"/>
      <c r="M192" s="425"/>
      <c r="N192" s="425"/>
      <c r="O192" s="425"/>
      <c r="P192" s="511"/>
      <c r="Q192" s="425"/>
      <c r="R192" s="511"/>
      <c r="S192" s="425"/>
      <c r="T192" s="425"/>
      <c r="U192" s="425"/>
    </row>
    <row r="193" ht="15.75" customHeight="1">
      <c r="A193" s="425"/>
      <c r="B193" s="425"/>
      <c r="C193" s="425"/>
      <c r="D193" s="511"/>
      <c r="E193" s="425"/>
      <c r="F193" s="511"/>
      <c r="G193" s="425"/>
      <c r="H193" s="425"/>
      <c r="I193" s="425"/>
      <c r="J193" s="511"/>
      <c r="K193" s="425"/>
      <c r="L193" s="511"/>
      <c r="M193" s="425"/>
      <c r="N193" s="425"/>
      <c r="O193" s="425"/>
      <c r="P193" s="511"/>
      <c r="Q193" s="425"/>
      <c r="R193" s="511"/>
      <c r="S193" s="425"/>
      <c r="T193" s="425"/>
      <c r="U193" s="425"/>
    </row>
    <row r="194" ht="15.75" customHeight="1">
      <c r="A194" s="425"/>
      <c r="B194" s="425"/>
      <c r="C194" s="425"/>
      <c r="D194" s="511"/>
      <c r="E194" s="425"/>
      <c r="F194" s="511"/>
      <c r="G194" s="425"/>
      <c r="H194" s="425"/>
      <c r="I194" s="425"/>
      <c r="J194" s="511"/>
      <c r="K194" s="425"/>
      <c r="L194" s="511"/>
      <c r="M194" s="425"/>
      <c r="N194" s="425"/>
      <c r="O194" s="425"/>
      <c r="P194" s="511"/>
      <c r="Q194" s="425"/>
      <c r="R194" s="511"/>
      <c r="S194" s="425"/>
      <c r="T194" s="425"/>
      <c r="U194" s="425"/>
    </row>
    <row r="195" ht="15.75" customHeight="1">
      <c r="A195" s="425"/>
      <c r="B195" s="425"/>
      <c r="C195" s="425"/>
      <c r="D195" s="511"/>
      <c r="E195" s="425"/>
      <c r="F195" s="511"/>
      <c r="G195" s="425"/>
      <c r="H195" s="425"/>
      <c r="I195" s="425"/>
      <c r="J195" s="511"/>
      <c r="K195" s="425"/>
      <c r="L195" s="511"/>
      <c r="M195" s="425"/>
      <c r="N195" s="425"/>
      <c r="O195" s="425"/>
      <c r="P195" s="511"/>
      <c r="Q195" s="425"/>
      <c r="R195" s="511"/>
      <c r="S195" s="425"/>
      <c r="T195" s="425"/>
      <c r="U195" s="425"/>
    </row>
    <row r="196" ht="15.75" customHeight="1">
      <c r="A196" s="425"/>
      <c r="B196" s="425"/>
      <c r="C196" s="425"/>
      <c r="D196" s="511"/>
      <c r="E196" s="425"/>
      <c r="F196" s="511"/>
      <c r="G196" s="425"/>
      <c r="H196" s="425"/>
      <c r="I196" s="425"/>
      <c r="J196" s="511"/>
      <c r="K196" s="425"/>
      <c r="L196" s="511"/>
      <c r="M196" s="425"/>
      <c r="N196" s="425"/>
      <c r="O196" s="425"/>
      <c r="P196" s="511"/>
      <c r="Q196" s="425"/>
      <c r="R196" s="511"/>
      <c r="S196" s="425"/>
      <c r="T196" s="425"/>
      <c r="U196" s="425"/>
    </row>
    <row r="197" ht="15.75" customHeight="1">
      <c r="A197" s="425"/>
      <c r="B197" s="425"/>
      <c r="C197" s="425"/>
      <c r="D197" s="511"/>
      <c r="E197" s="425"/>
      <c r="F197" s="511"/>
      <c r="G197" s="425"/>
      <c r="H197" s="425"/>
      <c r="I197" s="425"/>
      <c r="J197" s="511"/>
      <c r="K197" s="425"/>
      <c r="L197" s="511"/>
      <c r="M197" s="425"/>
      <c r="N197" s="425"/>
      <c r="O197" s="425"/>
      <c r="P197" s="511"/>
      <c r="Q197" s="425"/>
      <c r="R197" s="511"/>
      <c r="S197" s="425"/>
      <c r="T197" s="425"/>
      <c r="U197" s="425"/>
    </row>
    <row r="198" ht="15.75" customHeight="1">
      <c r="A198" s="425"/>
      <c r="B198" s="425"/>
      <c r="C198" s="425"/>
      <c r="D198" s="511"/>
      <c r="E198" s="425"/>
      <c r="F198" s="511"/>
      <c r="G198" s="425"/>
      <c r="H198" s="425"/>
      <c r="I198" s="425"/>
      <c r="J198" s="511"/>
      <c r="K198" s="425"/>
      <c r="L198" s="511"/>
      <c r="M198" s="425"/>
      <c r="N198" s="425"/>
      <c r="O198" s="425"/>
      <c r="P198" s="511"/>
      <c r="Q198" s="425"/>
      <c r="R198" s="511"/>
      <c r="S198" s="425"/>
      <c r="T198" s="425"/>
      <c r="U198" s="425"/>
    </row>
    <row r="199" ht="15.75" customHeight="1">
      <c r="A199" s="425"/>
      <c r="B199" s="425"/>
      <c r="C199" s="425"/>
      <c r="D199" s="511"/>
      <c r="E199" s="425"/>
      <c r="F199" s="511"/>
      <c r="G199" s="425"/>
      <c r="H199" s="425"/>
      <c r="I199" s="425"/>
      <c r="J199" s="511"/>
      <c r="K199" s="425"/>
      <c r="L199" s="511"/>
      <c r="M199" s="425"/>
      <c r="N199" s="425"/>
      <c r="O199" s="425"/>
      <c r="P199" s="511"/>
      <c r="Q199" s="425"/>
      <c r="R199" s="511"/>
      <c r="S199" s="425"/>
      <c r="T199" s="425"/>
      <c r="U199" s="425"/>
    </row>
    <row r="200" ht="15.75" customHeight="1">
      <c r="A200" s="425"/>
      <c r="B200" s="425"/>
      <c r="C200" s="425"/>
      <c r="D200" s="511"/>
      <c r="E200" s="425"/>
      <c r="F200" s="511"/>
      <c r="G200" s="425"/>
      <c r="H200" s="425"/>
      <c r="I200" s="425"/>
      <c r="J200" s="511"/>
      <c r="K200" s="425"/>
      <c r="L200" s="511"/>
      <c r="M200" s="425"/>
      <c r="N200" s="425"/>
      <c r="O200" s="425"/>
      <c r="P200" s="511"/>
      <c r="Q200" s="425"/>
      <c r="R200" s="511"/>
      <c r="S200" s="425"/>
      <c r="T200" s="425"/>
      <c r="U200" s="425"/>
    </row>
    <row r="201" ht="15.75" customHeight="1">
      <c r="A201" s="425"/>
      <c r="B201" s="425"/>
      <c r="C201" s="425"/>
      <c r="D201" s="511"/>
      <c r="E201" s="425"/>
      <c r="F201" s="511"/>
      <c r="G201" s="425"/>
      <c r="H201" s="425"/>
      <c r="I201" s="425"/>
      <c r="J201" s="511"/>
      <c r="K201" s="425"/>
      <c r="L201" s="511"/>
      <c r="M201" s="425"/>
      <c r="N201" s="425"/>
      <c r="O201" s="425"/>
      <c r="P201" s="511"/>
      <c r="Q201" s="425"/>
      <c r="R201" s="511"/>
      <c r="S201" s="425"/>
      <c r="T201" s="425"/>
      <c r="U201" s="425"/>
    </row>
    <row r="202" ht="15.75" customHeight="1">
      <c r="A202" s="425"/>
      <c r="B202" s="425"/>
      <c r="C202" s="425"/>
      <c r="D202" s="511"/>
      <c r="E202" s="425"/>
      <c r="F202" s="511"/>
      <c r="G202" s="425"/>
      <c r="H202" s="425"/>
      <c r="I202" s="425"/>
      <c r="J202" s="511"/>
      <c r="K202" s="425"/>
      <c r="L202" s="511"/>
      <c r="M202" s="425"/>
      <c r="N202" s="425"/>
      <c r="O202" s="425"/>
      <c r="P202" s="511"/>
      <c r="Q202" s="425"/>
      <c r="R202" s="511"/>
      <c r="S202" s="425"/>
      <c r="T202" s="425"/>
      <c r="U202" s="425"/>
    </row>
    <row r="203" ht="15.75" customHeight="1">
      <c r="A203" s="425"/>
      <c r="B203" s="425"/>
      <c r="C203" s="425"/>
      <c r="D203" s="511"/>
      <c r="E203" s="425"/>
      <c r="F203" s="511"/>
      <c r="G203" s="425"/>
      <c r="H203" s="425"/>
      <c r="I203" s="425"/>
      <c r="J203" s="511"/>
      <c r="K203" s="425"/>
      <c r="L203" s="511"/>
      <c r="M203" s="425"/>
      <c r="N203" s="425"/>
      <c r="O203" s="425"/>
      <c r="P203" s="511"/>
      <c r="Q203" s="425"/>
      <c r="R203" s="511"/>
      <c r="S203" s="425"/>
      <c r="T203" s="425"/>
      <c r="U203" s="425"/>
    </row>
    <row r="204" ht="15.75" customHeight="1">
      <c r="A204" s="425"/>
      <c r="B204" s="425"/>
      <c r="C204" s="425"/>
      <c r="D204" s="511"/>
      <c r="E204" s="425"/>
      <c r="F204" s="511"/>
      <c r="G204" s="425"/>
      <c r="H204" s="425"/>
      <c r="I204" s="425"/>
      <c r="J204" s="511"/>
      <c r="K204" s="425"/>
      <c r="L204" s="511"/>
      <c r="M204" s="425"/>
      <c r="N204" s="425"/>
      <c r="O204" s="425"/>
      <c r="P204" s="511"/>
      <c r="Q204" s="425"/>
      <c r="R204" s="511"/>
      <c r="S204" s="425"/>
      <c r="T204" s="425"/>
      <c r="U204" s="425"/>
    </row>
    <row r="205" ht="15.75" customHeight="1">
      <c r="A205" s="425"/>
      <c r="B205" s="425"/>
      <c r="C205" s="425"/>
      <c r="D205" s="511"/>
      <c r="E205" s="425"/>
      <c r="F205" s="511"/>
      <c r="G205" s="425"/>
      <c r="H205" s="425"/>
      <c r="I205" s="425"/>
      <c r="J205" s="511"/>
      <c r="K205" s="425"/>
      <c r="L205" s="511"/>
      <c r="M205" s="425"/>
      <c r="N205" s="425"/>
      <c r="O205" s="425"/>
      <c r="P205" s="511"/>
      <c r="Q205" s="425"/>
      <c r="R205" s="511"/>
      <c r="S205" s="425"/>
      <c r="T205" s="425"/>
      <c r="U205" s="425"/>
    </row>
    <row r="206" ht="15.75" customHeight="1">
      <c r="A206" s="425"/>
      <c r="B206" s="425"/>
      <c r="C206" s="425"/>
      <c r="D206" s="511"/>
      <c r="E206" s="425"/>
      <c r="F206" s="511"/>
      <c r="G206" s="425"/>
      <c r="H206" s="425"/>
      <c r="I206" s="425"/>
      <c r="J206" s="511"/>
      <c r="K206" s="425"/>
      <c r="L206" s="511"/>
      <c r="M206" s="425"/>
      <c r="N206" s="425"/>
      <c r="O206" s="425"/>
      <c r="P206" s="511"/>
      <c r="Q206" s="425"/>
      <c r="R206" s="511"/>
      <c r="S206" s="425"/>
      <c r="T206" s="425"/>
      <c r="U206" s="425"/>
    </row>
    <row r="207" ht="15.75" customHeight="1">
      <c r="A207" s="425"/>
      <c r="B207" s="425"/>
      <c r="C207" s="425"/>
      <c r="D207" s="511"/>
      <c r="E207" s="425"/>
      <c r="F207" s="511"/>
      <c r="G207" s="425"/>
      <c r="H207" s="425"/>
      <c r="I207" s="425"/>
      <c r="J207" s="511"/>
      <c r="K207" s="425"/>
      <c r="L207" s="511"/>
      <c r="M207" s="425"/>
      <c r="N207" s="425"/>
      <c r="O207" s="425"/>
      <c r="P207" s="511"/>
      <c r="Q207" s="425"/>
      <c r="R207" s="511"/>
      <c r="S207" s="425"/>
      <c r="T207" s="425"/>
      <c r="U207" s="425"/>
    </row>
    <row r="208" ht="15.75" customHeight="1">
      <c r="A208" s="425"/>
      <c r="B208" s="425"/>
      <c r="C208" s="425"/>
      <c r="D208" s="511"/>
      <c r="E208" s="425"/>
      <c r="F208" s="511"/>
      <c r="G208" s="425"/>
      <c r="H208" s="425"/>
      <c r="I208" s="425"/>
      <c r="J208" s="511"/>
      <c r="K208" s="425"/>
      <c r="L208" s="511"/>
      <c r="M208" s="425"/>
      <c r="N208" s="425"/>
      <c r="O208" s="425"/>
      <c r="P208" s="511"/>
      <c r="Q208" s="425"/>
      <c r="R208" s="511"/>
      <c r="S208" s="425"/>
      <c r="T208" s="425"/>
      <c r="U208" s="425"/>
    </row>
    <row r="209" ht="15.75" customHeight="1">
      <c r="A209" s="425"/>
      <c r="B209" s="425"/>
      <c r="C209" s="425"/>
      <c r="D209" s="511"/>
      <c r="E209" s="425"/>
      <c r="F209" s="511"/>
      <c r="G209" s="425"/>
      <c r="H209" s="425"/>
      <c r="I209" s="425"/>
      <c r="J209" s="511"/>
      <c r="K209" s="425"/>
      <c r="L209" s="511"/>
      <c r="M209" s="425"/>
      <c r="N209" s="425"/>
      <c r="O209" s="425"/>
      <c r="P209" s="511"/>
      <c r="Q209" s="425"/>
      <c r="R209" s="511"/>
      <c r="S209" s="425"/>
      <c r="T209" s="425"/>
      <c r="U209" s="425"/>
    </row>
    <row r="210" ht="15.75" customHeight="1">
      <c r="A210" s="425"/>
      <c r="B210" s="425"/>
      <c r="C210" s="425"/>
      <c r="D210" s="511"/>
      <c r="E210" s="425"/>
      <c r="F210" s="511"/>
      <c r="G210" s="425"/>
      <c r="H210" s="425"/>
      <c r="I210" s="425"/>
      <c r="J210" s="511"/>
      <c r="K210" s="425"/>
      <c r="L210" s="511"/>
      <c r="M210" s="425"/>
      <c r="N210" s="425"/>
      <c r="O210" s="425"/>
      <c r="P210" s="511"/>
      <c r="Q210" s="425"/>
      <c r="R210" s="511"/>
      <c r="S210" s="425"/>
      <c r="T210" s="425"/>
      <c r="U210" s="425"/>
    </row>
    <row r="211" ht="15.75" customHeight="1">
      <c r="A211" s="425"/>
      <c r="B211" s="425"/>
      <c r="C211" s="425"/>
      <c r="D211" s="511"/>
      <c r="E211" s="425"/>
      <c r="F211" s="511"/>
      <c r="G211" s="425"/>
      <c r="H211" s="425"/>
      <c r="I211" s="425"/>
      <c r="J211" s="511"/>
      <c r="K211" s="425"/>
      <c r="L211" s="511"/>
      <c r="M211" s="425"/>
      <c r="N211" s="425"/>
      <c r="O211" s="425"/>
      <c r="P211" s="511"/>
      <c r="Q211" s="425"/>
      <c r="R211" s="511"/>
      <c r="S211" s="425"/>
      <c r="T211" s="425"/>
      <c r="U211" s="425"/>
    </row>
    <row r="212" ht="15.75" customHeight="1">
      <c r="A212" s="425"/>
      <c r="B212" s="425"/>
      <c r="C212" s="425"/>
      <c r="D212" s="511"/>
      <c r="E212" s="425"/>
      <c r="F212" s="511"/>
      <c r="G212" s="425"/>
      <c r="H212" s="425"/>
      <c r="I212" s="425"/>
      <c r="J212" s="511"/>
      <c r="K212" s="425"/>
      <c r="L212" s="511"/>
      <c r="M212" s="425"/>
      <c r="N212" s="425"/>
      <c r="O212" s="425"/>
      <c r="P212" s="511"/>
      <c r="Q212" s="425"/>
      <c r="R212" s="511"/>
      <c r="S212" s="425"/>
      <c r="T212" s="425"/>
      <c r="U212" s="425"/>
    </row>
    <row r="213" ht="15.75" customHeight="1">
      <c r="A213" s="425"/>
      <c r="B213" s="425"/>
      <c r="C213" s="425"/>
      <c r="D213" s="511"/>
      <c r="E213" s="425"/>
      <c r="F213" s="511"/>
      <c r="G213" s="425"/>
      <c r="H213" s="425"/>
      <c r="I213" s="425"/>
      <c r="J213" s="511"/>
      <c r="K213" s="425"/>
      <c r="L213" s="511"/>
      <c r="M213" s="425"/>
      <c r="N213" s="425"/>
      <c r="O213" s="425"/>
      <c r="P213" s="511"/>
      <c r="Q213" s="425"/>
      <c r="R213" s="511"/>
      <c r="S213" s="425"/>
      <c r="T213" s="425"/>
      <c r="U213" s="425"/>
    </row>
    <row r="214" ht="15.75" customHeight="1">
      <c r="A214" s="425"/>
      <c r="B214" s="425"/>
      <c r="C214" s="425"/>
      <c r="D214" s="511"/>
      <c r="E214" s="425"/>
      <c r="F214" s="511"/>
      <c r="G214" s="425"/>
      <c r="H214" s="425"/>
      <c r="I214" s="425"/>
      <c r="J214" s="511"/>
      <c r="K214" s="425"/>
      <c r="L214" s="511"/>
      <c r="M214" s="425"/>
      <c r="N214" s="425"/>
      <c r="O214" s="425"/>
      <c r="P214" s="511"/>
      <c r="Q214" s="425"/>
      <c r="R214" s="511"/>
      <c r="S214" s="425"/>
      <c r="T214" s="425"/>
      <c r="U214" s="425"/>
    </row>
    <row r="215" ht="15.75" customHeight="1">
      <c r="A215" s="425"/>
      <c r="B215" s="425"/>
      <c r="C215" s="425"/>
      <c r="D215" s="511"/>
      <c r="E215" s="425"/>
      <c r="F215" s="511"/>
      <c r="G215" s="425"/>
      <c r="H215" s="425"/>
      <c r="I215" s="425"/>
      <c r="J215" s="511"/>
      <c r="K215" s="425"/>
      <c r="L215" s="511"/>
      <c r="M215" s="425"/>
      <c r="N215" s="425"/>
      <c r="O215" s="425"/>
      <c r="P215" s="511"/>
      <c r="Q215" s="425"/>
      <c r="R215" s="511"/>
      <c r="S215" s="425"/>
      <c r="T215" s="425"/>
      <c r="U215" s="425"/>
    </row>
    <row r="216" ht="15.75" customHeight="1">
      <c r="A216" s="425"/>
      <c r="B216" s="425"/>
      <c r="C216" s="425"/>
      <c r="D216" s="511"/>
      <c r="E216" s="425"/>
      <c r="F216" s="511"/>
      <c r="G216" s="425"/>
      <c r="H216" s="425"/>
      <c r="I216" s="425"/>
      <c r="J216" s="511"/>
      <c r="K216" s="425"/>
      <c r="L216" s="511"/>
      <c r="M216" s="425"/>
      <c r="N216" s="425"/>
      <c r="O216" s="425"/>
      <c r="P216" s="511"/>
      <c r="Q216" s="425"/>
      <c r="R216" s="511"/>
      <c r="S216" s="425"/>
      <c r="T216" s="425"/>
      <c r="U216" s="425"/>
    </row>
    <row r="217" ht="15.75" customHeight="1">
      <c r="A217" s="425"/>
      <c r="B217" s="425"/>
      <c r="C217" s="425"/>
      <c r="D217" s="511"/>
      <c r="E217" s="425"/>
      <c r="F217" s="511"/>
      <c r="G217" s="425"/>
      <c r="H217" s="425"/>
      <c r="I217" s="425"/>
      <c r="J217" s="511"/>
      <c r="K217" s="425"/>
      <c r="L217" s="511"/>
      <c r="M217" s="425"/>
      <c r="N217" s="425"/>
      <c r="O217" s="425"/>
      <c r="P217" s="511"/>
      <c r="Q217" s="425"/>
      <c r="R217" s="511"/>
      <c r="S217" s="425"/>
      <c r="T217" s="425"/>
      <c r="U217" s="425"/>
    </row>
    <row r="218" ht="15.75" customHeight="1">
      <c r="A218" s="425"/>
      <c r="B218" s="425"/>
      <c r="C218" s="425"/>
      <c r="D218" s="511"/>
      <c r="E218" s="425"/>
      <c r="F218" s="511"/>
      <c r="G218" s="425"/>
      <c r="H218" s="425"/>
      <c r="I218" s="425"/>
      <c r="J218" s="511"/>
      <c r="K218" s="425"/>
      <c r="L218" s="511"/>
      <c r="M218" s="425"/>
      <c r="N218" s="425"/>
      <c r="O218" s="425"/>
      <c r="P218" s="511"/>
      <c r="Q218" s="425"/>
      <c r="R218" s="511"/>
      <c r="S218" s="425"/>
      <c r="T218" s="425"/>
      <c r="U218" s="425"/>
    </row>
    <row r="219" ht="15.75" customHeight="1">
      <c r="A219" s="425"/>
      <c r="B219" s="425"/>
      <c r="C219" s="425"/>
      <c r="D219" s="511"/>
      <c r="E219" s="425"/>
      <c r="F219" s="511"/>
      <c r="G219" s="425"/>
      <c r="H219" s="425"/>
      <c r="I219" s="425"/>
      <c r="J219" s="511"/>
      <c r="K219" s="425"/>
      <c r="L219" s="511"/>
      <c r="M219" s="425"/>
      <c r="N219" s="425"/>
      <c r="O219" s="425"/>
      <c r="P219" s="511"/>
      <c r="Q219" s="425"/>
      <c r="R219" s="511"/>
      <c r="S219" s="425"/>
      <c r="T219" s="425"/>
      <c r="U219" s="425"/>
    </row>
    <row r="220" ht="15.75" customHeight="1">
      <c r="A220" s="425"/>
      <c r="B220" s="425"/>
      <c r="C220" s="425"/>
      <c r="D220" s="511"/>
      <c r="E220" s="425"/>
      <c r="F220" s="511"/>
      <c r="G220" s="425"/>
      <c r="H220" s="425"/>
      <c r="I220" s="425"/>
      <c r="J220" s="511"/>
      <c r="K220" s="425"/>
      <c r="L220" s="511"/>
      <c r="M220" s="425"/>
      <c r="N220" s="425"/>
      <c r="O220" s="425"/>
      <c r="P220" s="511"/>
      <c r="Q220" s="425"/>
      <c r="R220" s="511"/>
      <c r="S220" s="425"/>
      <c r="T220" s="425"/>
      <c r="U220" s="425"/>
    </row>
    <row r="221" ht="15.75" customHeight="1">
      <c r="A221" s="425"/>
      <c r="B221" s="425"/>
      <c r="C221" s="425"/>
      <c r="D221" s="511"/>
      <c r="E221" s="425"/>
      <c r="F221" s="511"/>
      <c r="G221" s="425"/>
      <c r="H221" s="425"/>
      <c r="I221" s="425"/>
      <c r="J221" s="511"/>
      <c r="K221" s="425"/>
      <c r="L221" s="511"/>
      <c r="M221" s="425"/>
      <c r="N221" s="425"/>
      <c r="O221" s="425"/>
      <c r="P221" s="511"/>
      <c r="Q221" s="425"/>
      <c r="R221" s="511"/>
      <c r="S221" s="425"/>
      <c r="T221" s="425"/>
      <c r="U221" s="425"/>
    </row>
    <row r="222" ht="15.75" customHeight="1">
      <c r="A222" s="425"/>
      <c r="B222" s="425"/>
      <c r="C222" s="425"/>
      <c r="D222" s="511"/>
      <c r="E222" s="425"/>
      <c r="F222" s="511"/>
      <c r="G222" s="425"/>
      <c r="H222" s="425"/>
      <c r="I222" s="425"/>
      <c r="J222" s="511"/>
      <c r="K222" s="425"/>
      <c r="L222" s="511"/>
      <c r="M222" s="425"/>
      <c r="N222" s="425"/>
      <c r="O222" s="425"/>
      <c r="P222" s="511"/>
      <c r="Q222" s="425"/>
      <c r="R222" s="511"/>
      <c r="S222" s="425"/>
      <c r="T222" s="425"/>
      <c r="U222" s="425"/>
    </row>
    <row r="223" ht="15.75" customHeight="1">
      <c r="A223" s="425"/>
      <c r="B223" s="425"/>
      <c r="C223" s="425"/>
      <c r="D223" s="511"/>
      <c r="E223" s="425"/>
      <c r="F223" s="511"/>
      <c r="G223" s="425"/>
      <c r="H223" s="425"/>
      <c r="I223" s="425"/>
      <c r="J223" s="511"/>
      <c r="K223" s="425"/>
      <c r="L223" s="511"/>
      <c r="M223" s="425"/>
      <c r="N223" s="425"/>
      <c r="O223" s="425"/>
      <c r="P223" s="511"/>
      <c r="Q223" s="425"/>
      <c r="R223" s="511"/>
      <c r="S223" s="425"/>
      <c r="T223" s="425"/>
      <c r="U223" s="425"/>
    </row>
    <row r="224" ht="15.75" customHeight="1">
      <c r="A224" s="425"/>
      <c r="B224" s="425"/>
      <c r="C224" s="425"/>
      <c r="D224" s="511"/>
      <c r="E224" s="425"/>
      <c r="F224" s="511"/>
      <c r="G224" s="425"/>
      <c r="H224" s="425"/>
      <c r="I224" s="425"/>
      <c r="J224" s="511"/>
      <c r="K224" s="425"/>
      <c r="L224" s="511"/>
      <c r="M224" s="425"/>
      <c r="N224" s="425"/>
      <c r="O224" s="425"/>
      <c r="P224" s="511"/>
      <c r="Q224" s="425"/>
      <c r="R224" s="511"/>
      <c r="S224" s="425"/>
      <c r="T224" s="425"/>
      <c r="U224" s="425"/>
    </row>
    <row r="225" ht="15.75" customHeight="1">
      <c r="A225" s="425"/>
      <c r="B225" s="425"/>
      <c r="C225" s="425"/>
      <c r="D225" s="511"/>
      <c r="E225" s="425"/>
      <c r="F225" s="511"/>
      <c r="G225" s="425"/>
      <c r="H225" s="425"/>
      <c r="I225" s="425"/>
      <c r="J225" s="511"/>
      <c r="K225" s="425"/>
      <c r="L225" s="511"/>
      <c r="M225" s="425"/>
      <c r="N225" s="425"/>
      <c r="O225" s="425"/>
      <c r="P225" s="511"/>
      <c r="Q225" s="425"/>
      <c r="R225" s="511"/>
      <c r="S225" s="425"/>
      <c r="T225" s="425"/>
      <c r="U225" s="425"/>
    </row>
    <row r="226" ht="15.75" customHeight="1">
      <c r="A226" s="425"/>
      <c r="B226" s="425"/>
      <c r="C226" s="425"/>
      <c r="D226" s="511"/>
      <c r="E226" s="425"/>
      <c r="F226" s="511"/>
      <c r="G226" s="425"/>
      <c r="H226" s="425"/>
      <c r="I226" s="425"/>
      <c r="J226" s="511"/>
      <c r="K226" s="425"/>
      <c r="L226" s="511"/>
      <c r="M226" s="425"/>
      <c r="N226" s="425"/>
      <c r="O226" s="425"/>
      <c r="P226" s="511"/>
      <c r="Q226" s="425"/>
      <c r="R226" s="511"/>
      <c r="S226" s="425"/>
      <c r="T226" s="425"/>
      <c r="U226" s="425"/>
    </row>
    <row r="227" ht="15.75" customHeight="1">
      <c r="A227" s="425"/>
      <c r="B227" s="425"/>
      <c r="C227" s="425"/>
      <c r="D227" s="511"/>
      <c r="E227" s="425"/>
      <c r="F227" s="511"/>
      <c r="G227" s="425"/>
      <c r="H227" s="425"/>
      <c r="I227" s="425"/>
      <c r="J227" s="511"/>
      <c r="K227" s="425"/>
      <c r="L227" s="511"/>
      <c r="M227" s="425"/>
      <c r="N227" s="425"/>
      <c r="O227" s="425"/>
      <c r="P227" s="511"/>
      <c r="Q227" s="425"/>
      <c r="R227" s="511"/>
      <c r="S227" s="425"/>
      <c r="T227" s="425"/>
      <c r="U227" s="425"/>
    </row>
    <row r="228" ht="15.75" customHeight="1">
      <c r="A228" s="425"/>
      <c r="B228" s="425"/>
      <c r="C228" s="425"/>
      <c r="D228" s="511"/>
      <c r="E228" s="425"/>
      <c r="F228" s="511"/>
      <c r="G228" s="425"/>
      <c r="H228" s="425"/>
      <c r="I228" s="425"/>
      <c r="J228" s="511"/>
      <c r="K228" s="425"/>
      <c r="L228" s="511"/>
      <c r="M228" s="425"/>
      <c r="N228" s="425"/>
      <c r="O228" s="425"/>
      <c r="P228" s="511"/>
      <c r="Q228" s="425"/>
      <c r="R228" s="511"/>
      <c r="S228" s="425"/>
      <c r="T228" s="425"/>
      <c r="U228" s="425"/>
    </row>
    <row r="229" ht="15.75" customHeight="1">
      <c r="A229" s="425"/>
      <c r="B229" s="425"/>
      <c r="C229" s="425"/>
      <c r="D229" s="511"/>
      <c r="E229" s="425"/>
      <c r="F229" s="511"/>
      <c r="G229" s="425"/>
      <c r="H229" s="425"/>
      <c r="I229" s="425"/>
      <c r="J229" s="511"/>
      <c r="K229" s="425"/>
      <c r="L229" s="511"/>
      <c r="M229" s="425"/>
      <c r="N229" s="425"/>
      <c r="O229" s="425"/>
      <c r="P229" s="511"/>
      <c r="Q229" s="425"/>
      <c r="R229" s="511"/>
      <c r="S229" s="425"/>
      <c r="T229" s="425"/>
      <c r="U229" s="425"/>
    </row>
    <row r="230" ht="15.75" customHeight="1">
      <c r="A230" s="425"/>
      <c r="B230" s="425"/>
      <c r="C230" s="425"/>
      <c r="D230" s="511"/>
      <c r="E230" s="425"/>
      <c r="F230" s="511"/>
      <c r="G230" s="425"/>
      <c r="H230" s="425"/>
      <c r="I230" s="425"/>
      <c r="J230" s="511"/>
      <c r="K230" s="425"/>
      <c r="L230" s="511"/>
      <c r="M230" s="425"/>
      <c r="N230" s="425"/>
      <c r="O230" s="425"/>
      <c r="P230" s="511"/>
      <c r="Q230" s="425"/>
      <c r="R230" s="511"/>
      <c r="S230" s="425"/>
      <c r="T230" s="425"/>
      <c r="U230" s="425"/>
    </row>
    <row r="231" ht="15.75" customHeight="1">
      <c r="A231" s="425"/>
      <c r="B231" s="425"/>
      <c r="C231" s="425"/>
      <c r="D231" s="511"/>
      <c r="E231" s="425"/>
      <c r="F231" s="511"/>
      <c r="G231" s="425"/>
      <c r="H231" s="425"/>
      <c r="I231" s="425"/>
      <c r="J231" s="511"/>
      <c r="K231" s="425"/>
      <c r="L231" s="511"/>
      <c r="M231" s="425"/>
      <c r="N231" s="425"/>
      <c r="O231" s="425"/>
      <c r="P231" s="511"/>
      <c r="Q231" s="425"/>
      <c r="R231" s="511"/>
      <c r="S231" s="425"/>
      <c r="T231" s="425"/>
      <c r="U231" s="425"/>
    </row>
    <row r="232" ht="15.75" customHeight="1">
      <c r="A232" s="425"/>
      <c r="B232" s="425"/>
      <c r="C232" s="425"/>
      <c r="D232" s="511"/>
      <c r="E232" s="425"/>
      <c r="F232" s="511"/>
      <c r="G232" s="425"/>
      <c r="H232" s="425"/>
      <c r="I232" s="425"/>
      <c r="J232" s="511"/>
      <c r="K232" s="425"/>
      <c r="L232" s="511"/>
      <c r="M232" s="425"/>
      <c r="N232" s="425"/>
      <c r="O232" s="425"/>
      <c r="P232" s="511"/>
      <c r="Q232" s="425"/>
      <c r="R232" s="511"/>
      <c r="S232" s="425"/>
      <c r="T232" s="425"/>
      <c r="U232" s="425"/>
    </row>
    <row r="233" ht="15.75" customHeight="1">
      <c r="A233" s="425"/>
      <c r="B233" s="425"/>
      <c r="C233" s="425"/>
      <c r="D233" s="511"/>
      <c r="E233" s="425"/>
      <c r="F233" s="511"/>
      <c r="G233" s="425"/>
      <c r="H233" s="425"/>
      <c r="I233" s="425"/>
      <c r="J233" s="511"/>
      <c r="K233" s="425"/>
      <c r="L233" s="511"/>
      <c r="M233" s="425"/>
      <c r="N233" s="425"/>
      <c r="O233" s="425"/>
      <c r="P233" s="511"/>
      <c r="Q233" s="425"/>
      <c r="R233" s="511"/>
      <c r="S233" s="425"/>
      <c r="T233" s="425"/>
      <c r="U233" s="425"/>
    </row>
    <row r="234" ht="15.75" customHeight="1">
      <c r="A234" s="425"/>
      <c r="B234" s="425"/>
      <c r="C234" s="425"/>
      <c r="D234" s="511"/>
      <c r="E234" s="425"/>
      <c r="F234" s="511"/>
      <c r="G234" s="425"/>
      <c r="H234" s="425"/>
      <c r="I234" s="425"/>
      <c r="J234" s="511"/>
      <c r="K234" s="425"/>
      <c r="L234" s="511"/>
      <c r="M234" s="425"/>
      <c r="N234" s="425"/>
      <c r="O234" s="425"/>
      <c r="P234" s="511"/>
      <c r="Q234" s="425"/>
      <c r="R234" s="511"/>
      <c r="S234" s="425"/>
      <c r="T234" s="425"/>
      <c r="U234" s="425"/>
    </row>
    <row r="235" ht="15.75" customHeight="1">
      <c r="A235" s="425"/>
      <c r="B235" s="425"/>
      <c r="C235" s="425"/>
      <c r="D235" s="511"/>
      <c r="E235" s="425"/>
      <c r="F235" s="511"/>
      <c r="G235" s="425"/>
      <c r="H235" s="425"/>
      <c r="I235" s="425"/>
      <c r="J235" s="511"/>
      <c r="K235" s="425"/>
      <c r="L235" s="511"/>
      <c r="M235" s="425"/>
      <c r="N235" s="425"/>
      <c r="O235" s="425"/>
      <c r="P235" s="511"/>
      <c r="Q235" s="425"/>
      <c r="R235" s="511"/>
      <c r="S235" s="425"/>
      <c r="T235" s="425"/>
      <c r="U235" s="425"/>
    </row>
    <row r="236" ht="15.75" customHeight="1">
      <c r="A236" s="425"/>
      <c r="B236" s="425"/>
      <c r="C236" s="425"/>
      <c r="D236" s="511"/>
      <c r="E236" s="425"/>
      <c r="F236" s="511"/>
      <c r="G236" s="425"/>
      <c r="H236" s="425"/>
      <c r="I236" s="425"/>
      <c r="J236" s="511"/>
      <c r="K236" s="425"/>
      <c r="L236" s="511"/>
      <c r="M236" s="425"/>
      <c r="N236" s="425"/>
      <c r="O236" s="425"/>
      <c r="P236" s="511"/>
      <c r="Q236" s="425"/>
      <c r="R236" s="511"/>
      <c r="S236" s="425"/>
      <c r="T236" s="425"/>
      <c r="U236" s="425"/>
    </row>
    <row r="237" ht="15.75" customHeight="1">
      <c r="A237" s="425"/>
      <c r="B237" s="425"/>
      <c r="C237" s="425"/>
      <c r="D237" s="511"/>
      <c r="E237" s="425"/>
      <c r="F237" s="511"/>
      <c r="G237" s="425"/>
      <c r="H237" s="425"/>
      <c r="I237" s="425"/>
      <c r="J237" s="511"/>
      <c r="K237" s="425"/>
      <c r="L237" s="511"/>
      <c r="M237" s="425"/>
      <c r="N237" s="425"/>
      <c r="O237" s="425"/>
      <c r="P237" s="511"/>
      <c r="Q237" s="425"/>
      <c r="R237" s="511"/>
      <c r="S237" s="425"/>
      <c r="T237" s="425"/>
      <c r="U237" s="425"/>
    </row>
    <row r="238" ht="15.75" customHeight="1">
      <c r="A238" s="425"/>
      <c r="B238" s="425"/>
      <c r="C238" s="425"/>
      <c r="D238" s="511"/>
      <c r="E238" s="425"/>
      <c r="F238" s="511"/>
      <c r="G238" s="425"/>
      <c r="H238" s="425"/>
      <c r="I238" s="425"/>
      <c r="J238" s="511"/>
      <c r="K238" s="425"/>
      <c r="L238" s="511"/>
      <c r="M238" s="425"/>
      <c r="N238" s="425"/>
      <c r="O238" s="425"/>
      <c r="P238" s="511"/>
      <c r="Q238" s="425"/>
      <c r="R238" s="511"/>
      <c r="S238" s="425"/>
      <c r="T238" s="425"/>
      <c r="U238" s="425"/>
    </row>
    <row r="239" ht="15.75" customHeight="1">
      <c r="A239" s="425"/>
      <c r="B239" s="425"/>
      <c r="C239" s="425"/>
      <c r="D239" s="511"/>
      <c r="E239" s="425"/>
      <c r="F239" s="511"/>
      <c r="G239" s="425"/>
      <c r="H239" s="425"/>
      <c r="I239" s="425"/>
      <c r="J239" s="511"/>
      <c r="K239" s="425"/>
      <c r="L239" s="511"/>
      <c r="M239" s="425"/>
      <c r="N239" s="425"/>
      <c r="O239" s="425"/>
      <c r="P239" s="511"/>
      <c r="Q239" s="425"/>
      <c r="R239" s="511"/>
      <c r="S239" s="425"/>
      <c r="T239" s="425"/>
      <c r="U239" s="425"/>
    </row>
    <row r="240" ht="15.75" customHeight="1">
      <c r="A240" s="425"/>
      <c r="B240" s="425"/>
      <c r="C240" s="425"/>
      <c r="D240" s="511"/>
      <c r="E240" s="425"/>
      <c r="F240" s="511"/>
      <c r="G240" s="425"/>
      <c r="H240" s="425"/>
      <c r="I240" s="425"/>
      <c r="J240" s="511"/>
      <c r="K240" s="425"/>
      <c r="L240" s="511"/>
      <c r="M240" s="425"/>
      <c r="N240" s="425"/>
      <c r="O240" s="425"/>
      <c r="P240" s="511"/>
      <c r="Q240" s="425"/>
      <c r="R240" s="511"/>
      <c r="S240" s="425"/>
      <c r="T240" s="425"/>
      <c r="U240" s="425"/>
    </row>
    <row r="241" ht="15.75" customHeight="1">
      <c r="A241" s="425"/>
      <c r="B241" s="425"/>
      <c r="C241" s="425"/>
      <c r="D241" s="511"/>
      <c r="E241" s="425"/>
      <c r="F241" s="511"/>
      <c r="G241" s="425"/>
      <c r="H241" s="425"/>
      <c r="I241" s="425"/>
      <c r="J241" s="511"/>
      <c r="K241" s="425"/>
      <c r="L241" s="511"/>
      <c r="M241" s="425"/>
      <c r="N241" s="425"/>
      <c r="O241" s="425"/>
      <c r="P241" s="511"/>
      <c r="Q241" s="425"/>
      <c r="R241" s="511"/>
      <c r="S241" s="425"/>
      <c r="T241" s="425"/>
      <c r="U241" s="425"/>
    </row>
    <row r="242" ht="15.75" customHeight="1">
      <c r="A242" s="425"/>
      <c r="B242" s="425"/>
      <c r="C242" s="425"/>
      <c r="D242" s="511"/>
      <c r="E242" s="425"/>
      <c r="F242" s="511"/>
      <c r="G242" s="425"/>
      <c r="H242" s="425"/>
      <c r="I242" s="425"/>
      <c r="J242" s="511"/>
      <c r="K242" s="425"/>
      <c r="L242" s="511"/>
      <c r="M242" s="425"/>
      <c r="N242" s="425"/>
      <c r="O242" s="425"/>
      <c r="P242" s="511"/>
      <c r="Q242" s="425"/>
      <c r="R242" s="511"/>
      <c r="S242" s="425"/>
      <c r="T242" s="425"/>
      <c r="U242" s="425"/>
    </row>
    <row r="243" ht="15.75" customHeight="1">
      <c r="A243" s="425"/>
      <c r="B243" s="425"/>
      <c r="C243" s="425"/>
      <c r="D243" s="511"/>
      <c r="E243" s="425"/>
      <c r="F243" s="511"/>
      <c r="G243" s="425"/>
      <c r="H243" s="425"/>
      <c r="I243" s="425"/>
      <c r="J243" s="511"/>
      <c r="K243" s="425"/>
      <c r="L243" s="511"/>
      <c r="M243" s="425"/>
      <c r="N243" s="425"/>
      <c r="O243" s="425"/>
      <c r="P243" s="511"/>
      <c r="Q243" s="425"/>
      <c r="R243" s="511"/>
      <c r="S243" s="425"/>
      <c r="T243" s="425"/>
      <c r="U243" s="425"/>
    </row>
    <row r="244" ht="15.75" customHeight="1">
      <c r="A244" s="425"/>
      <c r="B244" s="425"/>
      <c r="C244" s="425"/>
      <c r="D244" s="511"/>
      <c r="E244" s="425"/>
      <c r="F244" s="511"/>
      <c r="G244" s="425"/>
      <c r="H244" s="425"/>
      <c r="I244" s="425"/>
      <c r="J244" s="511"/>
      <c r="K244" s="425"/>
      <c r="L244" s="511"/>
      <c r="M244" s="425"/>
      <c r="N244" s="425"/>
      <c r="O244" s="425"/>
      <c r="P244" s="511"/>
      <c r="Q244" s="425"/>
      <c r="R244" s="511"/>
      <c r="S244" s="425"/>
      <c r="T244" s="425"/>
      <c r="U244" s="425"/>
    </row>
    <row r="245" ht="15.75" customHeight="1">
      <c r="A245" s="425"/>
      <c r="B245" s="425"/>
      <c r="C245" s="425"/>
      <c r="D245" s="511"/>
      <c r="E245" s="425"/>
      <c r="F245" s="511"/>
      <c r="G245" s="425"/>
      <c r="H245" s="425"/>
      <c r="I245" s="425"/>
      <c r="J245" s="511"/>
      <c r="K245" s="425"/>
      <c r="L245" s="511"/>
      <c r="M245" s="425"/>
      <c r="N245" s="425"/>
      <c r="O245" s="425"/>
      <c r="P245" s="511"/>
      <c r="Q245" s="425"/>
      <c r="R245" s="511"/>
      <c r="S245" s="425"/>
      <c r="T245" s="425"/>
      <c r="U245" s="425"/>
    </row>
    <row r="246" ht="15.75" customHeight="1">
      <c r="A246" s="425"/>
      <c r="B246" s="425"/>
      <c r="C246" s="425"/>
      <c r="D246" s="511"/>
      <c r="E246" s="425"/>
      <c r="F246" s="511"/>
      <c r="G246" s="425"/>
      <c r="H246" s="425"/>
      <c r="I246" s="425"/>
      <c r="J246" s="511"/>
      <c r="K246" s="425"/>
      <c r="L246" s="511"/>
      <c r="M246" s="425"/>
      <c r="N246" s="425"/>
      <c r="O246" s="425"/>
      <c r="P246" s="511"/>
      <c r="Q246" s="425"/>
      <c r="R246" s="511"/>
      <c r="S246" s="425"/>
      <c r="T246" s="425"/>
      <c r="U246" s="425"/>
    </row>
    <row r="247" ht="15.75" customHeight="1">
      <c r="A247" s="425"/>
      <c r="B247" s="425"/>
      <c r="C247" s="425"/>
      <c r="D247" s="511"/>
      <c r="E247" s="425"/>
      <c r="F247" s="511"/>
      <c r="G247" s="425"/>
      <c r="H247" s="425"/>
      <c r="I247" s="425"/>
      <c r="J247" s="511"/>
      <c r="K247" s="425"/>
      <c r="L247" s="511"/>
      <c r="M247" s="425"/>
      <c r="N247" s="425"/>
      <c r="O247" s="425"/>
      <c r="P247" s="511"/>
      <c r="Q247" s="425"/>
      <c r="R247" s="511"/>
      <c r="S247" s="425"/>
      <c r="T247" s="425"/>
      <c r="U247" s="425"/>
    </row>
    <row r="248" ht="15.75" customHeight="1">
      <c r="A248" s="425"/>
      <c r="B248" s="425"/>
      <c r="C248" s="425"/>
      <c r="D248" s="511"/>
      <c r="E248" s="425"/>
      <c r="F248" s="511"/>
      <c r="G248" s="425"/>
      <c r="H248" s="425"/>
      <c r="I248" s="425"/>
      <c r="J248" s="511"/>
      <c r="K248" s="425"/>
      <c r="L248" s="511"/>
      <c r="M248" s="425"/>
      <c r="N248" s="425"/>
      <c r="O248" s="425"/>
      <c r="P248" s="511"/>
      <c r="Q248" s="425"/>
      <c r="R248" s="511"/>
      <c r="S248" s="425"/>
      <c r="T248" s="425"/>
      <c r="U248" s="425"/>
    </row>
    <row r="249" ht="15.75" customHeight="1">
      <c r="A249" s="425"/>
      <c r="B249" s="425"/>
      <c r="C249" s="425"/>
      <c r="D249" s="511"/>
      <c r="E249" s="425"/>
      <c r="F249" s="511"/>
      <c r="G249" s="425"/>
      <c r="H249" s="425"/>
      <c r="I249" s="425"/>
      <c r="J249" s="511"/>
      <c r="K249" s="425"/>
      <c r="L249" s="511"/>
      <c r="M249" s="425"/>
      <c r="N249" s="425"/>
      <c r="O249" s="425"/>
      <c r="P249" s="511"/>
      <c r="Q249" s="425"/>
      <c r="R249" s="511"/>
      <c r="S249" s="425"/>
      <c r="T249" s="425"/>
      <c r="U249" s="425"/>
    </row>
    <row r="250" ht="15.75" customHeight="1">
      <c r="A250" s="425"/>
      <c r="B250" s="425"/>
      <c r="C250" s="425"/>
      <c r="D250" s="511"/>
      <c r="E250" s="425"/>
      <c r="F250" s="511"/>
      <c r="G250" s="425"/>
      <c r="H250" s="425"/>
      <c r="I250" s="425"/>
      <c r="J250" s="511"/>
      <c r="K250" s="425"/>
      <c r="L250" s="511"/>
      <c r="M250" s="425"/>
      <c r="N250" s="425"/>
      <c r="O250" s="425"/>
      <c r="P250" s="511"/>
      <c r="Q250" s="425"/>
      <c r="R250" s="511"/>
      <c r="S250" s="425"/>
      <c r="T250" s="425"/>
      <c r="U250" s="425"/>
    </row>
    <row r="251" ht="15.75" customHeight="1">
      <c r="A251" s="425"/>
      <c r="B251" s="425"/>
      <c r="C251" s="425"/>
      <c r="D251" s="511"/>
      <c r="E251" s="425"/>
      <c r="F251" s="511"/>
      <c r="G251" s="425"/>
      <c r="H251" s="425"/>
      <c r="I251" s="425"/>
      <c r="J251" s="511"/>
      <c r="K251" s="425"/>
      <c r="L251" s="511"/>
      <c r="M251" s="425"/>
      <c r="N251" s="425"/>
      <c r="O251" s="425"/>
      <c r="P251" s="511"/>
      <c r="Q251" s="425"/>
      <c r="R251" s="511"/>
      <c r="S251" s="425"/>
      <c r="T251" s="425"/>
      <c r="U251" s="425"/>
    </row>
    <row r="252" ht="15.75" customHeight="1">
      <c r="A252" s="425"/>
      <c r="B252" s="425"/>
      <c r="C252" s="425"/>
      <c r="D252" s="511"/>
      <c r="E252" s="425"/>
      <c r="F252" s="511"/>
      <c r="G252" s="425"/>
      <c r="H252" s="425"/>
      <c r="I252" s="425"/>
      <c r="J252" s="511"/>
      <c r="K252" s="425"/>
      <c r="L252" s="511"/>
      <c r="M252" s="425"/>
      <c r="N252" s="425"/>
      <c r="O252" s="425"/>
      <c r="P252" s="511"/>
      <c r="Q252" s="425"/>
      <c r="R252" s="511"/>
      <c r="S252" s="425"/>
      <c r="T252" s="425"/>
      <c r="U252" s="425"/>
    </row>
    <row r="253" ht="15.75" customHeight="1">
      <c r="A253" s="425"/>
      <c r="B253" s="425"/>
      <c r="C253" s="425"/>
      <c r="D253" s="511"/>
      <c r="E253" s="425"/>
      <c r="F253" s="511"/>
      <c r="G253" s="425"/>
      <c r="H253" s="425"/>
      <c r="I253" s="425"/>
      <c r="J253" s="511"/>
      <c r="K253" s="425"/>
      <c r="L253" s="511"/>
      <c r="M253" s="425"/>
      <c r="N253" s="425"/>
      <c r="O253" s="425"/>
      <c r="P253" s="511"/>
      <c r="Q253" s="425"/>
      <c r="R253" s="511"/>
      <c r="S253" s="425"/>
      <c r="T253" s="425"/>
      <c r="U253" s="425"/>
    </row>
    <row r="254" ht="15.75" customHeight="1">
      <c r="A254" s="425"/>
      <c r="B254" s="425"/>
      <c r="C254" s="425"/>
      <c r="D254" s="511"/>
      <c r="E254" s="425"/>
      <c r="F254" s="511"/>
      <c r="G254" s="425"/>
      <c r="H254" s="425"/>
      <c r="I254" s="425"/>
      <c r="J254" s="511"/>
      <c r="K254" s="425"/>
      <c r="L254" s="511"/>
      <c r="M254" s="425"/>
      <c r="N254" s="425"/>
      <c r="O254" s="425"/>
      <c r="P254" s="511"/>
      <c r="Q254" s="425"/>
      <c r="R254" s="511"/>
      <c r="S254" s="425"/>
      <c r="T254" s="425"/>
      <c r="U254" s="425"/>
    </row>
    <row r="255" ht="15.75" customHeight="1">
      <c r="A255" s="425"/>
      <c r="B255" s="425"/>
      <c r="C255" s="425"/>
      <c r="D255" s="511"/>
      <c r="E255" s="425"/>
      <c r="F255" s="511"/>
      <c r="G255" s="425"/>
      <c r="H255" s="425"/>
      <c r="I255" s="425"/>
      <c r="J255" s="511"/>
      <c r="K255" s="425"/>
      <c r="L255" s="511"/>
      <c r="M255" s="425"/>
      <c r="N255" s="425"/>
      <c r="O255" s="425"/>
      <c r="P255" s="511"/>
      <c r="Q255" s="425"/>
      <c r="R255" s="511"/>
      <c r="S255" s="425"/>
      <c r="T255" s="425"/>
      <c r="U255" s="425"/>
    </row>
    <row r="256" ht="15.75" customHeight="1">
      <c r="A256" s="425"/>
      <c r="B256" s="425"/>
      <c r="C256" s="425"/>
      <c r="D256" s="511"/>
      <c r="E256" s="425"/>
      <c r="F256" s="511"/>
      <c r="G256" s="425"/>
      <c r="H256" s="425"/>
      <c r="I256" s="425"/>
      <c r="J256" s="511"/>
      <c r="K256" s="425"/>
      <c r="L256" s="511"/>
      <c r="M256" s="425"/>
      <c r="N256" s="425"/>
      <c r="O256" s="425"/>
      <c r="P256" s="511"/>
      <c r="Q256" s="425"/>
      <c r="R256" s="511"/>
      <c r="S256" s="425"/>
      <c r="T256" s="425"/>
      <c r="U256" s="425"/>
    </row>
    <row r="257" ht="15.75" customHeight="1">
      <c r="A257" s="425"/>
      <c r="B257" s="425"/>
      <c r="C257" s="425"/>
      <c r="D257" s="511"/>
      <c r="E257" s="425"/>
      <c r="F257" s="511"/>
      <c r="G257" s="425"/>
      <c r="H257" s="425"/>
      <c r="I257" s="425"/>
      <c r="J257" s="511"/>
      <c r="K257" s="425"/>
      <c r="L257" s="511"/>
      <c r="M257" s="425"/>
      <c r="N257" s="425"/>
      <c r="O257" s="425"/>
      <c r="P257" s="511"/>
      <c r="Q257" s="425"/>
      <c r="R257" s="511"/>
      <c r="S257" s="425"/>
      <c r="T257" s="425"/>
      <c r="U257" s="425"/>
    </row>
    <row r="258" ht="15.75" customHeight="1">
      <c r="A258" s="425"/>
      <c r="B258" s="425"/>
      <c r="C258" s="425"/>
      <c r="D258" s="511"/>
      <c r="E258" s="425"/>
      <c r="F258" s="511"/>
      <c r="G258" s="425"/>
      <c r="H258" s="425"/>
      <c r="I258" s="425"/>
      <c r="J258" s="511"/>
      <c r="K258" s="425"/>
      <c r="L258" s="511"/>
      <c r="M258" s="425"/>
      <c r="N258" s="425"/>
      <c r="O258" s="425"/>
      <c r="P258" s="511"/>
      <c r="Q258" s="425"/>
      <c r="R258" s="511"/>
      <c r="S258" s="425"/>
      <c r="T258" s="425"/>
      <c r="U258" s="425"/>
    </row>
    <row r="259" ht="15.75" customHeight="1">
      <c r="A259" s="425"/>
      <c r="B259" s="425"/>
      <c r="C259" s="425"/>
      <c r="D259" s="511"/>
      <c r="E259" s="425"/>
      <c r="F259" s="511"/>
      <c r="G259" s="425"/>
      <c r="H259" s="425"/>
      <c r="I259" s="425"/>
      <c r="J259" s="511"/>
      <c r="K259" s="425"/>
      <c r="L259" s="511"/>
      <c r="M259" s="425"/>
      <c r="N259" s="425"/>
      <c r="O259" s="425"/>
      <c r="P259" s="511"/>
      <c r="Q259" s="425"/>
      <c r="R259" s="511"/>
      <c r="S259" s="425"/>
      <c r="T259" s="425"/>
      <c r="U259" s="425"/>
    </row>
    <row r="260" ht="15.75" customHeight="1">
      <c r="A260" s="425"/>
      <c r="B260" s="425"/>
      <c r="C260" s="425"/>
      <c r="D260" s="511"/>
      <c r="E260" s="425"/>
      <c r="F260" s="511"/>
      <c r="G260" s="425"/>
      <c r="H260" s="425"/>
      <c r="I260" s="425"/>
      <c r="J260" s="511"/>
      <c r="K260" s="425"/>
      <c r="L260" s="511"/>
      <c r="M260" s="425"/>
      <c r="N260" s="425"/>
      <c r="O260" s="425"/>
      <c r="P260" s="511"/>
      <c r="Q260" s="425"/>
      <c r="R260" s="511"/>
      <c r="S260" s="425"/>
      <c r="T260" s="425"/>
      <c r="U260" s="425"/>
    </row>
    <row r="261" ht="15.75" customHeight="1">
      <c r="A261" s="425"/>
      <c r="B261" s="425"/>
      <c r="C261" s="425"/>
      <c r="D261" s="511"/>
      <c r="E261" s="425"/>
      <c r="F261" s="511"/>
      <c r="G261" s="425"/>
      <c r="H261" s="425"/>
      <c r="I261" s="425"/>
      <c r="J261" s="511"/>
      <c r="K261" s="425"/>
      <c r="L261" s="511"/>
      <c r="M261" s="425"/>
      <c r="N261" s="425"/>
      <c r="O261" s="425"/>
      <c r="P261" s="511"/>
      <c r="Q261" s="425"/>
      <c r="R261" s="511"/>
      <c r="S261" s="425"/>
      <c r="T261" s="425"/>
      <c r="U261" s="425"/>
    </row>
    <row r="262" ht="15.75" customHeight="1">
      <c r="A262" s="425"/>
      <c r="B262" s="425"/>
      <c r="C262" s="425"/>
      <c r="D262" s="425"/>
      <c r="E262" s="425"/>
      <c r="F262" s="511"/>
      <c r="G262" s="425"/>
      <c r="H262" s="425"/>
      <c r="I262" s="425"/>
      <c r="J262" s="425"/>
      <c r="K262" s="425"/>
      <c r="L262" s="511"/>
      <c r="M262" s="425"/>
      <c r="N262" s="425"/>
      <c r="O262" s="425"/>
      <c r="P262" s="425"/>
      <c r="Q262" s="425"/>
      <c r="R262" s="511"/>
      <c r="S262" s="425"/>
      <c r="T262" s="425"/>
      <c r="U262" s="425"/>
    </row>
    <row r="263" ht="15.75" customHeight="1">
      <c r="A263" s="425"/>
      <c r="B263" s="425"/>
      <c r="C263" s="425"/>
      <c r="D263" s="425"/>
      <c r="E263" s="425"/>
      <c r="F263" s="511"/>
      <c r="G263" s="425"/>
      <c r="H263" s="425"/>
      <c r="I263" s="425"/>
      <c r="J263" s="425"/>
      <c r="K263" s="425"/>
      <c r="L263" s="511"/>
      <c r="M263" s="425"/>
      <c r="N263" s="425"/>
      <c r="O263" s="425"/>
      <c r="P263" s="425"/>
      <c r="Q263" s="425"/>
      <c r="R263" s="511"/>
      <c r="S263" s="425"/>
      <c r="T263" s="425"/>
      <c r="U263" s="425"/>
    </row>
    <row r="264" ht="15.75" customHeight="1">
      <c r="A264" s="425"/>
      <c r="B264" s="425"/>
      <c r="C264" s="425"/>
      <c r="D264" s="425"/>
      <c r="E264" s="425"/>
      <c r="F264" s="511"/>
      <c r="G264" s="425"/>
      <c r="H264" s="425"/>
      <c r="I264" s="425"/>
      <c r="J264" s="425"/>
      <c r="K264" s="425"/>
      <c r="L264" s="511"/>
      <c r="M264" s="425"/>
      <c r="N264" s="425"/>
      <c r="O264" s="425"/>
      <c r="P264" s="425"/>
      <c r="Q264" s="425"/>
      <c r="R264" s="511"/>
      <c r="S264" s="425"/>
      <c r="T264" s="425"/>
      <c r="U264" s="425"/>
    </row>
    <row r="265" ht="15.75" customHeight="1">
      <c r="A265" s="425"/>
      <c r="B265" s="425"/>
      <c r="C265" s="425"/>
      <c r="D265" s="425"/>
      <c r="E265" s="425"/>
      <c r="F265" s="511"/>
      <c r="G265" s="425"/>
      <c r="H265" s="425"/>
      <c r="I265" s="425"/>
      <c r="J265" s="425"/>
      <c r="K265" s="425"/>
      <c r="L265" s="511"/>
      <c r="M265" s="425"/>
      <c r="N265" s="425"/>
      <c r="O265" s="425"/>
      <c r="P265" s="425"/>
      <c r="Q265" s="425"/>
      <c r="R265" s="511"/>
      <c r="S265" s="425"/>
      <c r="T265" s="425"/>
      <c r="U265" s="425"/>
    </row>
    <row r="266" ht="15.75" customHeight="1">
      <c r="A266" s="425"/>
      <c r="B266" s="425"/>
      <c r="C266" s="425"/>
      <c r="D266" s="425"/>
      <c r="E266" s="425"/>
      <c r="F266" s="511"/>
      <c r="G266" s="425"/>
      <c r="H266" s="425"/>
      <c r="I266" s="425"/>
      <c r="J266" s="425"/>
      <c r="K266" s="425"/>
      <c r="L266" s="511"/>
      <c r="M266" s="425"/>
      <c r="N266" s="425"/>
      <c r="O266" s="425"/>
      <c r="P266" s="425"/>
      <c r="Q266" s="425"/>
      <c r="R266" s="511"/>
      <c r="S266" s="425"/>
      <c r="T266" s="425"/>
      <c r="U266" s="425"/>
    </row>
    <row r="267" ht="15.75" customHeight="1">
      <c r="A267" s="425"/>
      <c r="B267" s="425"/>
      <c r="C267" s="425"/>
      <c r="D267" s="425"/>
      <c r="E267" s="425"/>
      <c r="F267" s="511"/>
      <c r="G267" s="425"/>
      <c r="H267" s="425"/>
      <c r="I267" s="425"/>
      <c r="J267" s="425"/>
      <c r="K267" s="425"/>
      <c r="L267" s="511"/>
      <c r="M267" s="425"/>
      <c r="N267" s="425"/>
      <c r="O267" s="425"/>
      <c r="P267" s="425"/>
      <c r="Q267" s="425"/>
      <c r="R267" s="511"/>
      <c r="S267" s="425"/>
      <c r="T267" s="425"/>
      <c r="U267" s="425"/>
    </row>
    <row r="268" ht="15.75" customHeight="1">
      <c r="A268" s="425"/>
      <c r="B268" s="425"/>
      <c r="C268" s="425"/>
      <c r="D268" s="425"/>
      <c r="E268" s="425"/>
      <c r="F268" s="511"/>
      <c r="G268" s="425"/>
      <c r="H268" s="425"/>
      <c r="I268" s="425"/>
      <c r="J268" s="425"/>
      <c r="K268" s="425"/>
      <c r="L268" s="511"/>
      <c r="M268" s="425"/>
      <c r="N268" s="425"/>
      <c r="O268" s="425"/>
      <c r="P268" s="425"/>
      <c r="Q268" s="425"/>
      <c r="R268" s="511"/>
      <c r="S268" s="425"/>
      <c r="T268" s="425"/>
      <c r="U268" s="425"/>
    </row>
    <row r="269" ht="15.75" customHeight="1">
      <c r="A269" s="425"/>
      <c r="B269" s="425"/>
      <c r="C269" s="425"/>
      <c r="D269" s="425"/>
      <c r="E269" s="425"/>
      <c r="F269" s="511"/>
      <c r="G269" s="425"/>
      <c r="H269" s="425"/>
      <c r="I269" s="425"/>
      <c r="J269" s="425"/>
      <c r="K269" s="425"/>
      <c r="L269" s="511"/>
      <c r="M269" s="425"/>
      <c r="N269" s="425"/>
      <c r="O269" s="425"/>
      <c r="P269" s="425"/>
      <c r="Q269" s="425"/>
      <c r="R269" s="511"/>
      <c r="S269" s="425"/>
      <c r="T269" s="425"/>
      <c r="U269" s="425"/>
    </row>
    <row r="270" ht="15.75" customHeight="1">
      <c r="A270" s="425"/>
      <c r="B270" s="425"/>
      <c r="C270" s="425"/>
      <c r="D270" s="425"/>
      <c r="E270" s="425"/>
      <c r="F270" s="511"/>
      <c r="G270" s="425"/>
      <c r="H270" s="425"/>
      <c r="I270" s="425"/>
      <c r="J270" s="425"/>
      <c r="K270" s="425"/>
      <c r="L270" s="511"/>
      <c r="M270" s="425"/>
      <c r="N270" s="425"/>
      <c r="O270" s="425"/>
      <c r="P270" s="425"/>
      <c r="Q270" s="425"/>
      <c r="R270" s="511"/>
      <c r="S270" s="425"/>
      <c r="T270" s="425"/>
      <c r="U270" s="425"/>
    </row>
    <row r="271" ht="15.75" customHeight="1">
      <c r="A271" s="425"/>
      <c r="B271" s="425"/>
      <c r="C271" s="425"/>
      <c r="D271" s="425"/>
      <c r="E271" s="425"/>
      <c r="F271" s="511"/>
      <c r="G271" s="425"/>
      <c r="H271" s="425"/>
      <c r="I271" s="425"/>
      <c r="J271" s="425"/>
      <c r="K271" s="425"/>
      <c r="L271" s="511"/>
      <c r="M271" s="425"/>
      <c r="N271" s="425"/>
      <c r="O271" s="425"/>
      <c r="P271" s="425"/>
      <c r="Q271" s="425"/>
      <c r="R271" s="511"/>
      <c r="S271" s="425"/>
      <c r="T271" s="425"/>
      <c r="U271" s="425"/>
    </row>
    <row r="272" ht="15.75" customHeight="1">
      <c r="A272" s="425"/>
      <c r="B272" s="425"/>
      <c r="C272" s="425"/>
      <c r="D272" s="425"/>
      <c r="E272" s="425"/>
      <c r="F272" s="511"/>
      <c r="G272" s="425"/>
      <c r="H272" s="425"/>
      <c r="I272" s="425"/>
      <c r="J272" s="425"/>
      <c r="K272" s="425"/>
      <c r="L272" s="511"/>
      <c r="M272" s="425"/>
      <c r="N272" s="425"/>
      <c r="O272" s="425"/>
      <c r="P272" s="425"/>
      <c r="Q272" s="425"/>
      <c r="R272" s="511"/>
      <c r="S272" s="425"/>
      <c r="T272" s="425"/>
      <c r="U272" s="425"/>
    </row>
    <row r="273" ht="15.75" customHeight="1">
      <c r="A273" s="425"/>
      <c r="B273" s="425"/>
      <c r="C273" s="425"/>
      <c r="D273" s="425"/>
      <c r="E273" s="425"/>
      <c r="F273" s="511"/>
      <c r="G273" s="425"/>
      <c r="H273" s="425"/>
      <c r="I273" s="425"/>
      <c r="J273" s="425"/>
      <c r="K273" s="425"/>
      <c r="L273" s="511"/>
      <c r="M273" s="425"/>
      <c r="N273" s="425"/>
      <c r="O273" s="425"/>
      <c r="P273" s="425"/>
      <c r="Q273" s="425"/>
      <c r="R273" s="511"/>
      <c r="S273" s="425"/>
      <c r="T273" s="425"/>
      <c r="U273" s="425"/>
    </row>
    <row r="274" ht="15.75" customHeight="1">
      <c r="A274" s="425"/>
      <c r="B274" s="425"/>
      <c r="C274" s="425"/>
      <c r="D274" s="425"/>
      <c r="E274" s="425"/>
      <c r="F274" s="511"/>
      <c r="G274" s="425"/>
      <c r="H274" s="425"/>
      <c r="I274" s="425"/>
      <c r="J274" s="425"/>
      <c r="K274" s="425"/>
      <c r="L274" s="511"/>
      <c r="M274" s="425"/>
      <c r="N274" s="425"/>
      <c r="O274" s="425"/>
      <c r="P274" s="425"/>
      <c r="Q274" s="425"/>
      <c r="R274" s="511"/>
      <c r="S274" s="425"/>
      <c r="T274" s="425"/>
      <c r="U274" s="425"/>
    </row>
    <row r="275" ht="15.75" customHeight="1">
      <c r="A275" s="425"/>
      <c r="B275" s="425"/>
      <c r="C275" s="425"/>
      <c r="D275" s="425"/>
      <c r="E275" s="425"/>
      <c r="F275" s="511"/>
      <c r="G275" s="425"/>
      <c r="H275" s="425"/>
      <c r="I275" s="425"/>
      <c r="J275" s="425"/>
      <c r="K275" s="425"/>
      <c r="L275" s="511"/>
      <c r="M275" s="425"/>
      <c r="N275" s="425"/>
      <c r="O275" s="425"/>
      <c r="P275" s="425"/>
      <c r="Q275" s="425"/>
      <c r="R275" s="511"/>
      <c r="S275" s="425"/>
      <c r="T275" s="425"/>
      <c r="U275" s="425"/>
    </row>
    <row r="276" ht="15.75" customHeight="1">
      <c r="A276" s="425"/>
      <c r="B276" s="425"/>
      <c r="C276" s="425"/>
      <c r="D276" s="425"/>
      <c r="E276" s="425"/>
      <c r="F276" s="511"/>
      <c r="G276" s="425"/>
      <c r="H276" s="425"/>
      <c r="I276" s="425"/>
      <c r="J276" s="425"/>
      <c r="K276" s="425"/>
      <c r="L276" s="511"/>
      <c r="M276" s="425"/>
      <c r="N276" s="425"/>
      <c r="O276" s="425"/>
      <c r="P276" s="425"/>
      <c r="Q276" s="425"/>
      <c r="R276" s="511"/>
      <c r="S276" s="425"/>
      <c r="T276" s="425"/>
      <c r="U276" s="425"/>
    </row>
    <row r="277" ht="15.75" customHeight="1">
      <c r="A277" s="425"/>
      <c r="B277" s="425"/>
      <c r="C277" s="425"/>
      <c r="D277" s="425"/>
      <c r="E277" s="425"/>
      <c r="F277" s="511"/>
      <c r="G277" s="425"/>
      <c r="H277" s="425"/>
      <c r="I277" s="425"/>
      <c r="J277" s="425"/>
      <c r="K277" s="425"/>
      <c r="L277" s="511"/>
      <c r="M277" s="425"/>
      <c r="N277" s="425"/>
      <c r="O277" s="425"/>
      <c r="P277" s="425"/>
      <c r="Q277" s="425"/>
      <c r="R277" s="511"/>
      <c r="S277" s="425"/>
      <c r="T277" s="425"/>
      <c r="U277" s="425"/>
    </row>
    <row r="278" ht="15.75" customHeight="1">
      <c r="A278" s="425"/>
      <c r="B278" s="425"/>
      <c r="C278" s="425"/>
      <c r="D278" s="425"/>
      <c r="E278" s="425"/>
      <c r="F278" s="511"/>
      <c r="G278" s="425"/>
      <c r="H278" s="425"/>
      <c r="I278" s="425"/>
      <c r="J278" s="425"/>
      <c r="K278" s="425"/>
      <c r="L278" s="511"/>
      <c r="M278" s="425"/>
      <c r="N278" s="425"/>
      <c r="O278" s="425"/>
      <c r="P278" s="425"/>
      <c r="Q278" s="425"/>
      <c r="R278" s="511"/>
      <c r="S278" s="425"/>
      <c r="T278" s="425"/>
      <c r="U278" s="425"/>
    </row>
    <row r="279" ht="15.75" customHeight="1">
      <c r="A279" s="425"/>
      <c r="B279" s="425"/>
      <c r="C279" s="425"/>
      <c r="D279" s="425"/>
      <c r="E279" s="425"/>
      <c r="F279" s="511"/>
      <c r="G279" s="425"/>
      <c r="H279" s="425"/>
      <c r="I279" s="425"/>
      <c r="J279" s="425"/>
      <c r="K279" s="425"/>
      <c r="L279" s="511"/>
      <c r="M279" s="425"/>
      <c r="N279" s="425"/>
      <c r="O279" s="425"/>
      <c r="P279" s="425"/>
      <c r="Q279" s="425"/>
      <c r="R279" s="511"/>
      <c r="S279" s="425"/>
      <c r="T279" s="425"/>
      <c r="U279" s="425"/>
    </row>
    <row r="280" ht="15.75" customHeight="1">
      <c r="A280" s="425"/>
      <c r="B280" s="425"/>
      <c r="C280" s="425"/>
      <c r="D280" s="425"/>
      <c r="E280" s="425"/>
      <c r="F280" s="511"/>
      <c r="G280" s="425"/>
      <c r="H280" s="425"/>
      <c r="I280" s="425"/>
      <c r="J280" s="425"/>
      <c r="K280" s="425"/>
      <c r="L280" s="511"/>
      <c r="M280" s="425"/>
      <c r="N280" s="425"/>
      <c r="O280" s="425"/>
      <c r="P280" s="425"/>
      <c r="Q280" s="425"/>
      <c r="R280" s="511"/>
      <c r="S280" s="425"/>
      <c r="T280" s="425"/>
      <c r="U280" s="425"/>
    </row>
    <row r="281" ht="15.75" customHeight="1">
      <c r="A281" s="425"/>
      <c r="B281" s="425"/>
      <c r="C281" s="425"/>
      <c r="D281" s="425"/>
      <c r="E281" s="425"/>
      <c r="F281" s="511"/>
      <c r="G281" s="425"/>
      <c r="H281" s="425"/>
      <c r="I281" s="425"/>
      <c r="J281" s="425"/>
      <c r="K281" s="425"/>
      <c r="L281" s="511"/>
      <c r="M281" s="425"/>
      <c r="N281" s="425"/>
      <c r="O281" s="425"/>
      <c r="P281" s="425"/>
      <c r="Q281" s="425"/>
      <c r="R281" s="511"/>
      <c r="S281" s="425"/>
      <c r="T281" s="425"/>
      <c r="U281" s="425"/>
    </row>
    <row r="282" ht="15.75" customHeight="1">
      <c r="A282" s="425"/>
      <c r="B282" s="425"/>
      <c r="C282" s="425"/>
      <c r="D282" s="425"/>
      <c r="E282" s="425"/>
      <c r="F282" s="511"/>
      <c r="G282" s="425"/>
      <c r="H282" s="425"/>
      <c r="I282" s="425"/>
      <c r="J282" s="425"/>
      <c r="K282" s="425"/>
      <c r="L282" s="511"/>
      <c r="M282" s="425"/>
      <c r="N282" s="425"/>
      <c r="O282" s="425"/>
      <c r="P282" s="425"/>
      <c r="Q282" s="425"/>
      <c r="R282" s="511"/>
      <c r="S282" s="425"/>
      <c r="T282" s="425"/>
      <c r="U282" s="425"/>
    </row>
    <row r="283" ht="15.75" customHeight="1">
      <c r="A283" s="425"/>
      <c r="B283" s="425"/>
      <c r="C283" s="425"/>
      <c r="D283" s="425"/>
      <c r="E283" s="425"/>
      <c r="F283" s="511"/>
      <c r="G283" s="425"/>
      <c r="H283" s="425"/>
      <c r="I283" s="425"/>
      <c r="J283" s="425"/>
      <c r="K283" s="425"/>
      <c r="L283" s="511"/>
      <c r="M283" s="425"/>
      <c r="N283" s="425"/>
      <c r="O283" s="425"/>
      <c r="P283" s="425"/>
      <c r="Q283" s="425"/>
      <c r="R283" s="511"/>
      <c r="S283" s="425"/>
      <c r="T283" s="425"/>
      <c r="U283" s="425"/>
    </row>
    <row r="284" ht="15.75" customHeight="1">
      <c r="A284" s="425"/>
      <c r="B284" s="425"/>
      <c r="C284" s="425"/>
      <c r="D284" s="425"/>
      <c r="E284" s="425"/>
      <c r="F284" s="511"/>
      <c r="G284" s="425"/>
      <c r="H284" s="425"/>
      <c r="I284" s="425"/>
      <c r="J284" s="425"/>
      <c r="K284" s="425"/>
      <c r="L284" s="511"/>
      <c r="M284" s="425"/>
      <c r="N284" s="425"/>
      <c r="O284" s="425"/>
      <c r="P284" s="425"/>
      <c r="Q284" s="425"/>
      <c r="R284" s="511"/>
      <c r="S284" s="425"/>
      <c r="T284" s="425"/>
      <c r="U284" s="425"/>
    </row>
    <row r="285" ht="15.75" customHeight="1">
      <c r="A285" s="425"/>
      <c r="B285" s="425"/>
      <c r="C285" s="425"/>
      <c r="D285" s="425"/>
      <c r="E285" s="425"/>
      <c r="F285" s="511"/>
      <c r="G285" s="425"/>
      <c r="H285" s="425"/>
      <c r="I285" s="425"/>
      <c r="J285" s="425"/>
      <c r="K285" s="425"/>
      <c r="L285" s="511"/>
      <c r="M285" s="425"/>
      <c r="N285" s="425"/>
      <c r="O285" s="425"/>
      <c r="P285" s="425"/>
      <c r="Q285" s="425"/>
      <c r="R285" s="511"/>
      <c r="S285" s="425"/>
      <c r="T285" s="425"/>
      <c r="U285" s="425"/>
    </row>
    <row r="286" ht="15.75" customHeight="1">
      <c r="A286" s="425"/>
      <c r="B286" s="425"/>
      <c r="C286" s="425"/>
      <c r="D286" s="425"/>
      <c r="E286" s="425"/>
      <c r="F286" s="511"/>
      <c r="G286" s="425"/>
      <c r="H286" s="425"/>
      <c r="I286" s="425"/>
      <c r="J286" s="425"/>
      <c r="K286" s="425"/>
      <c r="L286" s="511"/>
      <c r="M286" s="425"/>
      <c r="N286" s="425"/>
      <c r="O286" s="425"/>
      <c r="P286" s="425"/>
      <c r="Q286" s="425"/>
      <c r="R286" s="511"/>
      <c r="S286" s="425"/>
      <c r="T286" s="425"/>
      <c r="U286" s="425"/>
    </row>
    <row r="287" ht="15.75" customHeight="1">
      <c r="A287" s="425"/>
      <c r="B287" s="425"/>
      <c r="C287" s="425"/>
      <c r="D287" s="425"/>
      <c r="E287" s="425"/>
      <c r="F287" s="511"/>
      <c r="G287" s="425"/>
      <c r="H287" s="425"/>
      <c r="I287" s="425"/>
      <c r="J287" s="425"/>
      <c r="K287" s="425"/>
      <c r="L287" s="511"/>
      <c r="M287" s="425"/>
      <c r="N287" s="425"/>
      <c r="O287" s="425"/>
      <c r="P287" s="425"/>
      <c r="Q287" s="425"/>
      <c r="R287" s="511"/>
      <c r="S287" s="425"/>
      <c r="T287" s="425"/>
      <c r="U287" s="425"/>
    </row>
    <row r="288" ht="15.75" customHeight="1">
      <c r="A288" s="425"/>
      <c r="B288" s="425"/>
      <c r="C288" s="425"/>
      <c r="D288" s="425"/>
      <c r="E288" s="425"/>
      <c r="F288" s="511"/>
      <c r="G288" s="425"/>
      <c r="H288" s="425"/>
      <c r="I288" s="425"/>
      <c r="J288" s="425"/>
      <c r="K288" s="425"/>
      <c r="L288" s="511"/>
      <c r="M288" s="425"/>
      <c r="N288" s="425"/>
      <c r="O288" s="425"/>
      <c r="P288" s="425"/>
      <c r="Q288" s="425"/>
      <c r="R288" s="511"/>
      <c r="S288" s="425"/>
      <c r="T288" s="425"/>
      <c r="U288" s="425"/>
    </row>
    <row r="289" ht="15.75" customHeight="1">
      <c r="A289" s="425"/>
      <c r="B289" s="425"/>
      <c r="C289" s="425"/>
      <c r="D289" s="425"/>
      <c r="E289" s="425"/>
      <c r="F289" s="511"/>
      <c r="G289" s="425"/>
      <c r="H289" s="425"/>
      <c r="I289" s="425"/>
      <c r="J289" s="425"/>
      <c r="K289" s="425"/>
      <c r="L289" s="511"/>
      <c r="M289" s="425"/>
      <c r="N289" s="425"/>
      <c r="O289" s="425"/>
      <c r="P289" s="425"/>
      <c r="Q289" s="425"/>
      <c r="R289" s="511"/>
      <c r="S289" s="425"/>
      <c r="T289" s="425"/>
      <c r="U289" s="425"/>
    </row>
    <row r="290" ht="15.75" customHeight="1">
      <c r="A290" s="425"/>
      <c r="B290" s="425"/>
      <c r="C290" s="425"/>
      <c r="D290" s="425"/>
      <c r="E290" s="425"/>
      <c r="F290" s="511"/>
      <c r="G290" s="425"/>
      <c r="H290" s="425"/>
      <c r="I290" s="425"/>
      <c r="J290" s="425"/>
      <c r="K290" s="425"/>
      <c r="L290" s="511"/>
      <c r="M290" s="425"/>
      <c r="N290" s="425"/>
      <c r="O290" s="425"/>
      <c r="P290" s="425"/>
      <c r="Q290" s="425"/>
      <c r="R290" s="511"/>
      <c r="S290" s="425"/>
      <c r="T290" s="425"/>
      <c r="U290" s="425"/>
    </row>
    <row r="291" ht="15.75" customHeight="1">
      <c r="A291" s="425"/>
      <c r="B291" s="425"/>
      <c r="C291" s="425"/>
      <c r="D291" s="425"/>
      <c r="E291" s="425"/>
      <c r="F291" s="511"/>
      <c r="G291" s="425"/>
      <c r="H291" s="425"/>
      <c r="I291" s="425"/>
      <c r="J291" s="425"/>
      <c r="K291" s="425"/>
      <c r="L291" s="511"/>
      <c r="M291" s="425"/>
      <c r="N291" s="425"/>
      <c r="O291" s="425"/>
      <c r="P291" s="425"/>
      <c r="Q291" s="425"/>
      <c r="R291" s="511"/>
      <c r="S291" s="425"/>
      <c r="T291" s="425"/>
      <c r="U291" s="425"/>
    </row>
    <row r="292" ht="15.75" customHeight="1">
      <c r="A292" s="425"/>
      <c r="B292" s="425"/>
      <c r="C292" s="425"/>
      <c r="D292" s="425"/>
      <c r="E292" s="425"/>
      <c r="F292" s="511"/>
      <c r="G292" s="425"/>
      <c r="H292" s="425"/>
      <c r="I292" s="425"/>
      <c r="J292" s="425"/>
      <c r="K292" s="425"/>
      <c r="L292" s="511"/>
      <c r="M292" s="425"/>
      <c r="N292" s="425"/>
      <c r="O292" s="425"/>
      <c r="P292" s="425"/>
      <c r="Q292" s="425"/>
      <c r="R292" s="511"/>
      <c r="S292" s="425"/>
      <c r="T292" s="425"/>
      <c r="U292" s="425"/>
    </row>
    <row r="293" ht="15.75" customHeight="1">
      <c r="A293" s="425"/>
      <c r="B293" s="425"/>
      <c r="C293" s="425"/>
      <c r="D293" s="425"/>
      <c r="E293" s="425"/>
      <c r="F293" s="511"/>
      <c r="G293" s="425"/>
      <c r="H293" s="425"/>
      <c r="I293" s="425"/>
      <c r="J293" s="425"/>
      <c r="K293" s="425"/>
      <c r="L293" s="511"/>
      <c r="M293" s="425"/>
      <c r="N293" s="425"/>
      <c r="O293" s="425"/>
      <c r="P293" s="425"/>
      <c r="Q293" s="425"/>
      <c r="R293" s="511"/>
      <c r="S293" s="425"/>
      <c r="T293" s="425"/>
      <c r="U293" s="425"/>
    </row>
    <row r="294" ht="15.75" customHeight="1">
      <c r="A294" s="425"/>
      <c r="B294" s="425"/>
      <c r="C294" s="425"/>
      <c r="D294" s="425"/>
      <c r="E294" s="425"/>
      <c r="F294" s="511"/>
      <c r="G294" s="425"/>
      <c r="H294" s="425"/>
      <c r="I294" s="425"/>
      <c r="J294" s="425"/>
      <c r="K294" s="425"/>
      <c r="L294" s="511"/>
      <c r="M294" s="425"/>
      <c r="N294" s="425"/>
      <c r="O294" s="425"/>
      <c r="P294" s="425"/>
      <c r="Q294" s="425"/>
      <c r="R294" s="511"/>
      <c r="S294" s="425"/>
      <c r="T294" s="425"/>
      <c r="U294" s="425"/>
    </row>
    <row r="295" ht="15.75" customHeight="1">
      <c r="A295" s="425"/>
      <c r="B295" s="425"/>
      <c r="C295" s="425"/>
      <c r="D295" s="425"/>
      <c r="E295" s="425"/>
      <c r="F295" s="511"/>
      <c r="G295" s="425"/>
      <c r="H295" s="425"/>
      <c r="I295" s="425"/>
      <c r="J295" s="425"/>
      <c r="K295" s="425"/>
      <c r="L295" s="511"/>
      <c r="M295" s="425"/>
      <c r="N295" s="425"/>
      <c r="O295" s="425"/>
      <c r="P295" s="425"/>
      <c r="Q295" s="425"/>
      <c r="R295" s="511"/>
      <c r="S295" s="425"/>
      <c r="T295" s="425"/>
      <c r="U295" s="425"/>
    </row>
    <row r="296" ht="15.75" customHeight="1">
      <c r="A296" s="425"/>
      <c r="B296" s="425"/>
      <c r="C296" s="425"/>
      <c r="D296" s="425"/>
      <c r="E296" s="425"/>
      <c r="F296" s="511"/>
      <c r="G296" s="425"/>
      <c r="H296" s="425"/>
      <c r="I296" s="425"/>
      <c r="J296" s="425"/>
      <c r="K296" s="425"/>
      <c r="L296" s="511"/>
      <c r="M296" s="425"/>
      <c r="N296" s="425"/>
      <c r="O296" s="425"/>
      <c r="P296" s="425"/>
      <c r="Q296" s="425"/>
      <c r="R296" s="511"/>
      <c r="S296" s="425"/>
      <c r="T296" s="425"/>
      <c r="U296" s="425"/>
    </row>
    <row r="297" ht="15.75" customHeight="1">
      <c r="A297" s="425"/>
      <c r="B297" s="425"/>
      <c r="C297" s="425"/>
      <c r="D297" s="425"/>
      <c r="E297" s="425"/>
      <c r="F297" s="511"/>
      <c r="G297" s="425"/>
      <c r="H297" s="425"/>
      <c r="I297" s="425"/>
      <c r="J297" s="425"/>
      <c r="K297" s="425"/>
      <c r="L297" s="511"/>
      <c r="M297" s="425"/>
      <c r="N297" s="425"/>
      <c r="O297" s="425"/>
      <c r="P297" s="425"/>
      <c r="Q297" s="425"/>
      <c r="R297" s="511"/>
      <c r="S297" s="425"/>
      <c r="T297" s="425"/>
      <c r="U297" s="425"/>
    </row>
    <row r="298" ht="15.75" customHeight="1">
      <c r="A298" s="425"/>
      <c r="B298" s="425"/>
      <c r="C298" s="425"/>
      <c r="D298" s="425"/>
      <c r="E298" s="425"/>
      <c r="F298" s="511"/>
      <c r="G298" s="425"/>
      <c r="H298" s="425"/>
      <c r="I298" s="425"/>
      <c r="J298" s="425"/>
      <c r="K298" s="425"/>
      <c r="L298" s="511"/>
      <c r="M298" s="425"/>
      <c r="N298" s="425"/>
      <c r="O298" s="425"/>
      <c r="P298" s="425"/>
      <c r="Q298" s="425"/>
      <c r="R298" s="511"/>
      <c r="S298" s="425"/>
      <c r="T298" s="425"/>
      <c r="U298" s="425"/>
    </row>
    <row r="299" ht="15.75" customHeight="1">
      <c r="A299" s="425"/>
      <c r="B299" s="425"/>
      <c r="C299" s="425"/>
      <c r="D299" s="425"/>
      <c r="E299" s="425"/>
      <c r="F299" s="511"/>
      <c r="G299" s="425"/>
      <c r="H299" s="425"/>
      <c r="I299" s="425"/>
      <c r="J299" s="425"/>
      <c r="K299" s="425"/>
      <c r="L299" s="511"/>
      <c r="M299" s="425"/>
      <c r="N299" s="425"/>
      <c r="O299" s="425"/>
      <c r="P299" s="425"/>
      <c r="Q299" s="425"/>
      <c r="R299" s="511"/>
      <c r="S299" s="425"/>
      <c r="T299" s="425"/>
      <c r="U299" s="425"/>
    </row>
    <row r="300" ht="15.75" customHeight="1">
      <c r="A300" s="425"/>
      <c r="B300" s="425"/>
      <c r="C300" s="425"/>
      <c r="D300" s="425"/>
      <c r="E300" s="425"/>
      <c r="F300" s="511"/>
      <c r="G300" s="425"/>
      <c r="H300" s="425"/>
      <c r="I300" s="425"/>
      <c r="J300" s="425"/>
      <c r="K300" s="425"/>
      <c r="L300" s="511"/>
      <c r="M300" s="425"/>
      <c r="N300" s="425"/>
      <c r="O300" s="425"/>
      <c r="P300" s="425"/>
      <c r="Q300" s="425"/>
      <c r="R300" s="511"/>
      <c r="S300" s="425"/>
      <c r="T300" s="425"/>
      <c r="U300" s="425"/>
    </row>
    <row r="301" ht="15.75" customHeight="1">
      <c r="A301" s="425"/>
      <c r="B301" s="425"/>
      <c r="C301" s="425"/>
      <c r="D301" s="425"/>
      <c r="E301" s="425"/>
      <c r="F301" s="511"/>
      <c r="G301" s="425"/>
      <c r="H301" s="425"/>
      <c r="I301" s="425"/>
      <c r="J301" s="425"/>
      <c r="K301" s="425"/>
      <c r="L301" s="511"/>
      <c r="M301" s="425"/>
      <c r="N301" s="425"/>
      <c r="O301" s="425"/>
      <c r="P301" s="425"/>
      <c r="Q301" s="425"/>
      <c r="R301" s="511"/>
      <c r="S301" s="425"/>
      <c r="T301" s="425"/>
      <c r="U301" s="425"/>
    </row>
    <row r="302" ht="15.75" customHeight="1">
      <c r="A302" s="425"/>
      <c r="B302" s="425"/>
      <c r="C302" s="425"/>
      <c r="D302" s="425"/>
      <c r="E302" s="425"/>
      <c r="F302" s="511"/>
      <c r="G302" s="425"/>
      <c r="H302" s="425"/>
      <c r="I302" s="425"/>
      <c r="J302" s="425"/>
      <c r="K302" s="425"/>
      <c r="L302" s="511"/>
      <c r="M302" s="425"/>
      <c r="N302" s="425"/>
      <c r="O302" s="425"/>
      <c r="P302" s="425"/>
      <c r="Q302" s="425"/>
      <c r="R302" s="511"/>
      <c r="S302" s="425"/>
      <c r="T302" s="425"/>
      <c r="U302" s="425"/>
    </row>
    <row r="303" ht="15.75" customHeight="1">
      <c r="A303" s="425"/>
      <c r="B303" s="425"/>
      <c r="C303" s="425"/>
      <c r="D303" s="425"/>
      <c r="E303" s="425"/>
      <c r="F303" s="511"/>
      <c r="G303" s="425"/>
      <c r="H303" s="425"/>
      <c r="I303" s="425"/>
      <c r="J303" s="425"/>
      <c r="K303" s="425"/>
      <c r="L303" s="511"/>
      <c r="M303" s="425"/>
      <c r="N303" s="425"/>
      <c r="O303" s="425"/>
      <c r="P303" s="425"/>
      <c r="Q303" s="425"/>
      <c r="R303" s="511"/>
      <c r="S303" s="425"/>
      <c r="T303" s="425"/>
      <c r="U303" s="425"/>
    </row>
    <row r="304" ht="15.75" customHeight="1">
      <c r="A304" s="425"/>
      <c r="B304" s="425"/>
      <c r="C304" s="425"/>
      <c r="D304" s="425"/>
      <c r="E304" s="425"/>
      <c r="F304" s="511"/>
      <c r="G304" s="425"/>
      <c r="H304" s="425"/>
      <c r="I304" s="425"/>
      <c r="J304" s="425"/>
      <c r="K304" s="425"/>
      <c r="L304" s="511"/>
      <c r="M304" s="425"/>
      <c r="N304" s="425"/>
      <c r="O304" s="425"/>
      <c r="P304" s="425"/>
      <c r="Q304" s="425"/>
      <c r="R304" s="511"/>
      <c r="S304" s="425"/>
      <c r="T304" s="425"/>
      <c r="U304" s="425"/>
    </row>
    <row r="305" ht="15.75" customHeight="1">
      <c r="A305" s="425"/>
      <c r="B305" s="425"/>
      <c r="C305" s="425"/>
      <c r="D305" s="425"/>
      <c r="E305" s="425"/>
      <c r="F305" s="511"/>
      <c r="G305" s="425"/>
      <c r="H305" s="425"/>
      <c r="I305" s="425"/>
      <c r="J305" s="425"/>
      <c r="K305" s="425"/>
      <c r="L305" s="511"/>
      <c r="M305" s="425"/>
      <c r="N305" s="425"/>
      <c r="O305" s="425"/>
      <c r="P305" s="425"/>
      <c r="Q305" s="425"/>
      <c r="R305" s="511"/>
      <c r="S305" s="425"/>
      <c r="T305" s="425"/>
      <c r="U305" s="425"/>
    </row>
    <row r="306" ht="15.75" customHeight="1">
      <c r="A306" s="425"/>
      <c r="B306" s="425"/>
      <c r="C306" s="425"/>
      <c r="D306" s="425"/>
      <c r="E306" s="425"/>
      <c r="F306" s="511"/>
      <c r="G306" s="425"/>
      <c r="H306" s="425"/>
      <c r="I306" s="425"/>
      <c r="J306" s="425"/>
      <c r="K306" s="425"/>
      <c r="L306" s="511"/>
      <c r="M306" s="425"/>
      <c r="N306" s="425"/>
      <c r="O306" s="425"/>
      <c r="P306" s="425"/>
      <c r="Q306" s="425"/>
      <c r="R306" s="511"/>
      <c r="S306" s="425"/>
      <c r="T306" s="425"/>
      <c r="U306" s="425"/>
    </row>
    <row r="307" ht="15.75" customHeight="1">
      <c r="A307" s="425"/>
      <c r="B307" s="425"/>
      <c r="C307" s="425"/>
      <c r="D307" s="425"/>
      <c r="E307" s="425"/>
      <c r="F307" s="511"/>
      <c r="G307" s="425"/>
      <c r="H307" s="425"/>
      <c r="I307" s="425"/>
      <c r="J307" s="425"/>
      <c r="K307" s="425"/>
      <c r="L307" s="511"/>
      <c r="M307" s="425"/>
      <c r="N307" s="425"/>
      <c r="O307" s="425"/>
      <c r="P307" s="425"/>
      <c r="Q307" s="425"/>
      <c r="R307" s="511"/>
      <c r="S307" s="425"/>
      <c r="T307" s="425"/>
      <c r="U307" s="425"/>
    </row>
    <row r="308" ht="15.75" customHeight="1">
      <c r="A308" s="425"/>
      <c r="B308" s="425"/>
      <c r="C308" s="425"/>
      <c r="D308" s="425"/>
      <c r="E308" s="425"/>
      <c r="F308" s="511"/>
      <c r="G308" s="425"/>
      <c r="H308" s="425"/>
      <c r="I308" s="425"/>
      <c r="J308" s="425"/>
      <c r="K308" s="425"/>
      <c r="L308" s="511"/>
      <c r="M308" s="425"/>
      <c r="N308" s="425"/>
      <c r="O308" s="425"/>
      <c r="P308" s="425"/>
      <c r="Q308" s="425"/>
      <c r="R308" s="511"/>
      <c r="S308" s="425"/>
      <c r="T308" s="425"/>
      <c r="U308" s="425"/>
    </row>
    <row r="309" ht="15.75" customHeight="1">
      <c r="A309" s="425"/>
      <c r="B309" s="425"/>
      <c r="C309" s="425"/>
      <c r="D309" s="425"/>
      <c r="E309" s="425"/>
      <c r="F309" s="511"/>
      <c r="G309" s="425"/>
      <c r="H309" s="425"/>
      <c r="I309" s="425"/>
      <c r="J309" s="425"/>
      <c r="K309" s="425"/>
      <c r="L309" s="511"/>
      <c r="M309" s="425"/>
      <c r="N309" s="425"/>
      <c r="O309" s="425"/>
      <c r="P309" s="425"/>
      <c r="Q309" s="425"/>
      <c r="R309" s="511"/>
      <c r="S309" s="425"/>
      <c r="T309" s="425"/>
      <c r="U309" s="425"/>
    </row>
    <row r="310" ht="15.75" customHeight="1">
      <c r="A310" s="425"/>
      <c r="B310" s="425"/>
      <c r="C310" s="425"/>
      <c r="D310" s="425"/>
      <c r="E310" s="425"/>
      <c r="F310" s="511"/>
      <c r="G310" s="425"/>
      <c r="H310" s="425"/>
      <c r="I310" s="425"/>
      <c r="J310" s="425"/>
      <c r="K310" s="425"/>
      <c r="L310" s="511"/>
      <c r="M310" s="425"/>
      <c r="N310" s="425"/>
      <c r="O310" s="425"/>
      <c r="P310" s="425"/>
      <c r="Q310" s="425"/>
      <c r="R310" s="511"/>
      <c r="S310" s="425"/>
      <c r="T310" s="425"/>
      <c r="U310" s="425"/>
    </row>
    <row r="311" ht="15.75" customHeight="1">
      <c r="A311" s="425"/>
      <c r="B311" s="425"/>
      <c r="C311" s="425"/>
      <c r="D311" s="425"/>
      <c r="E311" s="425"/>
      <c r="F311" s="511"/>
      <c r="G311" s="425"/>
      <c r="H311" s="425"/>
      <c r="I311" s="425"/>
      <c r="J311" s="425"/>
      <c r="K311" s="425"/>
      <c r="L311" s="511"/>
      <c r="M311" s="425"/>
      <c r="N311" s="425"/>
      <c r="O311" s="425"/>
      <c r="P311" s="425"/>
      <c r="Q311" s="425"/>
      <c r="R311" s="511"/>
      <c r="S311" s="425"/>
      <c r="T311" s="425"/>
      <c r="U311" s="425"/>
    </row>
    <row r="312" ht="15.75" customHeight="1">
      <c r="A312" s="425"/>
      <c r="B312" s="425"/>
      <c r="C312" s="425"/>
      <c r="D312" s="425"/>
      <c r="E312" s="425"/>
      <c r="F312" s="511"/>
      <c r="G312" s="425"/>
      <c r="H312" s="425"/>
      <c r="I312" s="425"/>
      <c r="J312" s="425"/>
      <c r="K312" s="425"/>
      <c r="L312" s="511"/>
      <c r="M312" s="425"/>
      <c r="N312" s="425"/>
      <c r="O312" s="425"/>
      <c r="P312" s="425"/>
      <c r="Q312" s="425"/>
      <c r="R312" s="511"/>
      <c r="S312" s="425"/>
      <c r="T312" s="425"/>
      <c r="U312" s="425"/>
    </row>
    <row r="313" ht="15.75" customHeight="1">
      <c r="A313" s="425"/>
      <c r="B313" s="425"/>
      <c r="C313" s="425"/>
      <c r="D313" s="425"/>
      <c r="E313" s="425"/>
      <c r="F313" s="511"/>
      <c r="G313" s="425"/>
      <c r="H313" s="425"/>
      <c r="I313" s="425"/>
      <c r="J313" s="425"/>
      <c r="K313" s="425"/>
      <c r="L313" s="511"/>
      <c r="M313" s="425"/>
      <c r="N313" s="425"/>
      <c r="O313" s="425"/>
      <c r="P313" s="425"/>
      <c r="Q313" s="425"/>
      <c r="R313" s="511"/>
      <c r="S313" s="425"/>
      <c r="T313" s="425"/>
      <c r="U313" s="425"/>
    </row>
    <row r="314" ht="15.75" customHeight="1">
      <c r="A314" s="425"/>
      <c r="B314" s="425"/>
      <c r="C314" s="425"/>
      <c r="D314" s="425"/>
      <c r="E314" s="425"/>
      <c r="F314" s="511"/>
      <c r="G314" s="425"/>
      <c r="H314" s="425"/>
      <c r="I314" s="425"/>
      <c r="J314" s="425"/>
      <c r="K314" s="425"/>
      <c r="L314" s="511"/>
      <c r="M314" s="425"/>
      <c r="N314" s="425"/>
      <c r="O314" s="425"/>
      <c r="P314" s="425"/>
      <c r="Q314" s="425"/>
      <c r="R314" s="511"/>
      <c r="S314" s="425"/>
      <c r="T314" s="425"/>
      <c r="U314" s="425"/>
    </row>
    <row r="315" ht="15.75" customHeight="1">
      <c r="A315" s="425"/>
      <c r="B315" s="425"/>
      <c r="C315" s="425"/>
      <c r="D315" s="425"/>
      <c r="E315" s="425"/>
      <c r="F315" s="511"/>
      <c r="G315" s="425"/>
      <c r="H315" s="425"/>
      <c r="I315" s="425"/>
      <c r="J315" s="425"/>
      <c r="K315" s="425"/>
      <c r="L315" s="511"/>
      <c r="M315" s="425"/>
      <c r="N315" s="425"/>
      <c r="O315" s="425"/>
      <c r="P315" s="425"/>
      <c r="Q315" s="425"/>
      <c r="R315" s="511"/>
      <c r="S315" s="425"/>
      <c r="T315" s="425"/>
      <c r="U315" s="425"/>
    </row>
    <row r="316" ht="15.75" customHeight="1">
      <c r="A316" s="425"/>
      <c r="B316" s="425"/>
      <c r="C316" s="425"/>
      <c r="D316" s="425"/>
      <c r="E316" s="425"/>
      <c r="F316" s="511"/>
      <c r="G316" s="425"/>
      <c r="H316" s="425"/>
      <c r="I316" s="425"/>
      <c r="J316" s="425"/>
      <c r="K316" s="425"/>
      <c r="L316" s="511"/>
      <c r="M316" s="425"/>
      <c r="N316" s="425"/>
      <c r="O316" s="425"/>
      <c r="P316" s="425"/>
      <c r="Q316" s="425"/>
      <c r="R316" s="511"/>
      <c r="S316" s="425"/>
      <c r="T316" s="425"/>
      <c r="U316" s="425"/>
    </row>
    <row r="317" ht="15.75" customHeight="1">
      <c r="A317" s="425"/>
      <c r="B317" s="425"/>
      <c r="C317" s="425"/>
      <c r="D317" s="425"/>
      <c r="E317" s="425"/>
      <c r="F317" s="511"/>
      <c r="G317" s="425"/>
      <c r="H317" s="425"/>
      <c r="I317" s="425"/>
      <c r="J317" s="425"/>
      <c r="K317" s="425"/>
      <c r="L317" s="511"/>
      <c r="M317" s="425"/>
      <c r="N317" s="425"/>
      <c r="O317" s="425"/>
      <c r="P317" s="425"/>
      <c r="Q317" s="425"/>
      <c r="R317" s="511"/>
      <c r="S317" s="425"/>
      <c r="T317" s="425"/>
      <c r="U317" s="425"/>
    </row>
    <row r="318" ht="15.75" customHeight="1">
      <c r="A318" s="425"/>
      <c r="B318" s="425"/>
      <c r="C318" s="425"/>
      <c r="D318" s="425"/>
      <c r="E318" s="425"/>
      <c r="F318" s="511"/>
      <c r="G318" s="425"/>
      <c r="H318" s="425"/>
      <c r="I318" s="425"/>
      <c r="J318" s="425"/>
      <c r="K318" s="425"/>
      <c r="L318" s="511"/>
      <c r="M318" s="425"/>
      <c r="N318" s="425"/>
      <c r="O318" s="425"/>
      <c r="P318" s="425"/>
      <c r="Q318" s="425"/>
      <c r="R318" s="511"/>
      <c r="S318" s="425"/>
      <c r="T318" s="425"/>
      <c r="U318" s="425"/>
    </row>
    <row r="319" ht="15.75" customHeight="1">
      <c r="A319" s="425"/>
      <c r="B319" s="425"/>
      <c r="C319" s="425"/>
      <c r="D319" s="425"/>
      <c r="E319" s="425"/>
      <c r="F319" s="511"/>
      <c r="G319" s="425"/>
      <c r="H319" s="425"/>
      <c r="I319" s="425"/>
      <c r="J319" s="425"/>
      <c r="K319" s="425"/>
      <c r="L319" s="511"/>
      <c r="M319" s="425"/>
      <c r="N319" s="425"/>
      <c r="O319" s="425"/>
      <c r="P319" s="425"/>
      <c r="Q319" s="425"/>
      <c r="R319" s="511"/>
      <c r="S319" s="425"/>
      <c r="T319" s="425"/>
      <c r="U319" s="425"/>
    </row>
    <row r="320" ht="15.75" customHeight="1">
      <c r="A320" s="425"/>
      <c r="B320" s="425"/>
      <c r="C320" s="425"/>
      <c r="D320" s="425"/>
      <c r="E320" s="425"/>
      <c r="F320" s="511"/>
      <c r="G320" s="425"/>
      <c r="H320" s="425"/>
      <c r="I320" s="425"/>
      <c r="J320" s="425"/>
      <c r="K320" s="425"/>
      <c r="L320" s="511"/>
      <c r="M320" s="425"/>
      <c r="N320" s="425"/>
      <c r="O320" s="425"/>
      <c r="P320" s="425"/>
      <c r="Q320" s="425"/>
      <c r="R320" s="511"/>
      <c r="S320" s="425"/>
      <c r="T320" s="425"/>
      <c r="U320" s="425"/>
    </row>
    <row r="321" ht="15.75" customHeight="1">
      <c r="A321" s="425"/>
      <c r="B321" s="425"/>
      <c r="C321" s="425"/>
      <c r="D321" s="425"/>
      <c r="E321" s="425"/>
      <c r="F321" s="511"/>
      <c r="G321" s="425"/>
      <c r="H321" s="425"/>
      <c r="I321" s="425"/>
      <c r="J321" s="425"/>
      <c r="K321" s="425"/>
      <c r="L321" s="511"/>
      <c r="M321" s="425"/>
      <c r="N321" s="425"/>
      <c r="O321" s="425"/>
      <c r="P321" s="425"/>
      <c r="Q321" s="425"/>
      <c r="R321" s="511"/>
      <c r="S321" s="425"/>
      <c r="T321" s="425"/>
      <c r="U321" s="425"/>
    </row>
    <row r="322" ht="15.75" customHeight="1">
      <c r="A322" s="425"/>
      <c r="B322" s="425"/>
      <c r="C322" s="425"/>
      <c r="D322" s="425"/>
      <c r="E322" s="425"/>
      <c r="F322" s="511"/>
      <c r="G322" s="425"/>
      <c r="H322" s="425"/>
      <c r="I322" s="425"/>
      <c r="J322" s="425"/>
      <c r="K322" s="425"/>
      <c r="L322" s="511"/>
      <c r="M322" s="425"/>
      <c r="N322" s="425"/>
      <c r="O322" s="425"/>
      <c r="P322" s="425"/>
      <c r="Q322" s="425"/>
      <c r="R322" s="511"/>
      <c r="S322" s="425"/>
      <c r="T322" s="425"/>
      <c r="U322" s="425"/>
    </row>
    <row r="323" ht="15.75" customHeight="1">
      <c r="A323" s="425"/>
      <c r="B323" s="425"/>
      <c r="C323" s="425"/>
      <c r="D323" s="425"/>
      <c r="E323" s="425"/>
      <c r="F323" s="511"/>
      <c r="G323" s="425"/>
      <c r="H323" s="425"/>
      <c r="I323" s="425"/>
      <c r="J323" s="425"/>
      <c r="K323" s="425"/>
      <c r="L323" s="511"/>
      <c r="M323" s="425"/>
      <c r="N323" s="425"/>
      <c r="O323" s="425"/>
      <c r="P323" s="425"/>
      <c r="Q323" s="425"/>
      <c r="R323" s="511"/>
      <c r="S323" s="425"/>
      <c r="T323" s="425"/>
      <c r="U323" s="425"/>
    </row>
    <row r="324" ht="15.75" customHeight="1">
      <c r="A324" s="425"/>
      <c r="B324" s="425"/>
      <c r="C324" s="425"/>
      <c r="D324" s="425"/>
      <c r="E324" s="425"/>
      <c r="F324" s="511"/>
      <c r="G324" s="425"/>
      <c r="H324" s="425"/>
      <c r="I324" s="425"/>
      <c r="J324" s="425"/>
      <c r="K324" s="425"/>
      <c r="L324" s="511"/>
      <c r="M324" s="425"/>
      <c r="N324" s="425"/>
      <c r="O324" s="425"/>
      <c r="P324" s="425"/>
      <c r="Q324" s="425"/>
      <c r="R324" s="511"/>
      <c r="S324" s="425"/>
      <c r="T324" s="425"/>
      <c r="U324" s="425"/>
    </row>
    <row r="325" ht="15.75" customHeight="1">
      <c r="A325" s="425"/>
      <c r="B325" s="425"/>
      <c r="C325" s="425"/>
      <c r="D325" s="425"/>
      <c r="E325" s="425"/>
      <c r="F325" s="511"/>
      <c r="G325" s="425"/>
      <c r="H325" s="425"/>
      <c r="I325" s="425"/>
      <c r="J325" s="425"/>
      <c r="K325" s="425"/>
      <c r="L325" s="511"/>
      <c r="M325" s="425"/>
      <c r="N325" s="425"/>
      <c r="O325" s="425"/>
      <c r="P325" s="425"/>
      <c r="Q325" s="425"/>
      <c r="R325" s="511"/>
      <c r="S325" s="425"/>
      <c r="T325" s="425"/>
      <c r="U325" s="425"/>
    </row>
    <row r="326" ht="15.75" customHeight="1">
      <c r="A326" s="425"/>
      <c r="B326" s="425"/>
      <c r="C326" s="425"/>
      <c r="D326" s="425"/>
      <c r="E326" s="425"/>
      <c r="F326" s="511"/>
      <c r="G326" s="425"/>
      <c r="H326" s="425"/>
      <c r="I326" s="425"/>
      <c r="J326" s="425"/>
      <c r="K326" s="425"/>
      <c r="L326" s="511"/>
      <c r="M326" s="425"/>
      <c r="N326" s="425"/>
      <c r="O326" s="425"/>
      <c r="P326" s="425"/>
      <c r="Q326" s="425"/>
      <c r="R326" s="511"/>
      <c r="S326" s="425"/>
      <c r="T326" s="425"/>
      <c r="U326" s="425"/>
    </row>
    <row r="327" ht="15.75" customHeight="1">
      <c r="A327" s="425"/>
      <c r="B327" s="425"/>
      <c r="C327" s="425"/>
      <c r="D327" s="425"/>
      <c r="E327" s="425"/>
      <c r="F327" s="511"/>
      <c r="G327" s="425"/>
      <c r="H327" s="425"/>
      <c r="I327" s="425"/>
      <c r="J327" s="425"/>
      <c r="K327" s="425"/>
      <c r="L327" s="511"/>
      <c r="M327" s="425"/>
      <c r="N327" s="425"/>
      <c r="O327" s="425"/>
      <c r="P327" s="425"/>
      <c r="Q327" s="425"/>
      <c r="R327" s="511"/>
      <c r="S327" s="425"/>
      <c r="T327" s="425"/>
      <c r="U327" s="425"/>
    </row>
    <row r="328" ht="15.75" customHeight="1">
      <c r="A328" s="425"/>
      <c r="B328" s="425"/>
      <c r="C328" s="425"/>
      <c r="D328" s="425"/>
      <c r="E328" s="425"/>
      <c r="F328" s="511"/>
      <c r="G328" s="425"/>
      <c r="H328" s="425"/>
      <c r="I328" s="425"/>
      <c r="J328" s="425"/>
      <c r="K328" s="425"/>
      <c r="L328" s="511"/>
      <c r="M328" s="425"/>
      <c r="N328" s="425"/>
      <c r="O328" s="425"/>
      <c r="P328" s="425"/>
      <c r="Q328" s="425"/>
      <c r="R328" s="511"/>
      <c r="S328" s="425"/>
      <c r="T328" s="425"/>
      <c r="U328" s="425"/>
    </row>
    <row r="329" ht="15.75" customHeight="1">
      <c r="A329" s="425"/>
      <c r="B329" s="425"/>
      <c r="C329" s="425"/>
      <c r="D329" s="425"/>
      <c r="E329" s="425"/>
      <c r="F329" s="511"/>
      <c r="G329" s="425"/>
      <c r="H329" s="425"/>
      <c r="I329" s="425"/>
      <c r="J329" s="425"/>
      <c r="K329" s="425"/>
      <c r="L329" s="511"/>
      <c r="M329" s="425"/>
      <c r="N329" s="425"/>
      <c r="O329" s="425"/>
      <c r="P329" s="425"/>
      <c r="Q329" s="425"/>
      <c r="R329" s="511"/>
      <c r="S329" s="425"/>
      <c r="T329" s="425"/>
      <c r="U329" s="425"/>
    </row>
    <row r="330" ht="15.75" customHeight="1">
      <c r="A330" s="425"/>
      <c r="B330" s="425"/>
      <c r="C330" s="425"/>
      <c r="D330" s="425"/>
      <c r="E330" s="425"/>
      <c r="F330" s="511"/>
      <c r="G330" s="425"/>
      <c r="H330" s="425"/>
      <c r="I330" s="425"/>
      <c r="J330" s="425"/>
      <c r="K330" s="425"/>
      <c r="L330" s="511"/>
      <c r="M330" s="425"/>
      <c r="N330" s="425"/>
      <c r="O330" s="425"/>
      <c r="P330" s="425"/>
      <c r="Q330" s="425"/>
      <c r="R330" s="511"/>
      <c r="S330" s="425"/>
      <c r="T330" s="425"/>
      <c r="U330" s="425"/>
    </row>
    <row r="331" ht="15.75" customHeight="1">
      <c r="A331" s="425"/>
      <c r="B331" s="425"/>
      <c r="C331" s="425"/>
      <c r="D331" s="425"/>
      <c r="E331" s="425"/>
      <c r="F331" s="511"/>
      <c r="G331" s="425"/>
      <c r="H331" s="425"/>
      <c r="I331" s="425"/>
      <c r="J331" s="425"/>
      <c r="K331" s="425"/>
      <c r="L331" s="511"/>
      <c r="M331" s="425"/>
      <c r="N331" s="425"/>
      <c r="O331" s="425"/>
      <c r="P331" s="425"/>
      <c r="Q331" s="425"/>
      <c r="R331" s="511"/>
      <c r="S331" s="425"/>
      <c r="T331" s="425"/>
      <c r="U331" s="425"/>
    </row>
    <row r="332" ht="15.75" customHeight="1">
      <c r="A332" s="425"/>
      <c r="B332" s="425"/>
      <c r="C332" s="425"/>
      <c r="D332" s="425"/>
      <c r="E332" s="425"/>
      <c r="F332" s="511"/>
      <c r="G332" s="425"/>
      <c r="H332" s="425"/>
      <c r="I332" s="425"/>
      <c r="J332" s="425"/>
      <c r="K332" s="425"/>
      <c r="L332" s="511"/>
      <c r="M332" s="425"/>
      <c r="N332" s="425"/>
      <c r="O332" s="425"/>
      <c r="P332" s="425"/>
      <c r="Q332" s="425"/>
      <c r="R332" s="511"/>
      <c r="S332" s="425"/>
      <c r="T332" s="425"/>
      <c r="U332" s="425"/>
    </row>
    <row r="333" ht="15.75" customHeight="1">
      <c r="A333" s="425"/>
      <c r="B333" s="425"/>
      <c r="C333" s="425"/>
      <c r="D333" s="425"/>
      <c r="E333" s="425"/>
      <c r="F333" s="511"/>
      <c r="G333" s="425"/>
      <c r="H333" s="425"/>
      <c r="I333" s="425"/>
      <c r="J333" s="425"/>
      <c r="K333" s="425"/>
      <c r="L333" s="511"/>
      <c r="M333" s="425"/>
      <c r="N333" s="425"/>
      <c r="O333" s="425"/>
      <c r="P333" s="425"/>
      <c r="Q333" s="425"/>
      <c r="R333" s="511"/>
      <c r="S333" s="425"/>
      <c r="T333" s="425"/>
      <c r="U333" s="425"/>
    </row>
    <row r="334" ht="15.75" customHeight="1">
      <c r="A334" s="425"/>
      <c r="B334" s="425"/>
      <c r="C334" s="425"/>
      <c r="D334" s="425"/>
      <c r="E334" s="425"/>
      <c r="F334" s="511"/>
      <c r="G334" s="425"/>
      <c r="H334" s="425"/>
      <c r="I334" s="425"/>
      <c r="J334" s="425"/>
      <c r="K334" s="425"/>
      <c r="L334" s="511"/>
      <c r="M334" s="425"/>
      <c r="N334" s="425"/>
      <c r="O334" s="425"/>
      <c r="P334" s="425"/>
      <c r="Q334" s="425"/>
      <c r="R334" s="511"/>
      <c r="S334" s="425"/>
      <c r="T334" s="425"/>
      <c r="U334" s="425"/>
    </row>
    <row r="335" ht="15.75" customHeight="1">
      <c r="A335" s="425"/>
      <c r="B335" s="425"/>
      <c r="C335" s="425"/>
      <c r="D335" s="425"/>
      <c r="E335" s="425"/>
      <c r="F335" s="511"/>
      <c r="G335" s="425"/>
      <c r="H335" s="425"/>
      <c r="I335" s="425"/>
      <c r="J335" s="425"/>
      <c r="K335" s="425"/>
      <c r="L335" s="511"/>
      <c r="M335" s="425"/>
      <c r="N335" s="425"/>
      <c r="O335" s="425"/>
      <c r="P335" s="425"/>
      <c r="Q335" s="425"/>
      <c r="R335" s="511"/>
      <c r="S335" s="425"/>
      <c r="T335" s="425"/>
      <c r="U335" s="425"/>
    </row>
    <row r="336" ht="15.75" customHeight="1">
      <c r="A336" s="425"/>
      <c r="B336" s="425"/>
      <c r="C336" s="425"/>
      <c r="D336" s="425"/>
      <c r="E336" s="425"/>
      <c r="F336" s="511"/>
      <c r="G336" s="425"/>
      <c r="H336" s="425"/>
      <c r="I336" s="425"/>
      <c r="J336" s="425"/>
      <c r="K336" s="425"/>
      <c r="L336" s="511"/>
      <c r="M336" s="425"/>
      <c r="N336" s="425"/>
      <c r="O336" s="425"/>
      <c r="P336" s="425"/>
      <c r="Q336" s="425"/>
      <c r="R336" s="511"/>
      <c r="S336" s="425"/>
      <c r="T336" s="425"/>
      <c r="U336" s="425"/>
    </row>
    <row r="337" ht="15.75" customHeight="1">
      <c r="A337" s="425"/>
      <c r="B337" s="425"/>
      <c r="C337" s="425"/>
      <c r="D337" s="425"/>
      <c r="E337" s="425"/>
      <c r="F337" s="511"/>
      <c r="G337" s="425"/>
      <c r="H337" s="425"/>
      <c r="I337" s="425"/>
      <c r="J337" s="425"/>
      <c r="K337" s="425"/>
      <c r="L337" s="511"/>
      <c r="M337" s="425"/>
      <c r="N337" s="425"/>
      <c r="O337" s="425"/>
      <c r="P337" s="425"/>
      <c r="Q337" s="425"/>
      <c r="R337" s="511"/>
      <c r="S337" s="425"/>
      <c r="T337" s="425"/>
      <c r="U337" s="425"/>
    </row>
    <row r="338" ht="15.75" customHeight="1">
      <c r="A338" s="425"/>
      <c r="B338" s="425"/>
      <c r="C338" s="425"/>
      <c r="D338" s="425"/>
      <c r="E338" s="425"/>
      <c r="F338" s="511"/>
      <c r="G338" s="425"/>
      <c r="H338" s="425"/>
      <c r="I338" s="425"/>
      <c r="J338" s="425"/>
      <c r="K338" s="425"/>
      <c r="L338" s="511"/>
      <c r="M338" s="425"/>
      <c r="N338" s="425"/>
      <c r="O338" s="425"/>
      <c r="P338" s="425"/>
      <c r="Q338" s="425"/>
      <c r="R338" s="511"/>
      <c r="S338" s="425"/>
      <c r="T338" s="425"/>
      <c r="U338" s="425"/>
    </row>
    <row r="339" ht="15.75" customHeight="1">
      <c r="A339" s="425"/>
      <c r="B339" s="425"/>
      <c r="C339" s="425"/>
      <c r="D339" s="425"/>
      <c r="E339" s="425"/>
      <c r="F339" s="511"/>
      <c r="G339" s="425"/>
      <c r="H339" s="425"/>
      <c r="I339" s="425"/>
      <c r="J339" s="425"/>
      <c r="K339" s="425"/>
      <c r="L339" s="511"/>
      <c r="M339" s="425"/>
      <c r="N339" s="425"/>
      <c r="O339" s="425"/>
      <c r="P339" s="425"/>
      <c r="Q339" s="425"/>
      <c r="R339" s="511"/>
      <c r="S339" s="425"/>
      <c r="T339" s="425"/>
      <c r="U339" s="425"/>
    </row>
    <row r="340" ht="15.75" customHeight="1">
      <c r="A340" s="425"/>
      <c r="B340" s="425"/>
      <c r="C340" s="425"/>
      <c r="D340" s="425"/>
      <c r="E340" s="425"/>
      <c r="F340" s="511"/>
      <c r="G340" s="425"/>
      <c r="H340" s="425"/>
      <c r="I340" s="425"/>
      <c r="J340" s="425"/>
      <c r="K340" s="425"/>
      <c r="L340" s="511"/>
      <c r="M340" s="425"/>
      <c r="N340" s="425"/>
      <c r="O340" s="425"/>
      <c r="P340" s="425"/>
      <c r="Q340" s="425"/>
      <c r="R340" s="511"/>
      <c r="S340" s="425"/>
      <c r="T340" s="425"/>
      <c r="U340" s="425"/>
    </row>
    <row r="341" ht="15.75" customHeight="1">
      <c r="A341" s="425"/>
      <c r="B341" s="425"/>
      <c r="C341" s="425"/>
      <c r="D341" s="425"/>
      <c r="E341" s="425"/>
      <c r="F341" s="511"/>
      <c r="G341" s="425"/>
      <c r="H341" s="425"/>
      <c r="I341" s="425"/>
      <c r="J341" s="425"/>
      <c r="K341" s="425"/>
      <c r="L341" s="511"/>
      <c r="M341" s="425"/>
      <c r="N341" s="425"/>
      <c r="O341" s="425"/>
      <c r="P341" s="425"/>
      <c r="Q341" s="425"/>
      <c r="R341" s="511"/>
      <c r="S341" s="425"/>
      <c r="T341" s="425"/>
      <c r="U341" s="425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13"/>
    <col customWidth="1" min="2" max="2" width="9.75"/>
    <col customWidth="1" min="3" max="3" width="41.38"/>
    <col customWidth="1" min="4" max="4" width="13.13"/>
    <col customWidth="1" hidden="1" min="5" max="5" width="8.25"/>
    <col customWidth="1" hidden="1" min="6" max="6" width="16.0"/>
    <col customWidth="1" hidden="1" min="7" max="7" width="8.25"/>
    <col customWidth="1" hidden="1" min="8" max="8" width="11.63"/>
    <col customWidth="1" hidden="1" min="9" max="9" width="14.13"/>
    <col customWidth="1" min="10" max="10" width="12.25"/>
    <col customWidth="1" hidden="1" min="11" max="11" width="8.25"/>
    <col customWidth="1" hidden="1" min="12" max="12" width="16.0"/>
    <col customWidth="1" hidden="1" min="13" max="13" width="8.25"/>
    <col customWidth="1" hidden="1" min="14" max="14" width="13.13"/>
    <col customWidth="1" hidden="1" min="15" max="15" width="9.63"/>
    <col customWidth="1" min="16" max="16" width="12.38"/>
    <col customWidth="1" hidden="1" min="17" max="17" width="8.25"/>
    <col customWidth="1" hidden="1" min="18" max="18" width="16.0"/>
    <col customWidth="1" hidden="1" min="19" max="19" width="8.25"/>
    <col customWidth="1" hidden="1" min="20" max="20" width="13.13"/>
    <col customWidth="1" hidden="1" min="21" max="21" width="9.63"/>
    <col customWidth="1" min="22" max="29" width="12.63"/>
  </cols>
  <sheetData>
    <row r="1" ht="15.75" customHeight="1">
      <c r="A1" s="426"/>
      <c r="B1" s="426" t="s">
        <v>0</v>
      </c>
      <c r="C1" s="425"/>
      <c r="D1" s="425"/>
      <c r="E1" s="737"/>
      <c r="F1" s="511"/>
      <c r="G1" s="425"/>
      <c r="H1" s="511"/>
      <c r="I1" s="425"/>
      <c r="J1" s="425"/>
      <c r="K1" s="737"/>
      <c r="L1" s="511"/>
      <c r="M1" s="425"/>
      <c r="N1" s="511"/>
      <c r="O1" s="425"/>
      <c r="P1" s="425"/>
      <c r="Q1" s="737"/>
      <c r="R1" s="511"/>
      <c r="S1" s="425"/>
      <c r="T1" s="511"/>
      <c r="U1" s="425"/>
      <c r="V1" s="425"/>
      <c r="W1" s="425"/>
      <c r="X1" s="425"/>
      <c r="Y1" s="425"/>
      <c r="Z1" s="425"/>
      <c r="AA1" s="425"/>
      <c r="AB1" s="425"/>
      <c r="AC1" s="425"/>
    </row>
    <row r="2" ht="15.75" customHeight="1">
      <c r="A2" s="425"/>
      <c r="B2" s="427" t="s">
        <v>312</v>
      </c>
      <c r="C2" s="425"/>
      <c r="D2" s="425"/>
      <c r="E2" s="425"/>
      <c r="F2" s="511"/>
      <c r="G2" s="425"/>
      <c r="H2" s="511"/>
      <c r="I2" s="425"/>
      <c r="J2" s="425"/>
      <c r="K2" s="425"/>
      <c r="L2" s="511"/>
      <c r="M2" s="425"/>
      <c r="N2" s="511"/>
      <c r="O2" s="425"/>
      <c r="P2" s="425"/>
      <c r="Q2" s="425"/>
      <c r="R2" s="511"/>
      <c r="S2" s="425"/>
      <c r="T2" s="511"/>
      <c r="U2" s="425"/>
      <c r="V2" s="425"/>
      <c r="W2" s="425"/>
      <c r="X2" s="425"/>
      <c r="Y2" s="425"/>
      <c r="Z2" s="425"/>
      <c r="AA2" s="425"/>
      <c r="AB2" s="425"/>
      <c r="AC2" s="425"/>
    </row>
    <row r="3" ht="15.75" customHeight="1">
      <c r="A3" s="425"/>
      <c r="B3" s="425"/>
      <c r="C3" s="425"/>
      <c r="D3" s="425"/>
      <c r="E3" s="425"/>
      <c r="F3" s="511"/>
      <c r="G3" s="425"/>
      <c r="H3" s="511"/>
      <c r="I3" s="425"/>
      <c r="J3" s="425"/>
      <c r="K3" s="425"/>
      <c r="L3" s="511"/>
      <c r="M3" s="425"/>
      <c r="N3" s="511"/>
      <c r="O3" s="425"/>
      <c r="P3" s="425"/>
      <c r="Q3" s="425"/>
      <c r="R3" s="511"/>
      <c r="S3" s="425"/>
      <c r="T3" s="511"/>
      <c r="U3" s="425"/>
      <c r="V3" s="425"/>
      <c r="W3" s="425"/>
      <c r="X3" s="425"/>
      <c r="Y3" s="425"/>
      <c r="Z3" s="425"/>
      <c r="AA3" s="425"/>
      <c r="AB3" s="425"/>
      <c r="AC3" s="425"/>
    </row>
    <row r="4" ht="15.75" customHeight="1">
      <c r="A4" s="425"/>
      <c r="B4" s="428" t="s">
        <v>165</v>
      </c>
      <c r="C4" s="428" t="s">
        <v>166</v>
      </c>
      <c r="D4" s="652" t="s">
        <v>167</v>
      </c>
      <c r="E4" s="10"/>
      <c r="F4" s="10"/>
      <c r="G4" s="10"/>
      <c r="H4" s="10"/>
      <c r="I4" s="12"/>
      <c r="J4" s="652" t="s">
        <v>168</v>
      </c>
      <c r="K4" s="10"/>
      <c r="L4" s="10"/>
      <c r="M4" s="10"/>
      <c r="N4" s="10"/>
      <c r="O4" s="12"/>
      <c r="P4" s="653" t="s">
        <v>169</v>
      </c>
      <c r="Q4" s="10"/>
      <c r="R4" s="10"/>
      <c r="S4" s="10"/>
      <c r="T4" s="10"/>
      <c r="U4" s="12"/>
      <c r="V4" s="654"/>
      <c r="W4" s="654"/>
      <c r="X4" s="654"/>
      <c r="Y4" s="654"/>
      <c r="Z4" s="654"/>
      <c r="AA4" s="654"/>
      <c r="AB4" s="654"/>
      <c r="AC4" s="654"/>
    </row>
    <row r="5" ht="15.75" customHeight="1">
      <c r="A5" s="514"/>
      <c r="B5" s="433"/>
      <c r="C5" s="433"/>
      <c r="D5" s="749" t="s">
        <v>170</v>
      </c>
      <c r="E5" s="750" t="s">
        <v>18</v>
      </c>
      <c r="F5" s="751" t="s">
        <v>171</v>
      </c>
      <c r="G5" s="750" t="s">
        <v>18</v>
      </c>
      <c r="H5" s="751" t="s">
        <v>172</v>
      </c>
      <c r="I5" s="752" t="s">
        <v>260</v>
      </c>
      <c r="J5" s="749" t="s">
        <v>170</v>
      </c>
      <c r="K5" s="750" t="s">
        <v>18</v>
      </c>
      <c r="L5" s="751" t="s">
        <v>171</v>
      </c>
      <c r="M5" s="750" t="s">
        <v>18</v>
      </c>
      <c r="N5" s="751" t="s">
        <v>172</v>
      </c>
      <c r="O5" s="752" t="s">
        <v>260</v>
      </c>
      <c r="P5" s="753" t="s">
        <v>170</v>
      </c>
      <c r="Q5" s="753" t="s">
        <v>18</v>
      </c>
      <c r="R5" s="754" t="s">
        <v>171</v>
      </c>
      <c r="S5" s="753" t="s">
        <v>18</v>
      </c>
      <c r="T5" s="754" t="s">
        <v>172</v>
      </c>
      <c r="U5" s="753" t="s">
        <v>260</v>
      </c>
      <c r="V5" s="755"/>
      <c r="W5" s="755"/>
      <c r="X5" s="755"/>
      <c r="Y5" s="755"/>
      <c r="Z5" s="755"/>
      <c r="AA5" s="755"/>
      <c r="AB5" s="755"/>
      <c r="AC5" s="755"/>
    </row>
    <row r="6" ht="15.75" hidden="1" customHeight="1">
      <c r="A6" s="425"/>
      <c r="B6" s="446"/>
      <c r="C6" s="481" t="s">
        <v>76</v>
      </c>
      <c r="D6" s="661">
        <v>7363.0</v>
      </c>
      <c r="E6" s="522"/>
      <c r="F6" s="523"/>
      <c r="G6" s="522"/>
      <c r="H6" s="523"/>
      <c r="I6" s="524"/>
      <c r="J6" s="661">
        <v>7363.0</v>
      </c>
      <c r="K6" s="522"/>
      <c r="L6" s="523"/>
      <c r="M6" s="522"/>
      <c r="N6" s="523"/>
      <c r="O6" s="524"/>
      <c r="P6" s="661">
        <v>7363.0</v>
      </c>
      <c r="Q6" s="522"/>
      <c r="R6" s="523"/>
      <c r="S6" s="522"/>
      <c r="T6" s="523"/>
      <c r="U6" s="524"/>
      <c r="V6" s="425"/>
      <c r="W6" s="425"/>
      <c r="X6" s="425"/>
      <c r="Y6" s="425"/>
      <c r="Z6" s="425"/>
      <c r="AA6" s="425"/>
      <c r="AB6" s="425"/>
      <c r="AC6" s="425"/>
    </row>
    <row r="7" ht="15.75" hidden="1" customHeight="1">
      <c r="A7" s="425"/>
      <c r="B7" s="454"/>
      <c r="C7" s="450" t="s">
        <v>83</v>
      </c>
      <c r="D7" s="662">
        <v>2241.0</v>
      </c>
      <c r="E7" s="521"/>
      <c r="F7" s="501"/>
      <c r="G7" s="521"/>
      <c r="H7" s="501"/>
      <c r="I7" s="464"/>
      <c r="J7" s="662">
        <v>2241.0</v>
      </c>
      <c r="K7" s="521"/>
      <c r="L7" s="501"/>
      <c r="M7" s="521"/>
      <c r="N7" s="501"/>
      <c r="O7" s="464"/>
      <c r="P7" s="662">
        <v>2241.0</v>
      </c>
      <c r="Q7" s="521"/>
      <c r="R7" s="501"/>
      <c r="S7" s="521"/>
      <c r="T7" s="501"/>
      <c r="U7" s="464"/>
      <c r="V7" s="425"/>
      <c r="W7" s="425"/>
      <c r="X7" s="425"/>
      <c r="Y7" s="425"/>
      <c r="Z7" s="425"/>
      <c r="AA7" s="425"/>
      <c r="AB7" s="425"/>
      <c r="AC7" s="425"/>
    </row>
    <row r="8" ht="15.75" hidden="1" customHeight="1">
      <c r="A8" s="425"/>
      <c r="B8" s="454"/>
      <c r="C8" s="450" t="s">
        <v>90</v>
      </c>
      <c r="D8" s="662">
        <f>D16+D24+D25+D28</f>
        <v>12441648</v>
      </c>
      <c r="E8" s="521"/>
      <c r="F8" s="501"/>
      <c r="G8" s="521"/>
      <c r="H8" s="501"/>
      <c r="I8" s="464"/>
      <c r="J8" s="662">
        <f>J16+J24+J25+J28</f>
        <v>12245518</v>
      </c>
      <c r="K8" s="521"/>
      <c r="L8" s="501"/>
      <c r="M8" s="521"/>
      <c r="N8" s="501"/>
      <c r="O8" s="464"/>
      <c r="P8" s="662">
        <f>P16+P24+P25+P28</f>
        <v>0</v>
      </c>
      <c r="Q8" s="521"/>
      <c r="R8" s="501"/>
      <c r="S8" s="521"/>
      <c r="T8" s="501"/>
      <c r="U8" s="464"/>
      <c r="V8" s="425"/>
      <c r="W8" s="425"/>
      <c r="X8" s="425"/>
      <c r="Y8" s="425"/>
      <c r="Z8" s="425"/>
      <c r="AA8" s="425"/>
      <c r="AB8" s="425"/>
      <c r="AC8" s="425"/>
    </row>
    <row r="9" ht="15.75" hidden="1" customHeight="1">
      <c r="A9" s="425"/>
      <c r="B9" s="454"/>
      <c r="C9" s="450" t="s">
        <v>97</v>
      </c>
      <c r="D9" s="662">
        <f>D17+D19+D20+D21</f>
        <v>4904513.25</v>
      </c>
      <c r="E9" s="521"/>
      <c r="F9" s="501"/>
      <c r="G9" s="521"/>
      <c r="H9" s="501"/>
      <c r="I9" s="464"/>
      <c r="J9" s="662">
        <f>J17+J19+J20+J21</f>
        <v>4613598</v>
      </c>
      <c r="K9" s="521"/>
      <c r="L9" s="501"/>
      <c r="M9" s="521"/>
      <c r="N9" s="501"/>
      <c r="O9" s="464"/>
      <c r="P9" s="662">
        <f>P17+P19+P20+P21</f>
        <v>0</v>
      </c>
      <c r="Q9" s="521"/>
      <c r="R9" s="501"/>
      <c r="S9" s="521"/>
      <c r="T9" s="501"/>
      <c r="U9" s="464"/>
      <c r="V9" s="425"/>
      <c r="W9" s="425"/>
      <c r="X9" s="425"/>
      <c r="Y9" s="425"/>
      <c r="Z9" s="425"/>
      <c r="AA9" s="425"/>
      <c r="AB9" s="425"/>
      <c r="AC9" s="425"/>
    </row>
    <row r="10" ht="15.75" hidden="1" customHeight="1">
      <c r="A10" s="425"/>
      <c r="B10" s="454"/>
      <c r="C10" s="450" t="s">
        <v>104</v>
      </c>
      <c r="D10" s="662">
        <f>SUM(D8:D9)-D29</f>
        <v>0</v>
      </c>
      <c r="E10" s="521"/>
      <c r="F10" s="501"/>
      <c r="G10" s="521"/>
      <c r="H10" s="501"/>
      <c r="I10" s="464"/>
      <c r="J10" s="662">
        <f>SUM(J8:J9)-J29</f>
        <v>-27462</v>
      </c>
      <c r="K10" s="521"/>
      <c r="L10" s="501"/>
      <c r="M10" s="521"/>
      <c r="N10" s="501"/>
      <c r="O10" s="464"/>
      <c r="P10" s="662">
        <f>SUM(P8:P9)-P29</f>
        <v>0</v>
      </c>
      <c r="Q10" s="521"/>
      <c r="R10" s="501"/>
      <c r="S10" s="521"/>
      <c r="T10" s="501"/>
      <c r="U10" s="464"/>
      <c r="V10" s="425"/>
      <c r="W10" s="425"/>
      <c r="X10" s="425"/>
      <c r="Y10" s="425"/>
      <c r="Z10" s="425"/>
      <c r="AA10" s="425"/>
      <c r="AB10" s="425"/>
      <c r="AC10" s="425"/>
    </row>
    <row r="11" ht="15.75" hidden="1" customHeight="1">
      <c r="A11" s="425"/>
      <c r="B11" s="454"/>
      <c r="C11" s="450" t="s">
        <v>111</v>
      </c>
      <c r="D11" s="662">
        <f t="shared" ref="D11:D12" si="1">D8/D6</f>
        <v>1689.752547</v>
      </c>
      <c r="E11" s="521"/>
      <c r="F11" s="501"/>
      <c r="G11" s="521"/>
      <c r="H11" s="501"/>
      <c r="I11" s="464"/>
      <c r="J11" s="662">
        <f t="shared" ref="J11:J12" si="2">J8/J6</f>
        <v>1663.115306</v>
      </c>
      <c r="K11" s="521"/>
      <c r="L11" s="501"/>
      <c r="M11" s="521"/>
      <c r="N11" s="501"/>
      <c r="O11" s="464"/>
      <c r="P11" s="662">
        <f t="shared" ref="P11:P12" si="3">P8/P6</f>
        <v>0</v>
      </c>
      <c r="Q11" s="521"/>
      <c r="R11" s="501"/>
      <c r="S11" s="521"/>
      <c r="T11" s="501"/>
      <c r="U11" s="464"/>
      <c r="V11" s="425"/>
      <c r="W11" s="425"/>
      <c r="X11" s="425"/>
      <c r="Y11" s="425"/>
      <c r="Z11" s="425"/>
      <c r="AA11" s="425"/>
      <c r="AB11" s="425"/>
      <c r="AC11" s="425"/>
    </row>
    <row r="12" ht="15.75" hidden="1" customHeight="1">
      <c r="A12" s="425"/>
      <c r="B12" s="454"/>
      <c r="C12" s="450" t="s">
        <v>118</v>
      </c>
      <c r="D12" s="662">
        <f t="shared" si="1"/>
        <v>2188.537818</v>
      </c>
      <c r="E12" s="521"/>
      <c r="F12" s="501"/>
      <c r="G12" s="521"/>
      <c r="H12" s="501"/>
      <c r="I12" s="464"/>
      <c r="J12" s="662">
        <f t="shared" si="2"/>
        <v>2058.722892</v>
      </c>
      <c r="K12" s="521"/>
      <c r="L12" s="501"/>
      <c r="M12" s="521"/>
      <c r="N12" s="501"/>
      <c r="O12" s="464"/>
      <c r="P12" s="662">
        <f t="shared" si="3"/>
        <v>0</v>
      </c>
      <c r="Q12" s="521"/>
      <c r="R12" s="501"/>
      <c r="S12" s="521"/>
      <c r="T12" s="501"/>
      <c r="U12" s="464"/>
      <c r="V12" s="425"/>
      <c r="W12" s="425"/>
      <c r="X12" s="425"/>
      <c r="Y12" s="425"/>
      <c r="Z12" s="425"/>
      <c r="AA12" s="425"/>
      <c r="AB12" s="425"/>
      <c r="AC12" s="425"/>
    </row>
    <row r="13" ht="15.75" hidden="1" customHeight="1">
      <c r="A13" s="425"/>
      <c r="B13" s="454"/>
      <c r="C13" s="450"/>
      <c r="D13" s="662"/>
      <c r="E13" s="242"/>
      <c r="F13" s="501"/>
      <c r="G13" s="538"/>
      <c r="H13" s="501"/>
      <c r="I13" s="633"/>
      <c r="J13" s="662"/>
      <c r="K13" s="242"/>
      <c r="L13" s="501"/>
      <c r="M13" s="538"/>
      <c r="N13" s="501"/>
      <c r="O13" s="633"/>
      <c r="P13" s="662"/>
      <c r="Q13" s="242"/>
      <c r="R13" s="501"/>
      <c r="S13" s="538"/>
      <c r="T13" s="501"/>
      <c r="U13" s="633"/>
      <c r="V13" s="425"/>
      <c r="W13" s="425"/>
      <c r="X13" s="425"/>
      <c r="Y13" s="425"/>
      <c r="Z13" s="425"/>
      <c r="AA13" s="425"/>
      <c r="AB13" s="425"/>
      <c r="AC13" s="425"/>
    </row>
    <row r="14" ht="15.75" hidden="1" customHeight="1">
      <c r="A14" s="425"/>
      <c r="B14" s="525"/>
      <c r="C14" s="468"/>
      <c r="D14" s="663"/>
      <c r="E14" s="636"/>
      <c r="F14" s="527"/>
      <c r="G14" s="545"/>
      <c r="H14" s="527"/>
      <c r="I14" s="638"/>
      <c r="J14" s="663"/>
      <c r="K14" s="636"/>
      <c r="L14" s="527"/>
      <c r="M14" s="545"/>
      <c r="N14" s="527"/>
      <c r="O14" s="638"/>
      <c r="P14" s="663"/>
      <c r="Q14" s="636"/>
      <c r="R14" s="527"/>
      <c r="S14" s="545"/>
      <c r="T14" s="527"/>
      <c r="U14" s="638"/>
      <c r="V14" s="425"/>
      <c r="W14" s="425"/>
      <c r="X14" s="425"/>
      <c r="Y14" s="425"/>
      <c r="Z14" s="425"/>
      <c r="AA14" s="425"/>
      <c r="AB14" s="425"/>
      <c r="AC14" s="425"/>
    </row>
    <row r="15" ht="15.75" customHeight="1">
      <c r="A15" s="425"/>
      <c r="B15" s="442" t="s">
        <v>173</v>
      </c>
      <c r="C15" s="623" t="s">
        <v>294</v>
      </c>
      <c r="D15" s="726">
        <f>SUM(D16:D21)</f>
        <v>12642063.25</v>
      </c>
      <c r="E15" s="626"/>
      <c r="F15" s="624">
        <f>SUM(F16:F21)</f>
        <v>0</v>
      </c>
      <c r="G15" s="626"/>
      <c r="H15" s="756"/>
      <c r="I15" s="728"/>
      <c r="J15" s="726">
        <f>SUM(J16:J21)</f>
        <v>13102274</v>
      </c>
      <c r="K15" s="626"/>
      <c r="L15" s="624">
        <f>SUM(L16:L21)</f>
        <v>0</v>
      </c>
      <c r="M15" s="626"/>
      <c r="N15" s="493"/>
      <c r="O15" s="629"/>
      <c r="P15" s="726">
        <f>SUM(P16:P21)</f>
        <v>0</v>
      </c>
      <c r="Q15" s="626"/>
      <c r="R15" s="624">
        <f>SUM(R16:R21)</f>
        <v>0</v>
      </c>
      <c r="S15" s="626"/>
      <c r="T15" s="493"/>
      <c r="U15" s="629"/>
      <c r="V15" s="425"/>
      <c r="W15" s="425"/>
      <c r="X15" s="425"/>
      <c r="Y15" s="425"/>
      <c r="Z15" s="425"/>
      <c r="AA15" s="425"/>
      <c r="AB15" s="425"/>
      <c r="AC15" s="425"/>
    </row>
    <row r="16" ht="15.75" customHeight="1">
      <c r="A16" s="425"/>
      <c r="B16" s="446"/>
      <c r="C16" s="481" t="s">
        <v>175</v>
      </c>
      <c r="D16" s="661">
        <v>7737550.0</v>
      </c>
      <c r="E16" s="533" t="str">
        <f t="shared" ref="E16:E18" si="4">D16/#REF!</f>
        <v>#REF!</v>
      </c>
      <c r="F16" s="523"/>
      <c r="G16" s="533" t="str">
        <f t="shared" ref="G16:G21" si="5">F16/#REF!</f>
        <v>#REF!</v>
      </c>
      <c r="H16" s="523">
        <f>D16-F16</f>
        <v>7737550</v>
      </c>
      <c r="I16" s="549" t="str">
        <f t="shared" ref="I16:I22" si="6">IFERROR(H16/F16,"")</f>
        <v/>
      </c>
      <c r="J16" s="661">
        <v>8488676.0</v>
      </c>
      <c r="K16" s="533" t="str">
        <f t="shared" ref="K16:K21" si="7">J16/#REF!</f>
        <v>#REF!</v>
      </c>
      <c r="L16" s="523"/>
      <c r="M16" s="533" t="str">
        <f t="shared" ref="M16:M21" si="8">L16/#REF!</f>
        <v>#REF!</v>
      </c>
      <c r="N16" s="523">
        <f>J16-L16</f>
        <v>8488676</v>
      </c>
      <c r="O16" s="549" t="str">
        <f t="shared" ref="O16:O22" si="9">IFERROR(N16/L16,"")</f>
        <v/>
      </c>
      <c r="P16" s="686"/>
      <c r="Q16" s="535" t="str">
        <f t="shared" ref="Q16:Q21" si="10">P16/#REF!</f>
        <v>#REF!</v>
      </c>
      <c r="R16" s="523"/>
      <c r="S16" s="533" t="str">
        <f t="shared" ref="S16:S21" si="11">R16/#REF!</f>
        <v>#REF!</v>
      </c>
      <c r="T16" s="523">
        <f>P16-R16</f>
        <v>0</v>
      </c>
      <c r="U16" s="549" t="str">
        <f t="shared" ref="U16:U22" si="12">IFERROR(T16/R16,"")</f>
        <v/>
      </c>
      <c r="V16" s="425"/>
      <c r="W16" s="425"/>
      <c r="X16" s="425"/>
      <c r="Y16" s="425"/>
      <c r="Z16" s="425"/>
      <c r="AA16" s="425"/>
      <c r="AB16" s="425"/>
      <c r="AC16" s="425"/>
    </row>
    <row r="17" ht="15.75" customHeight="1">
      <c r="A17" s="425"/>
      <c r="B17" s="450"/>
      <c r="C17" s="450" t="s">
        <v>176</v>
      </c>
      <c r="D17" s="662">
        <f>259488+2302715+1539499+220514+69929</f>
        <v>4392145</v>
      </c>
      <c r="E17" s="538" t="str">
        <f t="shared" si="4"/>
        <v>#REF!</v>
      </c>
      <c r="F17" s="501"/>
      <c r="G17" s="538" t="str">
        <f t="shared" si="5"/>
        <v>#REF!</v>
      </c>
      <c r="H17" s="501">
        <f>D17-SUM(F17:F18)</f>
        <v>4392145</v>
      </c>
      <c r="I17" s="550" t="str">
        <f t="shared" si="6"/>
        <v/>
      </c>
      <c r="J17" s="662">
        <f>4190976+304453</f>
        <v>4495429</v>
      </c>
      <c r="K17" s="538" t="str">
        <f t="shared" si="7"/>
        <v>#REF!</v>
      </c>
      <c r="L17" s="501"/>
      <c r="M17" s="538" t="str">
        <f t="shared" si="8"/>
        <v>#REF!</v>
      </c>
      <c r="N17" s="501">
        <f>J17-SUM(L17:L18)</f>
        <v>4495429</v>
      </c>
      <c r="O17" s="550" t="str">
        <f t="shared" si="9"/>
        <v/>
      </c>
      <c r="P17" s="685"/>
      <c r="Q17" s="541" t="str">
        <f t="shared" si="10"/>
        <v>#REF!</v>
      </c>
      <c r="R17" s="501"/>
      <c r="S17" s="538" t="str">
        <f t="shared" si="11"/>
        <v>#REF!</v>
      </c>
      <c r="T17" s="501">
        <f>P17-SUM(R17:R18)</f>
        <v>0</v>
      </c>
      <c r="U17" s="550" t="str">
        <f t="shared" si="12"/>
        <v/>
      </c>
      <c r="V17" s="425"/>
      <c r="W17" s="425"/>
      <c r="X17" s="425"/>
      <c r="Y17" s="425"/>
      <c r="Z17" s="425"/>
      <c r="AA17" s="425"/>
      <c r="AB17" s="425"/>
      <c r="AC17" s="425"/>
    </row>
    <row r="18" ht="15.75" customHeight="1">
      <c r="A18" s="425"/>
      <c r="B18" s="450"/>
      <c r="C18" s="450" t="s">
        <v>261</v>
      </c>
      <c r="D18" s="662"/>
      <c r="E18" s="662" t="str">
        <f t="shared" si="4"/>
        <v>#REF!</v>
      </c>
      <c r="F18" s="662"/>
      <c r="G18" s="662" t="str">
        <f t="shared" si="5"/>
        <v>#REF!</v>
      </c>
      <c r="H18" s="662"/>
      <c r="I18" s="662" t="str">
        <f t="shared" si="6"/>
        <v/>
      </c>
      <c r="J18" s="662"/>
      <c r="K18" s="538" t="str">
        <f t="shared" si="7"/>
        <v>#REF!</v>
      </c>
      <c r="L18" s="501"/>
      <c r="M18" s="538" t="str">
        <f t="shared" si="8"/>
        <v>#REF!</v>
      </c>
      <c r="N18" s="501"/>
      <c r="O18" s="550" t="str">
        <f t="shared" si="9"/>
        <v/>
      </c>
      <c r="P18" s="685"/>
      <c r="Q18" s="541" t="str">
        <f t="shared" si="10"/>
        <v>#REF!</v>
      </c>
      <c r="R18" s="501"/>
      <c r="S18" s="538" t="str">
        <f t="shared" si="11"/>
        <v>#REF!</v>
      </c>
      <c r="T18" s="501"/>
      <c r="U18" s="550" t="str">
        <f t="shared" si="12"/>
        <v/>
      </c>
      <c r="V18" s="425"/>
      <c r="W18" s="425"/>
      <c r="X18" s="425"/>
      <c r="Y18" s="425"/>
      <c r="Z18" s="425"/>
      <c r="AA18" s="425"/>
      <c r="AB18" s="425"/>
      <c r="AC18" s="425"/>
    </row>
    <row r="19" ht="15.75" customHeight="1">
      <c r="A19" s="425"/>
      <c r="B19" s="450"/>
      <c r="C19" s="450" t="s">
        <v>177</v>
      </c>
      <c r="D19" s="662">
        <f>290443.45</f>
        <v>290443.45</v>
      </c>
      <c r="E19" s="662">
        <v>118169.0</v>
      </c>
      <c r="F19" s="662"/>
      <c r="G19" s="662" t="str">
        <f t="shared" si="5"/>
        <v>#REF!</v>
      </c>
      <c r="H19" s="662">
        <f t="shared" ref="H19:H21" si="13">D19-F19</f>
        <v>290443.45</v>
      </c>
      <c r="I19" s="662" t="str">
        <f t="shared" si="6"/>
        <v/>
      </c>
      <c r="J19" s="662">
        <v>118169.0</v>
      </c>
      <c r="K19" s="538" t="str">
        <f t="shared" si="7"/>
        <v>#REF!</v>
      </c>
      <c r="L19" s="501"/>
      <c r="M19" s="538" t="str">
        <f t="shared" si="8"/>
        <v>#REF!</v>
      </c>
      <c r="N19" s="501">
        <f t="shared" ref="N19:N21" si="14">J19-L19</f>
        <v>118169</v>
      </c>
      <c r="O19" s="550" t="str">
        <f t="shared" si="9"/>
        <v/>
      </c>
      <c r="P19" s="685"/>
      <c r="Q19" s="541" t="str">
        <f t="shared" si="10"/>
        <v>#REF!</v>
      </c>
      <c r="R19" s="501"/>
      <c r="S19" s="538" t="str">
        <f t="shared" si="11"/>
        <v>#REF!</v>
      </c>
      <c r="T19" s="501">
        <f t="shared" ref="T19:T21" si="15">P19-R19</f>
        <v>0</v>
      </c>
      <c r="U19" s="550" t="str">
        <f t="shared" si="12"/>
        <v/>
      </c>
      <c r="V19" s="425"/>
      <c r="W19" s="425"/>
      <c r="X19" s="425"/>
      <c r="Y19" s="425"/>
      <c r="Z19" s="425"/>
      <c r="AA19" s="425"/>
      <c r="AB19" s="425"/>
      <c r="AC19" s="425"/>
    </row>
    <row r="20" ht="15.75" customHeight="1">
      <c r="A20" s="425"/>
      <c r="B20" s="450"/>
      <c r="C20" s="450" t="s">
        <v>178</v>
      </c>
      <c r="D20" s="662">
        <v>12919.4</v>
      </c>
      <c r="E20" s="538" t="str">
        <f t="shared" ref="E20:E21" si="16">D20/#REF!</f>
        <v>#REF!</v>
      </c>
      <c r="F20" s="501"/>
      <c r="G20" s="538" t="str">
        <f t="shared" si="5"/>
        <v>#REF!</v>
      </c>
      <c r="H20" s="501">
        <f t="shared" si="13"/>
        <v>12919.4</v>
      </c>
      <c r="I20" s="550" t="str">
        <f t="shared" si="6"/>
        <v/>
      </c>
      <c r="J20" s="662"/>
      <c r="K20" s="538" t="str">
        <f t="shared" si="7"/>
        <v>#REF!</v>
      </c>
      <c r="L20" s="501"/>
      <c r="M20" s="538" t="str">
        <f t="shared" si="8"/>
        <v>#REF!</v>
      </c>
      <c r="N20" s="501">
        <f t="shared" si="14"/>
        <v>0</v>
      </c>
      <c r="O20" s="550" t="str">
        <f t="shared" si="9"/>
        <v/>
      </c>
      <c r="P20" s="685"/>
      <c r="Q20" s="541" t="str">
        <f t="shared" si="10"/>
        <v>#REF!</v>
      </c>
      <c r="R20" s="501"/>
      <c r="S20" s="538" t="str">
        <f t="shared" si="11"/>
        <v>#REF!</v>
      </c>
      <c r="T20" s="501">
        <f t="shared" si="15"/>
        <v>0</v>
      </c>
      <c r="U20" s="550" t="str">
        <f t="shared" si="12"/>
        <v/>
      </c>
      <c r="V20" s="425"/>
      <c r="W20" s="425"/>
      <c r="X20" s="425"/>
      <c r="Y20" s="425"/>
      <c r="Z20" s="425"/>
      <c r="AA20" s="425"/>
      <c r="AB20" s="425"/>
      <c r="AC20" s="425"/>
    </row>
    <row r="21" ht="15.75" customHeight="1">
      <c r="A21" s="425"/>
      <c r="B21" s="450"/>
      <c r="C21" s="450" t="s">
        <v>179</v>
      </c>
      <c r="D21" s="662">
        <v>209005.40000000002</v>
      </c>
      <c r="E21" s="538" t="str">
        <f t="shared" si="16"/>
        <v>#REF!</v>
      </c>
      <c r="F21" s="501"/>
      <c r="G21" s="538" t="str">
        <f t="shared" si="5"/>
        <v>#REF!</v>
      </c>
      <c r="H21" s="501">
        <f t="shared" si="13"/>
        <v>209005.4</v>
      </c>
      <c r="I21" s="550" t="str">
        <f t="shared" si="6"/>
        <v/>
      </c>
      <c r="J21" s="662"/>
      <c r="K21" s="538" t="str">
        <f t="shared" si="7"/>
        <v>#REF!</v>
      </c>
      <c r="L21" s="501"/>
      <c r="M21" s="538" t="str">
        <f t="shared" si="8"/>
        <v>#REF!</v>
      </c>
      <c r="N21" s="501">
        <f t="shared" si="14"/>
        <v>0</v>
      </c>
      <c r="O21" s="550" t="str">
        <f t="shared" si="9"/>
        <v/>
      </c>
      <c r="P21" s="685"/>
      <c r="Q21" s="541" t="str">
        <f t="shared" si="10"/>
        <v>#REF!</v>
      </c>
      <c r="R21" s="501"/>
      <c r="S21" s="538" t="str">
        <f t="shared" si="11"/>
        <v>#REF!</v>
      </c>
      <c r="T21" s="501">
        <f t="shared" si="15"/>
        <v>0</v>
      </c>
      <c r="U21" s="550" t="str">
        <f t="shared" si="12"/>
        <v/>
      </c>
      <c r="V21" s="425"/>
      <c r="W21" s="425"/>
      <c r="X21" s="425"/>
      <c r="Y21" s="425"/>
      <c r="Z21" s="425"/>
      <c r="AA21" s="425"/>
      <c r="AB21" s="425"/>
      <c r="AC21" s="425"/>
    </row>
    <row r="22" ht="15.75" customHeight="1">
      <c r="A22" s="425"/>
      <c r="B22" s="450"/>
      <c r="C22" s="450" t="s">
        <v>263</v>
      </c>
      <c r="D22" s="662"/>
      <c r="E22" s="538"/>
      <c r="F22" s="501"/>
      <c r="G22" s="538"/>
      <c r="H22" s="501"/>
      <c r="I22" s="550" t="str">
        <f t="shared" si="6"/>
        <v/>
      </c>
      <c r="J22" s="662">
        <v>13731.0</v>
      </c>
      <c r="K22" s="538"/>
      <c r="L22" s="501"/>
      <c r="M22" s="538"/>
      <c r="N22" s="501"/>
      <c r="O22" s="550" t="str">
        <f t="shared" si="9"/>
        <v/>
      </c>
      <c r="P22" s="685"/>
      <c r="Q22" s="541"/>
      <c r="R22" s="501"/>
      <c r="S22" s="538"/>
      <c r="T22" s="501"/>
      <c r="U22" s="550" t="str">
        <f t="shared" si="12"/>
        <v/>
      </c>
      <c r="V22" s="425"/>
      <c r="W22" s="425"/>
      <c r="X22" s="425"/>
      <c r="Y22" s="425"/>
      <c r="Z22" s="425"/>
      <c r="AA22" s="425"/>
      <c r="AB22" s="425"/>
      <c r="AC22" s="425"/>
    </row>
    <row r="23" ht="15.75" customHeight="1">
      <c r="A23" s="425"/>
      <c r="B23" s="454"/>
      <c r="C23" s="450"/>
      <c r="D23" s="662"/>
      <c r="E23" s="538"/>
      <c r="F23" s="501"/>
      <c r="G23" s="538"/>
      <c r="H23" s="501"/>
      <c r="I23" s="550"/>
      <c r="J23" s="662"/>
      <c r="K23" s="538"/>
      <c r="L23" s="501"/>
      <c r="M23" s="538"/>
      <c r="N23" s="501"/>
      <c r="O23" s="550"/>
      <c r="P23" s="685"/>
      <c r="Q23" s="541"/>
      <c r="R23" s="501"/>
      <c r="S23" s="538"/>
      <c r="T23" s="501"/>
      <c r="U23" s="550"/>
      <c r="V23" s="425"/>
      <c r="W23" s="425"/>
      <c r="X23" s="425"/>
      <c r="Y23" s="425"/>
      <c r="Z23" s="425"/>
      <c r="AA23" s="425"/>
      <c r="AB23" s="425"/>
      <c r="AC23" s="425"/>
    </row>
    <row r="24" ht="15.75" customHeight="1">
      <c r="A24" s="425"/>
      <c r="B24" s="454" t="s">
        <v>21</v>
      </c>
      <c r="C24" s="450" t="s">
        <v>21</v>
      </c>
      <c r="D24" s="662">
        <v>1555917.5</v>
      </c>
      <c r="E24" s="538">
        <f t="shared" ref="E24:E26" si="17">D24/D$29</f>
        <v>0.0896980881</v>
      </c>
      <c r="F24" s="501"/>
      <c r="G24" s="538" t="str">
        <f t="shared" ref="G24:G26" si="18">F24/F$29</f>
        <v>#DIV/0!</v>
      </c>
      <c r="H24" s="501">
        <f t="shared" ref="H24:H26" si="19">D24-F24</f>
        <v>1555917.5</v>
      </c>
      <c r="I24" s="550" t="str">
        <f t="shared" ref="I24:I28" si="20">IFERROR(H24/F24,"")</f>
        <v/>
      </c>
      <c r="J24" s="662">
        <v>1681871.0</v>
      </c>
      <c r="K24" s="538">
        <f t="shared" ref="K24:K26" si="21">J24/J$29</f>
        <v>0.09959809501</v>
      </c>
      <c r="L24" s="501"/>
      <c r="M24" s="538" t="str">
        <f t="shared" ref="M24:M26" si="22">L24/L$29</f>
        <v>#DIV/0!</v>
      </c>
      <c r="N24" s="501">
        <f t="shared" ref="N24:N26" si="23">J24-L24</f>
        <v>1681871</v>
      </c>
      <c r="O24" s="550" t="str">
        <f t="shared" ref="O24:O28" si="24">IFERROR(N24/L24,"")</f>
        <v/>
      </c>
      <c r="P24" s="685"/>
      <c r="Q24" s="541" t="str">
        <f t="shared" ref="Q24:Q26" si="25">P24/P$29</f>
        <v>#DIV/0!</v>
      </c>
      <c r="R24" s="501"/>
      <c r="S24" s="538" t="str">
        <f t="shared" ref="S24:S26" si="26">R24/R$29</f>
        <v>#DIV/0!</v>
      </c>
      <c r="T24" s="501">
        <f t="shared" ref="T24:T26" si="27">P24-R24</f>
        <v>0</v>
      </c>
      <c r="U24" s="550" t="str">
        <f t="shared" ref="U24:U28" si="28">IFERROR(T24/R24,"")</f>
        <v/>
      </c>
      <c r="V24" s="425"/>
      <c r="W24" s="425"/>
      <c r="X24" s="425"/>
      <c r="Y24" s="425"/>
      <c r="Z24" s="425"/>
      <c r="AA24" s="425"/>
      <c r="AB24" s="425"/>
      <c r="AC24" s="425"/>
    </row>
    <row r="25" ht="15.75" customHeight="1">
      <c r="A25" s="425"/>
      <c r="B25" s="454" t="s">
        <v>22</v>
      </c>
      <c r="C25" s="450" t="s">
        <v>22</v>
      </c>
      <c r="D25" s="662">
        <v>2119471.5</v>
      </c>
      <c r="E25" s="538">
        <f t="shared" si="17"/>
        <v>0.1221867749</v>
      </c>
      <c r="F25" s="501"/>
      <c r="G25" s="538" t="str">
        <f t="shared" si="18"/>
        <v>#DIV/0!</v>
      </c>
      <c r="H25" s="501">
        <f t="shared" si="19"/>
        <v>2119471.5</v>
      </c>
      <c r="I25" s="550" t="str">
        <f t="shared" si="20"/>
        <v/>
      </c>
      <c r="J25" s="662">
        <v>2074971.0</v>
      </c>
      <c r="K25" s="538">
        <f t="shared" si="21"/>
        <v>0.1228769381</v>
      </c>
      <c r="L25" s="501"/>
      <c r="M25" s="538" t="str">
        <f t="shared" si="22"/>
        <v>#DIV/0!</v>
      </c>
      <c r="N25" s="501">
        <f t="shared" si="23"/>
        <v>2074971</v>
      </c>
      <c r="O25" s="550" t="str">
        <f t="shared" si="24"/>
        <v/>
      </c>
      <c r="P25" s="685"/>
      <c r="Q25" s="541" t="str">
        <f t="shared" si="25"/>
        <v>#DIV/0!</v>
      </c>
      <c r="R25" s="501"/>
      <c r="S25" s="538" t="str">
        <f t="shared" si="26"/>
        <v>#DIV/0!</v>
      </c>
      <c r="T25" s="501">
        <f t="shared" si="27"/>
        <v>0</v>
      </c>
      <c r="U25" s="550" t="str">
        <f t="shared" si="28"/>
        <v/>
      </c>
      <c r="V25" s="425"/>
      <c r="W25" s="425"/>
      <c r="X25" s="425"/>
      <c r="Y25" s="425"/>
      <c r="Z25" s="425"/>
      <c r="AA25" s="425"/>
      <c r="AB25" s="425"/>
      <c r="AC25" s="425"/>
    </row>
    <row r="26" ht="15.75" customHeight="1">
      <c r="A26" s="425"/>
      <c r="B26" s="454" t="s">
        <v>23</v>
      </c>
      <c r="C26" s="450" t="s">
        <v>180</v>
      </c>
      <c r="D26" s="460">
        <f>SUM(D16:D22)</f>
        <v>12642063.25</v>
      </c>
      <c r="E26" s="538">
        <f t="shared" si="17"/>
        <v>0.7288104306</v>
      </c>
      <c r="F26" s="553"/>
      <c r="G26" s="538" t="str">
        <f t="shared" si="18"/>
        <v>#DIV/0!</v>
      </c>
      <c r="H26" s="501">
        <f t="shared" si="19"/>
        <v>12642063.25</v>
      </c>
      <c r="I26" s="550" t="str">
        <f t="shared" si="20"/>
        <v/>
      </c>
      <c r="J26" s="662">
        <f>SUM(J16:J22)</f>
        <v>13116005</v>
      </c>
      <c r="K26" s="538">
        <f t="shared" si="21"/>
        <v>0.7767118359</v>
      </c>
      <c r="L26" s="553"/>
      <c r="M26" s="538" t="str">
        <f t="shared" si="22"/>
        <v>#DIV/0!</v>
      </c>
      <c r="N26" s="501">
        <f t="shared" si="23"/>
        <v>13116005</v>
      </c>
      <c r="O26" s="550" t="str">
        <f t="shared" si="24"/>
        <v/>
      </c>
      <c r="P26" s="685"/>
      <c r="Q26" s="541" t="str">
        <f t="shared" si="25"/>
        <v>#DIV/0!</v>
      </c>
      <c r="R26" s="553"/>
      <c r="S26" s="538" t="str">
        <f t="shared" si="26"/>
        <v>#DIV/0!</v>
      </c>
      <c r="T26" s="501">
        <f t="shared" si="27"/>
        <v>0</v>
      </c>
      <c r="U26" s="550" t="str">
        <f t="shared" si="28"/>
        <v/>
      </c>
      <c r="V26" s="425"/>
      <c r="W26" s="425"/>
      <c r="X26" s="425"/>
      <c r="Y26" s="425"/>
      <c r="Z26" s="425"/>
      <c r="AA26" s="425"/>
      <c r="AB26" s="425"/>
      <c r="AC26" s="425"/>
    </row>
    <row r="27" ht="15.75" customHeight="1">
      <c r="A27" s="425"/>
      <c r="B27" s="450"/>
      <c r="C27" s="450"/>
      <c r="D27" s="662"/>
      <c r="E27" s="538"/>
      <c r="F27" s="501"/>
      <c r="G27" s="538"/>
      <c r="H27" s="634"/>
      <c r="I27" s="550" t="str">
        <f t="shared" si="20"/>
        <v/>
      </c>
      <c r="J27" s="662"/>
      <c r="K27" s="538"/>
      <c r="L27" s="501"/>
      <c r="M27" s="538"/>
      <c r="N27" s="634"/>
      <c r="O27" s="550" t="str">
        <f t="shared" si="24"/>
        <v/>
      </c>
      <c r="P27" s="685"/>
      <c r="Q27" s="541"/>
      <c r="R27" s="501"/>
      <c r="S27" s="538"/>
      <c r="T27" s="634"/>
      <c r="U27" s="550" t="str">
        <f t="shared" si="28"/>
        <v/>
      </c>
      <c r="V27" s="425"/>
      <c r="W27" s="425"/>
      <c r="X27" s="425"/>
      <c r="Y27" s="425"/>
      <c r="Z27" s="425"/>
      <c r="AA27" s="425"/>
      <c r="AB27" s="425"/>
      <c r="AC27" s="425"/>
    </row>
    <row r="28" ht="15.75" customHeight="1">
      <c r="A28" s="425"/>
      <c r="B28" s="468"/>
      <c r="C28" s="468" t="s">
        <v>181</v>
      </c>
      <c r="D28" s="663">
        <v>1028709.0</v>
      </c>
      <c r="E28" s="545"/>
      <c r="F28" s="527">
        <f>G28*SUM(F24:F26)</f>
        <v>0</v>
      </c>
      <c r="G28" s="545"/>
      <c r="H28" s="527">
        <f t="shared" ref="H28:H29" si="29">D28-F28</f>
        <v>1028709</v>
      </c>
      <c r="I28" s="757" t="str">
        <f t="shared" si="20"/>
        <v/>
      </c>
      <c r="J28" s="663"/>
      <c r="K28" s="545"/>
      <c r="L28" s="527">
        <f>M28*SUM(L24:L26)</f>
        <v>0</v>
      </c>
      <c r="M28" s="545"/>
      <c r="N28" s="527">
        <f t="shared" ref="N28:N29" si="30">J28-L28</f>
        <v>0</v>
      </c>
      <c r="O28" s="757" t="str">
        <f t="shared" si="24"/>
        <v/>
      </c>
      <c r="P28" s="687"/>
      <c r="Q28" s="554"/>
      <c r="R28" s="527">
        <f>S28*SUM(R24:R26)</f>
        <v>0</v>
      </c>
      <c r="S28" s="545"/>
      <c r="T28" s="527">
        <f t="shared" ref="T28:T29" si="31">P28-R28</f>
        <v>0</v>
      </c>
      <c r="U28" s="757" t="str">
        <f t="shared" si="28"/>
        <v/>
      </c>
      <c r="V28" s="425"/>
      <c r="W28" s="425"/>
      <c r="X28" s="425"/>
      <c r="Y28" s="425"/>
      <c r="Z28" s="425"/>
      <c r="AA28" s="425"/>
      <c r="AB28" s="425"/>
      <c r="AC28" s="425"/>
    </row>
    <row r="29" ht="15.75" customHeight="1">
      <c r="A29" s="425"/>
      <c r="B29" s="644"/>
      <c r="C29" s="644" t="s">
        <v>182</v>
      </c>
      <c r="D29" s="444">
        <f>D24+D25+D26+D28+D22</f>
        <v>17346161.25</v>
      </c>
      <c r="E29" s="758"/>
      <c r="F29" s="530">
        <f>F24+F25+F26+F28</f>
        <v>0</v>
      </c>
      <c r="G29" s="530"/>
      <c r="H29" s="530">
        <f t="shared" si="29"/>
        <v>17346161.25</v>
      </c>
      <c r="I29" s="759"/>
      <c r="J29" s="444">
        <f>J24+J25+J26+J28+J22</f>
        <v>16886578</v>
      </c>
      <c r="K29" s="758"/>
      <c r="L29" s="530">
        <f>L24+L25+L26+L28</f>
        <v>0</v>
      </c>
      <c r="M29" s="530"/>
      <c r="N29" s="530">
        <f t="shared" si="30"/>
        <v>16886578</v>
      </c>
      <c r="O29" s="759"/>
      <c r="P29" s="475">
        <f>P24+P25+P26+P28+P22</f>
        <v>0</v>
      </c>
      <c r="Q29" s="760"/>
      <c r="R29" s="530">
        <f>R24+R25+R26+R28</f>
        <v>0</v>
      </c>
      <c r="S29" s="530"/>
      <c r="T29" s="530">
        <f t="shared" si="31"/>
        <v>0</v>
      </c>
      <c r="U29" s="759"/>
      <c r="V29" s="427"/>
      <c r="W29" s="427"/>
      <c r="X29" s="427"/>
      <c r="Y29" s="427"/>
      <c r="Z29" s="427"/>
      <c r="AA29" s="427"/>
      <c r="AB29" s="427"/>
      <c r="AC29" s="427"/>
    </row>
    <row r="30" ht="15.75" hidden="1" customHeight="1">
      <c r="A30" s="425"/>
      <c r="B30" s="446"/>
      <c r="C30" s="481"/>
      <c r="D30" s="661"/>
      <c r="E30" s="522"/>
      <c r="F30" s="523"/>
      <c r="G30" s="522"/>
      <c r="H30" s="523"/>
      <c r="I30" s="524"/>
      <c r="J30" s="661"/>
      <c r="K30" s="522"/>
      <c r="L30" s="523"/>
      <c r="M30" s="522"/>
      <c r="N30" s="523"/>
      <c r="O30" s="524"/>
      <c r="P30" s="686"/>
      <c r="Q30" s="574"/>
      <c r="R30" s="523"/>
      <c r="S30" s="522"/>
      <c r="T30" s="523"/>
      <c r="U30" s="524"/>
      <c r="V30" s="425"/>
      <c r="W30" s="425"/>
      <c r="X30" s="425"/>
      <c r="Y30" s="425"/>
      <c r="Z30" s="425"/>
      <c r="AA30" s="425"/>
      <c r="AB30" s="425"/>
      <c r="AC30" s="425"/>
    </row>
    <row r="31" ht="15.75" hidden="1" customHeight="1">
      <c r="A31" s="425"/>
      <c r="B31" s="450"/>
      <c r="C31" s="450"/>
      <c r="D31" s="662"/>
      <c r="E31" s="538"/>
      <c r="F31" s="501"/>
      <c r="G31" s="612"/>
      <c r="H31" s="501"/>
      <c r="I31" s="693"/>
      <c r="J31" s="662"/>
      <c r="K31" s="538"/>
      <c r="L31" s="501"/>
      <c r="M31" s="612"/>
      <c r="N31" s="501"/>
      <c r="O31" s="693"/>
      <c r="P31" s="685"/>
      <c r="Q31" s="541"/>
      <c r="R31" s="501"/>
      <c r="S31" s="612"/>
      <c r="T31" s="501"/>
      <c r="U31" s="693"/>
      <c r="V31" s="425"/>
      <c r="W31" s="425"/>
      <c r="X31" s="425"/>
      <c r="Y31" s="425"/>
      <c r="Z31" s="425"/>
      <c r="AA31" s="425"/>
      <c r="AB31" s="425"/>
      <c r="AC31" s="425"/>
    </row>
    <row r="32" ht="15.75" hidden="1" customHeight="1">
      <c r="A32" s="425"/>
      <c r="B32" s="450"/>
      <c r="C32" s="450"/>
      <c r="D32" s="662"/>
      <c r="E32" s="538"/>
      <c r="F32" s="501"/>
      <c r="G32" s="612"/>
      <c r="H32" s="501"/>
      <c r="I32" s="693"/>
      <c r="J32" s="662"/>
      <c r="K32" s="538"/>
      <c r="L32" s="501"/>
      <c r="M32" s="612"/>
      <c r="N32" s="501"/>
      <c r="O32" s="693"/>
      <c r="P32" s="685"/>
      <c r="Q32" s="541"/>
      <c r="R32" s="501"/>
      <c r="S32" s="612"/>
      <c r="T32" s="501"/>
      <c r="U32" s="693"/>
      <c r="V32" s="425"/>
      <c r="W32" s="425"/>
      <c r="X32" s="425"/>
      <c r="Y32" s="425"/>
      <c r="Z32" s="425"/>
      <c r="AA32" s="425"/>
      <c r="AB32" s="425"/>
      <c r="AC32" s="425"/>
    </row>
    <row r="33" ht="15.75" hidden="1" customHeight="1">
      <c r="A33" s="425"/>
      <c r="B33" s="450"/>
      <c r="C33" s="450"/>
      <c r="D33" s="662"/>
      <c r="E33" s="538"/>
      <c r="F33" s="501"/>
      <c r="G33" s="612"/>
      <c r="H33" s="501"/>
      <c r="I33" s="693"/>
      <c r="J33" s="662"/>
      <c r="K33" s="538"/>
      <c r="L33" s="501"/>
      <c r="M33" s="612"/>
      <c r="N33" s="501"/>
      <c r="O33" s="693"/>
      <c r="P33" s="685"/>
      <c r="Q33" s="541"/>
      <c r="R33" s="501"/>
      <c r="S33" s="612"/>
      <c r="T33" s="501"/>
      <c r="U33" s="693"/>
      <c r="V33" s="425"/>
      <c r="W33" s="425"/>
      <c r="X33" s="425"/>
      <c r="Y33" s="425"/>
      <c r="Z33" s="425"/>
      <c r="AA33" s="425"/>
      <c r="AB33" s="425"/>
      <c r="AC33" s="425"/>
    </row>
    <row r="34" ht="15.75" hidden="1" customHeight="1">
      <c r="A34" s="425"/>
      <c r="B34" s="450"/>
      <c r="C34" s="450"/>
      <c r="D34" s="662"/>
      <c r="E34" s="538"/>
      <c r="F34" s="501"/>
      <c r="G34" s="612"/>
      <c r="H34" s="501"/>
      <c r="I34" s="693"/>
      <c r="J34" s="662"/>
      <c r="K34" s="538"/>
      <c r="L34" s="501"/>
      <c r="M34" s="612"/>
      <c r="N34" s="501"/>
      <c r="O34" s="693"/>
      <c r="P34" s="685"/>
      <c r="Q34" s="541"/>
      <c r="R34" s="501"/>
      <c r="S34" s="612"/>
      <c r="T34" s="501"/>
      <c r="U34" s="693"/>
      <c r="V34" s="425"/>
      <c r="W34" s="425"/>
      <c r="X34" s="425"/>
      <c r="Y34" s="425"/>
      <c r="Z34" s="425"/>
      <c r="AA34" s="425"/>
      <c r="AB34" s="425"/>
      <c r="AC34" s="425"/>
    </row>
    <row r="35" ht="15.75" hidden="1" customHeight="1">
      <c r="A35" s="425"/>
      <c r="B35" s="450"/>
      <c r="C35" s="450"/>
      <c r="D35" s="662"/>
      <c r="E35" s="538"/>
      <c r="F35" s="501"/>
      <c r="G35" s="612"/>
      <c r="H35" s="501"/>
      <c r="I35" s="693"/>
      <c r="J35" s="662"/>
      <c r="K35" s="538"/>
      <c r="L35" s="501"/>
      <c r="M35" s="612"/>
      <c r="N35" s="501"/>
      <c r="O35" s="693"/>
      <c r="P35" s="685"/>
      <c r="Q35" s="541"/>
      <c r="R35" s="501"/>
      <c r="S35" s="612"/>
      <c r="T35" s="501"/>
      <c r="U35" s="693"/>
      <c r="V35" s="425"/>
      <c r="W35" s="425"/>
      <c r="X35" s="425"/>
      <c r="Y35" s="425"/>
      <c r="Z35" s="425"/>
      <c r="AA35" s="425"/>
      <c r="AB35" s="425"/>
      <c r="AC35" s="425"/>
    </row>
    <row r="36" ht="15.75" hidden="1" customHeight="1">
      <c r="A36" s="425"/>
      <c r="B36" s="450"/>
      <c r="C36" s="450"/>
      <c r="D36" s="662"/>
      <c r="E36" s="538"/>
      <c r="F36" s="501"/>
      <c r="G36" s="612"/>
      <c r="H36" s="501"/>
      <c r="I36" s="693"/>
      <c r="J36" s="662"/>
      <c r="K36" s="538"/>
      <c r="L36" s="501"/>
      <c r="M36" s="612"/>
      <c r="N36" s="501"/>
      <c r="O36" s="693"/>
      <c r="P36" s="685"/>
      <c r="Q36" s="541"/>
      <c r="R36" s="501"/>
      <c r="S36" s="612"/>
      <c r="T36" s="501"/>
      <c r="U36" s="693"/>
      <c r="V36" s="425"/>
      <c r="W36" s="425"/>
      <c r="X36" s="425"/>
      <c r="Y36" s="425"/>
      <c r="Z36" s="425"/>
      <c r="AA36" s="425"/>
      <c r="AB36" s="425"/>
      <c r="AC36" s="425"/>
    </row>
    <row r="37" ht="15.75" hidden="1" customHeight="1">
      <c r="A37" s="425"/>
      <c r="B37" s="450"/>
      <c r="C37" s="450" t="s">
        <v>185</v>
      </c>
      <c r="D37" s="662">
        <f>SUM(D31:D36)</f>
        <v>0</v>
      </c>
      <c r="E37" s="538">
        <f>D37/D29</f>
        <v>0</v>
      </c>
      <c r="F37" s="501">
        <f>SUM(F30:F31)</f>
        <v>0</v>
      </c>
      <c r="G37" s="612"/>
      <c r="H37" s="501">
        <f>SUM(H30:H31)</f>
        <v>0</v>
      </c>
      <c r="I37" s="693"/>
      <c r="J37" s="662">
        <f>SUM(J31:J36)</f>
        <v>0</v>
      </c>
      <c r="K37" s="538">
        <f>J37/J29</f>
        <v>0</v>
      </c>
      <c r="L37" s="501">
        <f>SUM(L30:L31)</f>
        <v>0</v>
      </c>
      <c r="M37" s="612"/>
      <c r="N37" s="501">
        <f>SUM(N30:N31)</f>
        <v>0</v>
      </c>
      <c r="O37" s="693"/>
      <c r="P37" s="685">
        <f>SUM(P31:P36)</f>
        <v>0</v>
      </c>
      <c r="Q37" s="541" t="str">
        <f>P37/P29</f>
        <v>#DIV/0!</v>
      </c>
      <c r="R37" s="501">
        <f>SUM(R30:R31)</f>
        <v>0</v>
      </c>
      <c r="S37" s="612"/>
      <c r="T37" s="501">
        <f>SUM(T30:T31)</f>
        <v>0</v>
      </c>
      <c r="U37" s="693"/>
      <c r="V37" s="427"/>
      <c r="W37" s="427"/>
      <c r="X37" s="427"/>
      <c r="Y37" s="427"/>
      <c r="Z37" s="427"/>
      <c r="AA37" s="427"/>
      <c r="AB37" s="427"/>
      <c r="AC37" s="427"/>
    </row>
    <row r="38" ht="15.75" hidden="1" customHeight="1">
      <c r="A38" s="425"/>
      <c r="B38" s="454"/>
      <c r="C38" s="454"/>
      <c r="D38" s="662"/>
      <c r="E38" s="242"/>
      <c r="F38" s="634"/>
      <c r="G38" s="538"/>
      <c r="H38" s="634"/>
      <c r="I38" s="633"/>
      <c r="J38" s="662"/>
      <c r="K38" s="242"/>
      <c r="L38" s="634"/>
      <c r="M38" s="538"/>
      <c r="N38" s="634"/>
      <c r="O38" s="633"/>
      <c r="P38" s="685"/>
      <c r="Q38" s="635"/>
      <c r="R38" s="634"/>
      <c r="S38" s="538"/>
      <c r="T38" s="634"/>
      <c r="U38" s="633"/>
      <c r="V38" s="425"/>
      <c r="W38" s="425"/>
      <c r="X38" s="425"/>
      <c r="Y38" s="425"/>
      <c r="Z38" s="425"/>
      <c r="AA38" s="425"/>
      <c r="AB38" s="425"/>
      <c r="AC38" s="425"/>
    </row>
    <row r="39" ht="15.75" customHeight="1">
      <c r="A39" s="425"/>
      <c r="B39" s="466" t="s">
        <v>313</v>
      </c>
      <c r="C39" s="450"/>
      <c r="D39" s="662"/>
      <c r="E39" s="242"/>
      <c r="F39" s="634"/>
      <c r="G39" s="538"/>
      <c r="H39" s="634"/>
      <c r="I39" s="633"/>
      <c r="J39" s="662"/>
      <c r="K39" s="242"/>
      <c r="L39" s="634"/>
      <c r="M39" s="538"/>
      <c r="N39" s="634"/>
      <c r="O39" s="633"/>
      <c r="P39" s="685"/>
      <c r="Q39" s="635"/>
      <c r="R39" s="634"/>
      <c r="S39" s="538"/>
      <c r="T39" s="634"/>
      <c r="U39" s="633"/>
      <c r="V39" s="425"/>
      <c r="W39" s="425"/>
      <c r="X39" s="425"/>
      <c r="Y39" s="425"/>
      <c r="Z39" s="425"/>
      <c r="AA39" s="425"/>
      <c r="AB39" s="425"/>
      <c r="AC39" s="425"/>
    </row>
    <row r="40" ht="15.75" customHeight="1">
      <c r="A40" s="425"/>
      <c r="B40" s="454" t="s">
        <v>28</v>
      </c>
      <c r="C40" s="450"/>
      <c r="D40" s="662"/>
      <c r="E40" s="242"/>
      <c r="F40" s="634"/>
      <c r="G40" s="538"/>
      <c r="H40" s="634"/>
      <c r="I40" s="633"/>
      <c r="J40" s="662"/>
      <c r="K40" s="242"/>
      <c r="L40" s="634"/>
      <c r="M40" s="538"/>
      <c r="N40" s="634"/>
      <c r="O40" s="633"/>
      <c r="P40" s="685"/>
      <c r="Q40" s="635"/>
      <c r="R40" s="634"/>
      <c r="S40" s="538"/>
      <c r="T40" s="634"/>
      <c r="U40" s="633"/>
      <c r="V40" s="425"/>
      <c r="W40" s="425"/>
      <c r="X40" s="425"/>
      <c r="Y40" s="425"/>
      <c r="Z40" s="425"/>
      <c r="AA40" s="425"/>
      <c r="AB40" s="425"/>
      <c r="AC40" s="425"/>
    </row>
    <row r="41" ht="15.75" customHeight="1">
      <c r="A41" s="425"/>
      <c r="B41" s="450"/>
      <c r="C41" s="558" t="s">
        <v>187</v>
      </c>
      <c r="D41" s="662"/>
      <c r="E41" s="242"/>
      <c r="F41" s="634"/>
      <c r="G41" s="538"/>
      <c r="H41" s="634"/>
      <c r="I41" s="633"/>
      <c r="J41" s="662"/>
      <c r="K41" s="242"/>
      <c r="L41" s="634"/>
      <c r="M41" s="538"/>
      <c r="N41" s="634"/>
      <c r="O41" s="633"/>
      <c r="P41" s="685"/>
      <c r="Q41" s="635"/>
      <c r="R41" s="634"/>
      <c r="S41" s="538"/>
      <c r="T41" s="634"/>
      <c r="U41" s="633"/>
      <c r="V41" s="425"/>
      <c r="W41" s="425"/>
      <c r="X41" s="425"/>
      <c r="Y41" s="425"/>
      <c r="Z41" s="425"/>
      <c r="AA41" s="425"/>
      <c r="AB41" s="425"/>
      <c r="AC41" s="425"/>
    </row>
    <row r="42" ht="15.75" customHeight="1">
      <c r="A42" s="425"/>
      <c r="B42" s="450"/>
      <c r="C42" s="450" t="s">
        <v>188</v>
      </c>
      <c r="D42" s="452">
        <f>'MSBC CK Allocation'!C34</f>
        <v>703040.9944</v>
      </c>
      <c r="E42" s="538">
        <f>D42/D26</f>
        <v>0.05561125431</v>
      </c>
      <c r="F42" s="501"/>
      <c r="G42" s="538">
        <v>0.02</v>
      </c>
      <c r="H42" s="501">
        <f t="shared" ref="H42:H46" si="32">D42-F42</f>
        <v>703040.9944</v>
      </c>
      <c r="I42" s="550" t="str">
        <f t="shared" ref="I42:I46" si="33">IFERROR(H42/F42,"")</f>
        <v/>
      </c>
      <c r="J42" s="452">
        <f>'MSBC CK Allocation'!D34</f>
        <v>785691.4317</v>
      </c>
      <c r="K42" s="538">
        <f>J42/J26</f>
        <v>0.05990325802</v>
      </c>
      <c r="L42" s="501"/>
      <c r="M42" s="538">
        <v>0.02</v>
      </c>
      <c r="N42" s="501">
        <f t="shared" ref="N42:N46" si="34">J42-L42</f>
        <v>785691.4317</v>
      </c>
      <c r="O42" s="550" t="str">
        <f t="shared" ref="O42:O46" si="35">IFERROR(N42/L42,"")</f>
        <v/>
      </c>
      <c r="P42" s="459"/>
      <c r="Q42" s="541" t="str">
        <f>P42/P26</f>
        <v>#DIV/0!</v>
      </c>
      <c r="R42" s="501"/>
      <c r="S42" s="538">
        <v>0.02</v>
      </c>
      <c r="T42" s="501">
        <f t="shared" ref="T42:T46" si="36">P42-R42</f>
        <v>0</v>
      </c>
      <c r="U42" s="550" t="str">
        <f t="shared" ref="U42:U46" si="37">IFERROR(T42/R42,"")</f>
        <v/>
      </c>
      <c r="V42" s="425"/>
      <c r="W42" s="425"/>
      <c r="X42" s="425"/>
      <c r="Y42" s="425"/>
      <c r="Z42" s="425"/>
      <c r="AA42" s="425"/>
      <c r="AB42" s="425"/>
      <c r="AC42" s="425"/>
    </row>
    <row r="43" ht="15.75" customHeight="1">
      <c r="A43" s="425"/>
      <c r="B43" s="450"/>
      <c r="C43" s="450" t="s">
        <v>189</v>
      </c>
      <c r="D43" s="452">
        <v>3619317.342061004</v>
      </c>
      <c r="E43" s="538">
        <v>0.2649</v>
      </c>
      <c r="F43" s="501"/>
      <c r="G43" s="538">
        <v>0.2928</v>
      </c>
      <c r="H43" s="501">
        <f t="shared" si="32"/>
        <v>3619317.342</v>
      </c>
      <c r="I43" s="550" t="str">
        <f t="shared" si="33"/>
        <v/>
      </c>
      <c r="J43" s="452">
        <f>3638741.32+323374.34</f>
        <v>3962115.66</v>
      </c>
      <c r="K43" s="538">
        <v>0.2649</v>
      </c>
      <c r="L43" s="501"/>
      <c r="M43" s="538">
        <v>0.2928</v>
      </c>
      <c r="N43" s="501">
        <f t="shared" si="34"/>
        <v>3962115.66</v>
      </c>
      <c r="O43" s="550" t="str">
        <f t="shared" si="35"/>
        <v/>
      </c>
      <c r="P43" s="459"/>
      <c r="Q43" s="541">
        <v>0.2649</v>
      </c>
      <c r="R43" s="501"/>
      <c r="S43" s="538">
        <v>0.2928</v>
      </c>
      <c r="T43" s="501">
        <f t="shared" si="36"/>
        <v>0</v>
      </c>
      <c r="U43" s="550" t="str">
        <f t="shared" si="37"/>
        <v/>
      </c>
      <c r="V43" s="425"/>
      <c r="W43" s="425"/>
      <c r="X43" s="425"/>
      <c r="Y43" s="425"/>
      <c r="Z43" s="425"/>
      <c r="AA43" s="425"/>
      <c r="AB43" s="425"/>
      <c r="AC43" s="425"/>
    </row>
    <row r="44" ht="15.75" customHeight="1">
      <c r="A44" s="425"/>
      <c r="B44" s="450"/>
      <c r="C44" s="450" t="s">
        <v>21</v>
      </c>
      <c r="D44" s="452">
        <v>292646.73356728576</v>
      </c>
      <c r="E44" s="538">
        <v>0.2147</v>
      </c>
      <c r="F44" s="501"/>
      <c r="G44" s="538">
        <v>0.1947</v>
      </c>
      <c r="H44" s="501">
        <f t="shared" si="32"/>
        <v>292646.7336</v>
      </c>
      <c r="I44" s="550" t="str">
        <f t="shared" si="33"/>
        <v/>
      </c>
      <c r="J44" s="452">
        <f>219591.4+117560.65</f>
        <v>337152.05</v>
      </c>
      <c r="K44" s="538">
        <v>0.2147</v>
      </c>
      <c r="L44" s="501"/>
      <c r="M44" s="538">
        <v>0.1947</v>
      </c>
      <c r="N44" s="501">
        <f t="shared" si="34"/>
        <v>337152.05</v>
      </c>
      <c r="O44" s="550" t="str">
        <f t="shared" si="35"/>
        <v/>
      </c>
      <c r="P44" s="459"/>
      <c r="Q44" s="541">
        <v>0.2147</v>
      </c>
      <c r="R44" s="501"/>
      <c r="S44" s="538">
        <v>0.1947</v>
      </c>
      <c r="T44" s="501">
        <f t="shared" si="36"/>
        <v>0</v>
      </c>
      <c r="U44" s="550" t="str">
        <f t="shared" si="37"/>
        <v/>
      </c>
      <c r="V44" s="425"/>
      <c r="W44" s="425"/>
      <c r="X44" s="425"/>
      <c r="Y44" s="425"/>
      <c r="Z44" s="425"/>
      <c r="AA44" s="425"/>
      <c r="AB44" s="425"/>
      <c r="AC44" s="425"/>
    </row>
    <row r="45" ht="15.75" customHeight="1">
      <c r="A45" s="425"/>
      <c r="B45" s="450"/>
      <c r="C45" s="450" t="s">
        <v>22</v>
      </c>
      <c r="D45" s="452">
        <v>741378.1000000001</v>
      </c>
      <c r="E45" s="538">
        <v>0.2142</v>
      </c>
      <c r="F45" s="501"/>
      <c r="G45" s="538">
        <v>0.2492</v>
      </c>
      <c r="H45" s="501">
        <f t="shared" si="32"/>
        <v>741378.1</v>
      </c>
      <c r="I45" s="550" t="str">
        <f t="shared" si="33"/>
        <v/>
      </c>
      <c r="J45" s="452">
        <v>585281.74</v>
      </c>
      <c r="K45" s="538">
        <v>0.2142</v>
      </c>
      <c r="L45" s="501"/>
      <c r="M45" s="538">
        <v>0.2492</v>
      </c>
      <c r="N45" s="501">
        <f t="shared" si="34"/>
        <v>585281.74</v>
      </c>
      <c r="O45" s="550" t="str">
        <f t="shared" si="35"/>
        <v/>
      </c>
      <c r="P45" s="459"/>
      <c r="Q45" s="541">
        <v>0.2142</v>
      </c>
      <c r="R45" s="501"/>
      <c r="S45" s="538">
        <v>0.2492</v>
      </c>
      <c r="T45" s="501">
        <f t="shared" si="36"/>
        <v>0</v>
      </c>
      <c r="U45" s="550" t="str">
        <f t="shared" si="37"/>
        <v/>
      </c>
      <c r="V45" s="425"/>
      <c r="W45" s="425"/>
      <c r="X45" s="425"/>
      <c r="Y45" s="425"/>
      <c r="Z45" s="425"/>
      <c r="AA45" s="425"/>
      <c r="AB45" s="425"/>
      <c r="AC45" s="425"/>
    </row>
    <row r="46" ht="15.75" customHeight="1">
      <c r="A46" s="737"/>
      <c r="B46" s="468"/>
      <c r="C46" s="468" t="s">
        <v>190</v>
      </c>
      <c r="D46" s="470">
        <f>'Calculation Sheet for GST on Pu'!C25</f>
        <v>195615.0934</v>
      </c>
      <c r="E46" s="545">
        <f t="shared" ref="E46:E50" si="38">D46/D$29</f>
        <v>0.01127714026</v>
      </c>
      <c r="F46" s="527"/>
      <c r="G46" s="545">
        <v>0.0925</v>
      </c>
      <c r="H46" s="527">
        <f t="shared" si="32"/>
        <v>195615.0934</v>
      </c>
      <c r="I46" s="757" t="str">
        <f t="shared" si="33"/>
        <v/>
      </c>
      <c r="J46" s="470">
        <f>'Calculation Sheet for GST on Pu'!D25</f>
        <v>200898.3987</v>
      </c>
      <c r="K46" s="545">
        <f t="shared" ref="K46:K50" si="39">J46/J$29</f>
        <v>0.01189692777</v>
      </c>
      <c r="L46" s="527"/>
      <c r="M46" s="545">
        <v>0.0925</v>
      </c>
      <c r="N46" s="527">
        <f t="shared" si="34"/>
        <v>200898.3987</v>
      </c>
      <c r="O46" s="757" t="str">
        <f t="shared" si="35"/>
        <v/>
      </c>
      <c r="P46" s="472"/>
      <c r="Q46" s="554" t="str">
        <f t="shared" ref="Q46:Q50" si="40">P46/P$29</f>
        <v>#DIV/0!</v>
      </c>
      <c r="R46" s="527"/>
      <c r="S46" s="545">
        <v>0.0925</v>
      </c>
      <c r="T46" s="527">
        <f t="shared" si="36"/>
        <v>0</v>
      </c>
      <c r="U46" s="757" t="str">
        <f t="shared" si="37"/>
        <v/>
      </c>
      <c r="V46" s="425"/>
      <c r="W46" s="425"/>
      <c r="X46" s="425"/>
      <c r="Y46" s="425"/>
      <c r="Z46" s="425"/>
      <c r="AA46" s="425"/>
      <c r="AB46" s="425"/>
      <c r="AC46" s="425"/>
    </row>
    <row r="47" ht="15.75" customHeight="1">
      <c r="A47" s="425"/>
      <c r="B47" s="477"/>
      <c r="C47" s="474" t="s">
        <v>191</v>
      </c>
      <c r="D47" s="475">
        <f>SUM(D42:D46)</f>
        <v>5551998.263</v>
      </c>
      <c r="E47" s="581">
        <f t="shared" si="38"/>
        <v>0.3200707167</v>
      </c>
      <c r="F47" s="475">
        <f>SUM(F42:F46)</f>
        <v>0</v>
      </c>
      <c r="G47" s="581" t="str">
        <f>F47/F$29</f>
        <v>#DIV/0!</v>
      </c>
      <c r="H47" s="644">
        <f>SUM(H42:H46)</f>
        <v>5551998.263</v>
      </c>
      <c r="I47" s="474"/>
      <c r="J47" s="475">
        <f>SUM(J42:J46)</f>
        <v>5871139.28</v>
      </c>
      <c r="K47" s="581">
        <f t="shared" si="39"/>
        <v>0.3476808197</v>
      </c>
      <c r="L47" s="475">
        <f>SUM(L42:L46)</f>
        <v>0</v>
      </c>
      <c r="M47" s="581" t="str">
        <f>L47/L$29</f>
        <v>#DIV/0!</v>
      </c>
      <c r="N47" s="644">
        <f>SUM(N42:N46)</f>
        <v>5871139.28</v>
      </c>
      <c r="O47" s="474"/>
      <c r="P47" s="475">
        <f>SUM(P42:P46)</f>
        <v>0</v>
      </c>
      <c r="Q47" s="581" t="str">
        <f t="shared" si="40"/>
        <v>#DIV/0!</v>
      </c>
      <c r="R47" s="475">
        <f>SUM(R42:R46)</f>
        <v>0</v>
      </c>
      <c r="S47" s="581" t="str">
        <f>R47/R$29</f>
        <v>#DIV/0!</v>
      </c>
      <c r="T47" s="644">
        <f>SUM(T42:T46)</f>
        <v>0</v>
      </c>
      <c r="U47" s="474"/>
      <c r="V47" s="427"/>
      <c r="W47" s="427"/>
      <c r="X47" s="427"/>
      <c r="Y47" s="427"/>
      <c r="Z47" s="427"/>
      <c r="AA47" s="427"/>
      <c r="AB47" s="427"/>
      <c r="AC47" s="427"/>
    </row>
    <row r="48" ht="15.75" customHeight="1">
      <c r="A48" s="425"/>
      <c r="B48" s="508"/>
      <c r="C48" s="508" t="s">
        <v>192</v>
      </c>
      <c r="D48" s="495">
        <v>202872.5</v>
      </c>
      <c r="E48" s="566">
        <f t="shared" si="38"/>
        <v>0.01169552716</v>
      </c>
      <c r="F48" s="563"/>
      <c r="G48" s="562">
        <v>0.0055</v>
      </c>
      <c r="H48" s="563">
        <f>D48-F48</f>
        <v>202872.5</v>
      </c>
      <c r="I48" s="761" t="str">
        <f>IFERROR(H48/F48,"")</f>
        <v/>
      </c>
      <c r="J48" s="762">
        <f>293045+3424.52+12903</f>
        <v>309372.52</v>
      </c>
      <c r="K48" s="566">
        <f t="shared" si="39"/>
        <v>0.01832061653</v>
      </c>
      <c r="L48" s="563"/>
      <c r="M48" s="562">
        <v>0.0055</v>
      </c>
      <c r="N48" s="563">
        <f>J48-L48</f>
        <v>309372.52</v>
      </c>
      <c r="O48" s="763" t="str">
        <f>IFERROR(N48/L48,"")</f>
        <v/>
      </c>
      <c r="P48" s="565"/>
      <c r="Q48" s="566" t="str">
        <f t="shared" si="40"/>
        <v>#DIV/0!</v>
      </c>
      <c r="R48" s="563"/>
      <c r="S48" s="562">
        <v>0.0055</v>
      </c>
      <c r="T48" s="563">
        <f>P48-R48</f>
        <v>0</v>
      </c>
      <c r="U48" s="763" t="str">
        <f>IFERROR(T48/R48,"")</f>
        <v/>
      </c>
      <c r="V48" s="425"/>
      <c r="W48" s="425"/>
      <c r="X48" s="425"/>
      <c r="Y48" s="425"/>
      <c r="Z48" s="425"/>
      <c r="AA48" s="425"/>
      <c r="AB48" s="425"/>
      <c r="AC48" s="425"/>
    </row>
    <row r="49" ht="15.75" customHeight="1">
      <c r="A49" s="425"/>
      <c r="B49" s="474"/>
      <c r="C49" s="474" t="s">
        <v>193</v>
      </c>
      <c r="D49" s="444">
        <f>D47+D48</f>
        <v>5754870.763</v>
      </c>
      <c r="E49" s="529">
        <f t="shared" si="38"/>
        <v>0.3317662439</v>
      </c>
      <c r="F49" s="530">
        <f>F47+F48</f>
        <v>0</v>
      </c>
      <c r="G49" s="529" t="str">
        <f t="shared" ref="G49:G50" si="41">F49/F$29</f>
        <v>#DIV/0!</v>
      </c>
      <c r="H49" s="758">
        <f>H47+H48</f>
        <v>5754870.763</v>
      </c>
      <c r="I49" s="650"/>
      <c r="J49" s="475">
        <f>J47+J48</f>
        <v>6180511.8</v>
      </c>
      <c r="K49" s="532">
        <f t="shared" si="39"/>
        <v>0.3660014362</v>
      </c>
      <c r="L49" s="530">
        <f>L47+L48</f>
        <v>0</v>
      </c>
      <c r="M49" s="529" t="str">
        <f t="shared" ref="M49:M50" si="42">L49/L$29</f>
        <v>#DIV/0!</v>
      </c>
      <c r="N49" s="758">
        <f>N47+N48</f>
        <v>6180511.8</v>
      </c>
      <c r="O49" s="650"/>
      <c r="P49" s="475">
        <f>P47+P48</f>
        <v>0</v>
      </c>
      <c r="Q49" s="532" t="str">
        <f t="shared" si="40"/>
        <v>#DIV/0!</v>
      </c>
      <c r="R49" s="530">
        <f>R47+R48</f>
        <v>0</v>
      </c>
      <c r="S49" s="529" t="str">
        <f t="shared" ref="S49:S50" si="43">R49/R$29</f>
        <v>#DIV/0!</v>
      </c>
      <c r="T49" s="758">
        <f>T47+T48</f>
        <v>0</v>
      </c>
      <c r="U49" s="650"/>
      <c r="V49" s="427"/>
      <c r="W49" s="427"/>
      <c r="X49" s="427"/>
      <c r="Y49" s="427"/>
      <c r="Z49" s="427"/>
      <c r="AA49" s="427"/>
      <c r="AB49" s="427"/>
      <c r="AC49" s="427"/>
    </row>
    <row r="50" ht="15.75" customHeight="1">
      <c r="A50" s="425"/>
      <c r="B50" s="739" t="s">
        <v>32</v>
      </c>
      <c r="C50" s="474" t="s">
        <v>32</v>
      </c>
      <c r="D50" s="444">
        <f>D29-D49</f>
        <v>11591290.49</v>
      </c>
      <c r="E50" s="529">
        <f t="shared" si="38"/>
        <v>0.6682337561</v>
      </c>
      <c r="F50" s="530" t="str">
        <f>F29-F49-#REF!</f>
        <v>#REF!</v>
      </c>
      <c r="G50" s="529" t="str">
        <f t="shared" si="41"/>
        <v>#REF!</v>
      </c>
      <c r="H50" s="530" t="str">
        <f>H29-H49-#REF!</f>
        <v>#REF!</v>
      </c>
      <c r="I50" s="531" t="str">
        <f>H50/H$29</f>
        <v>#REF!</v>
      </c>
      <c r="J50" s="444">
        <f>J29-J49</f>
        <v>10706066.2</v>
      </c>
      <c r="K50" s="529">
        <f t="shared" si="39"/>
        <v>0.6339985638</v>
      </c>
      <c r="L50" s="530" t="str">
        <f>L29-L49-#REF!</f>
        <v>#REF!</v>
      </c>
      <c r="M50" s="529" t="str">
        <f t="shared" si="42"/>
        <v>#REF!</v>
      </c>
      <c r="N50" s="530" t="str">
        <f>N29-N49-#REF!</f>
        <v>#REF!</v>
      </c>
      <c r="O50" s="531" t="str">
        <f>N50/N$29</f>
        <v>#REF!</v>
      </c>
      <c r="P50" s="475">
        <f>P29-P49</f>
        <v>0</v>
      </c>
      <c r="Q50" s="532" t="str">
        <f t="shared" si="40"/>
        <v>#DIV/0!</v>
      </c>
      <c r="R50" s="530" t="str">
        <f>R29-R49-#REF!</f>
        <v>#REF!</v>
      </c>
      <c r="S50" s="529" t="str">
        <f t="shared" si="43"/>
        <v>#REF!</v>
      </c>
      <c r="T50" s="530" t="str">
        <f>T29-T49-#REF!</f>
        <v>#REF!</v>
      </c>
      <c r="U50" s="531" t="str">
        <f>T50/T$29</f>
        <v>#REF!</v>
      </c>
      <c r="V50" s="425"/>
      <c r="W50" s="425"/>
      <c r="X50" s="425"/>
      <c r="Y50" s="425"/>
      <c r="Z50" s="425"/>
      <c r="AA50" s="425"/>
      <c r="AB50" s="425"/>
      <c r="AC50" s="425"/>
    </row>
    <row r="51" ht="15.75" customHeight="1">
      <c r="A51" s="425"/>
      <c r="B51" s="508"/>
      <c r="C51" s="508"/>
      <c r="D51" s="494"/>
      <c r="E51" s="646"/>
      <c r="F51" s="764"/>
      <c r="G51" s="562"/>
      <c r="H51" s="764"/>
      <c r="I51" s="647"/>
      <c r="J51" s="494"/>
      <c r="K51" s="646"/>
      <c r="L51" s="764"/>
      <c r="M51" s="562"/>
      <c r="N51" s="764"/>
      <c r="O51" s="647"/>
      <c r="P51" s="495"/>
      <c r="Q51" s="648"/>
      <c r="R51" s="764"/>
      <c r="S51" s="562"/>
      <c r="T51" s="764"/>
      <c r="U51" s="647"/>
      <c r="V51" s="425"/>
      <c r="W51" s="425"/>
      <c r="X51" s="425"/>
      <c r="Y51" s="425"/>
      <c r="Z51" s="425"/>
      <c r="AA51" s="425"/>
      <c r="AB51" s="425"/>
      <c r="AC51" s="425"/>
    </row>
    <row r="52" ht="15.75" customHeight="1">
      <c r="A52" s="425"/>
      <c r="B52" s="477"/>
      <c r="C52" s="742" t="s">
        <v>194</v>
      </c>
      <c r="D52" s="493"/>
      <c r="E52" s="477"/>
      <c r="F52" s="641"/>
      <c r="G52" s="628"/>
      <c r="H52" s="641"/>
      <c r="I52" s="477"/>
      <c r="J52" s="493"/>
      <c r="K52" s="477"/>
      <c r="L52" s="641"/>
      <c r="M52" s="628"/>
      <c r="N52" s="641"/>
      <c r="O52" s="477"/>
      <c r="P52" s="493"/>
      <c r="Q52" s="477"/>
      <c r="R52" s="641"/>
      <c r="S52" s="628"/>
      <c r="T52" s="641"/>
      <c r="U52" s="477"/>
      <c r="V52" s="425"/>
      <c r="W52" s="425"/>
      <c r="X52" s="425"/>
      <c r="Y52" s="425"/>
      <c r="Z52" s="425"/>
      <c r="AA52" s="425"/>
      <c r="AB52" s="425"/>
      <c r="AC52" s="425"/>
    </row>
    <row r="53" ht="15.75" customHeight="1">
      <c r="A53" s="425"/>
      <c r="B53" s="481"/>
      <c r="C53" s="481" t="s">
        <v>195</v>
      </c>
      <c r="D53" s="448">
        <v>76321.0</v>
      </c>
      <c r="E53" s="533">
        <f t="shared" ref="E53:E58" si="44">D53/D$29</f>
        <v>0.004399878388</v>
      </c>
      <c r="F53" s="523"/>
      <c r="G53" s="533">
        <v>0.0042</v>
      </c>
      <c r="H53" s="523">
        <f t="shared" ref="H53:H57" si="45">D53-F53</f>
        <v>76321</v>
      </c>
      <c r="I53" s="549" t="str">
        <f t="shared" ref="I53:I57" si="46">IFERROR(H53/F53,"")</f>
        <v/>
      </c>
      <c r="J53" s="448">
        <v>74161.0</v>
      </c>
      <c r="K53" s="533">
        <f t="shared" ref="K53:K58" si="47">J53/J$29</f>
        <v>0.004391712756</v>
      </c>
      <c r="L53" s="523"/>
      <c r="M53" s="533">
        <v>0.0042</v>
      </c>
      <c r="N53" s="523">
        <f t="shared" ref="N53:N57" si="48">J53-L53</f>
        <v>74161</v>
      </c>
      <c r="O53" s="549" t="str">
        <f t="shared" ref="O53:O57" si="49">IFERROR(N53/L53,"")</f>
        <v/>
      </c>
      <c r="P53" s="482"/>
      <c r="Q53" s="535" t="str">
        <f t="shared" ref="Q53:Q58" si="50">P53/P$29</f>
        <v>#DIV/0!</v>
      </c>
      <c r="R53" s="523"/>
      <c r="S53" s="533">
        <v>0.0042</v>
      </c>
      <c r="T53" s="523">
        <f t="shared" ref="T53:T57" si="51">P53-R53</f>
        <v>0</v>
      </c>
      <c r="U53" s="549" t="str">
        <f t="shared" ref="U53:U57" si="52">IFERROR(T53/R53,"")</f>
        <v/>
      </c>
      <c r="V53" s="425"/>
      <c r="W53" s="425"/>
      <c r="X53" s="425"/>
      <c r="Y53" s="425"/>
      <c r="Z53" s="425"/>
      <c r="AA53" s="425"/>
      <c r="AB53" s="425"/>
      <c r="AC53" s="425"/>
    </row>
    <row r="54" ht="15.75" customHeight="1">
      <c r="A54" s="425"/>
      <c r="B54" s="450"/>
      <c r="C54" s="450" t="s">
        <v>196</v>
      </c>
      <c r="D54" s="452">
        <v>109361.52</v>
      </c>
      <c r="E54" s="538">
        <f t="shared" si="44"/>
        <v>0.006304652564</v>
      </c>
      <c r="F54" s="501"/>
      <c r="G54" s="538">
        <v>0.0107</v>
      </c>
      <c r="H54" s="501">
        <f t="shared" si="45"/>
        <v>109361.52</v>
      </c>
      <c r="I54" s="550" t="str">
        <f t="shared" si="46"/>
        <v/>
      </c>
      <c r="J54" s="452">
        <v>353482.0</v>
      </c>
      <c r="K54" s="538">
        <f t="shared" si="47"/>
        <v>0.02093271947</v>
      </c>
      <c r="L54" s="501"/>
      <c r="M54" s="538">
        <v>0.0107</v>
      </c>
      <c r="N54" s="501">
        <f t="shared" si="48"/>
        <v>353482</v>
      </c>
      <c r="O54" s="550" t="str">
        <f t="shared" si="49"/>
        <v/>
      </c>
      <c r="P54" s="459"/>
      <c r="Q54" s="541" t="str">
        <f t="shared" si="50"/>
        <v>#DIV/0!</v>
      </c>
      <c r="R54" s="501"/>
      <c r="S54" s="538">
        <v>0.0107</v>
      </c>
      <c r="T54" s="501">
        <f t="shared" si="51"/>
        <v>0</v>
      </c>
      <c r="U54" s="550" t="str">
        <f t="shared" si="52"/>
        <v/>
      </c>
      <c r="V54" s="425"/>
      <c r="W54" s="425"/>
      <c r="X54" s="425"/>
      <c r="Y54" s="425"/>
      <c r="Z54" s="425"/>
      <c r="AA54" s="425"/>
      <c r="AB54" s="425"/>
      <c r="AC54" s="425"/>
    </row>
    <row r="55" ht="15.75" customHeight="1">
      <c r="A55" s="425"/>
      <c r="B55" s="450"/>
      <c r="C55" s="450" t="s">
        <v>198</v>
      </c>
      <c r="D55" s="452">
        <v>219816.0</v>
      </c>
      <c r="E55" s="538">
        <f t="shared" si="44"/>
        <v>0.01267231388</v>
      </c>
      <c r="F55" s="501"/>
      <c r="G55" s="538">
        <v>0.0033</v>
      </c>
      <c r="H55" s="501">
        <f t="shared" si="45"/>
        <v>219816</v>
      </c>
      <c r="I55" s="550" t="str">
        <f t="shared" si="46"/>
        <v/>
      </c>
      <c r="J55" s="452">
        <v>74235.0</v>
      </c>
      <c r="K55" s="538">
        <f t="shared" si="47"/>
        <v>0.004396094934</v>
      </c>
      <c r="L55" s="501"/>
      <c r="M55" s="538">
        <v>0.0033</v>
      </c>
      <c r="N55" s="501">
        <f t="shared" si="48"/>
        <v>74235</v>
      </c>
      <c r="O55" s="550" t="str">
        <f t="shared" si="49"/>
        <v/>
      </c>
      <c r="P55" s="459"/>
      <c r="Q55" s="541" t="str">
        <f t="shared" si="50"/>
        <v>#DIV/0!</v>
      </c>
      <c r="R55" s="501"/>
      <c r="S55" s="538">
        <v>0.0033</v>
      </c>
      <c r="T55" s="501">
        <f t="shared" si="51"/>
        <v>0</v>
      </c>
      <c r="U55" s="550" t="str">
        <f t="shared" si="52"/>
        <v/>
      </c>
      <c r="V55" s="425"/>
      <c r="W55" s="425"/>
      <c r="X55" s="425"/>
      <c r="Y55" s="425"/>
      <c r="Z55" s="425"/>
      <c r="AA55" s="425"/>
      <c r="AB55" s="425"/>
      <c r="AC55" s="425"/>
    </row>
    <row r="56" ht="15.75" customHeight="1">
      <c r="A56" s="425"/>
      <c r="B56" s="450"/>
      <c r="C56" s="450" t="s">
        <v>197</v>
      </c>
      <c r="D56" s="452">
        <v>32475.6</v>
      </c>
      <c r="E56" s="538">
        <f t="shared" si="44"/>
        <v>0.00187220674</v>
      </c>
      <c r="F56" s="501"/>
      <c r="G56" s="538">
        <v>0.0026</v>
      </c>
      <c r="H56" s="501">
        <f t="shared" si="45"/>
        <v>32475.6</v>
      </c>
      <c r="I56" s="550" t="str">
        <f t="shared" si="46"/>
        <v/>
      </c>
      <c r="J56" s="452">
        <v>44854.0</v>
      </c>
      <c r="K56" s="538">
        <f t="shared" si="47"/>
        <v>0.002656192391</v>
      </c>
      <c r="L56" s="501"/>
      <c r="M56" s="538">
        <v>0.0026</v>
      </c>
      <c r="N56" s="501">
        <f t="shared" si="48"/>
        <v>44854</v>
      </c>
      <c r="O56" s="550" t="str">
        <f t="shared" si="49"/>
        <v/>
      </c>
      <c r="P56" s="459"/>
      <c r="Q56" s="541" t="str">
        <f t="shared" si="50"/>
        <v>#DIV/0!</v>
      </c>
      <c r="R56" s="501"/>
      <c r="S56" s="538">
        <v>0.0026</v>
      </c>
      <c r="T56" s="501">
        <f t="shared" si="51"/>
        <v>0</v>
      </c>
      <c r="U56" s="550" t="str">
        <f t="shared" si="52"/>
        <v/>
      </c>
      <c r="V56" s="425"/>
      <c r="W56" s="425"/>
      <c r="X56" s="425"/>
      <c r="Y56" s="425"/>
      <c r="Z56" s="425"/>
      <c r="AA56" s="425"/>
      <c r="AB56" s="425"/>
      <c r="AC56" s="425"/>
    </row>
    <row r="57" ht="15.75" customHeight="1">
      <c r="A57" s="425"/>
      <c r="B57" s="468"/>
      <c r="C57" s="468" t="s">
        <v>199</v>
      </c>
      <c r="D57" s="470">
        <v>1225.3333333333333</v>
      </c>
      <c r="E57" s="545">
        <f t="shared" si="44"/>
        <v>0.00007064002898</v>
      </c>
      <c r="F57" s="527"/>
      <c r="G57" s="545">
        <v>3.0E-4</v>
      </c>
      <c r="H57" s="527">
        <f t="shared" si="45"/>
        <v>1225.333333</v>
      </c>
      <c r="I57" s="757" t="str">
        <f t="shared" si="46"/>
        <v/>
      </c>
      <c r="J57" s="470">
        <v>3247.0</v>
      </c>
      <c r="K57" s="545">
        <f t="shared" si="47"/>
        <v>0.0001922828888</v>
      </c>
      <c r="L57" s="527"/>
      <c r="M57" s="545">
        <v>3.0E-4</v>
      </c>
      <c r="N57" s="527">
        <f t="shared" si="48"/>
        <v>3247</v>
      </c>
      <c r="O57" s="757" t="str">
        <f t="shared" si="49"/>
        <v/>
      </c>
      <c r="P57" s="472"/>
      <c r="Q57" s="554" t="str">
        <f t="shared" si="50"/>
        <v>#DIV/0!</v>
      </c>
      <c r="R57" s="527"/>
      <c r="S57" s="545">
        <v>3.0E-4</v>
      </c>
      <c r="T57" s="527">
        <f t="shared" si="51"/>
        <v>0</v>
      </c>
      <c r="U57" s="757" t="str">
        <f t="shared" si="52"/>
        <v/>
      </c>
      <c r="V57" s="425"/>
      <c r="W57" s="425"/>
      <c r="X57" s="425"/>
      <c r="Y57" s="425"/>
      <c r="Z57" s="425"/>
      <c r="AA57" s="425"/>
      <c r="AB57" s="425"/>
      <c r="AC57" s="425"/>
    </row>
    <row r="58" ht="15.75" customHeight="1">
      <c r="A58" s="425"/>
      <c r="B58" s="477"/>
      <c r="C58" s="474" t="s">
        <v>200</v>
      </c>
      <c r="D58" s="444">
        <f>SUM(D53:D57)</f>
        <v>439199.4533</v>
      </c>
      <c r="E58" s="529">
        <f t="shared" si="44"/>
        <v>0.0253196916</v>
      </c>
      <c r="F58" s="530">
        <f>SUM(F53:F57)</f>
        <v>0</v>
      </c>
      <c r="G58" s="529" t="str">
        <f>F58/F$29</f>
        <v>#DIV/0!</v>
      </c>
      <c r="H58" s="530">
        <f>SUM(H53:H57)</f>
        <v>439199.4533</v>
      </c>
      <c r="I58" s="531"/>
      <c r="J58" s="444">
        <f>SUM(J53:J57)</f>
        <v>549979</v>
      </c>
      <c r="K58" s="529">
        <f t="shared" si="47"/>
        <v>0.03256900243</v>
      </c>
      <c r="L58" s="530">
        <f>SUM(L53:L57)</f>
        <v>0</v>
      </c>
      <c r="M58" s="529" t="str">
        <f>L58/L$29</f>
        <v>#DIV/0!</v>
      </c>
      <c r="N58" s="530">
        <f>SUM(N53:N57)</f>
        <v>549979</v>
      </c>
      <c r="O58" s="531"/>
      <c r="P58" s="475">
        <f>SUM(P53:P57)</f>
        <v>0</v>
      </c>
      <c r="Q58" s="532" t="str">
        <f t="shared" si="50"/>
        <v>#DIV/0!</v>
      </c>
      <c r="R58" s="530">
        <f>SUM(R53:R57)</f>
        <v>0</v>
      </c>
      <c r="S58" s="529" t="str">
        <f>R58/R$29</f>
        <v>#DIV/0!</v>
      </c>
      <c r="T58" s="530">
        <f>SUM(T53:T57)</f>
        <v>0</v>
      </c>
      <c r="U58" s="531"/>
      <c r="V58" s="427"/>
      <c r="W58" s="427"/>
      <c r="X58" s="427"/>
      <c r="Y58" s="427"/>
      <c r="Z58" s="427"/>
      <c r="AA58" s="427"/>
      <c r="AB58" s="427"/>
      <c r="AC58" s="427"/>
    </row>
    <row r="59" ht="15.75" hidden="1" customHeight="1">
      <c r="A59" s="425"/>
      <c r="B59" s="481"/>
      <c r="C59" s="481"/>
      <c r="D59" s="448"/>
      <c r="E59" s="630"/>
      <c r="F59" s="642"/>
      <c r="G59" s="533"/>
      <c r="H59" s="642"/>
      <c r="I59" s="631"/>
      <c r="J59" s="448"/>
      <c r="K59" s="630"/>
      <c r="L59" s="642"/>
      <c r="M59" s="533"/>
      <c r="N59" s="642"/>
      <c r="O59" s="631"/>
      <c r="P59" s="482"/>
      <c r="Q59" s="643"/>
      <c r="R59" s="642"/>
      <c r="S59" s="533"/>
      <c r="T59" s="642"/>
      <c r="U59" s="631"/>
      <c r="V59" s="425"/>
      <c r="W59" s="425"/>
      <c r="X59" s="425"/>
      <c r="Y59" s="425"/>
      <c r="Z59" s="425"/>
      <c r="AA59" s="425"/>
      <c r="AB59" s="425"/>
      <c r="AC59" s="425"/>
    </row>
    <row r="60" ht="15.75" hidden="1" customHeight="1">
      <c r="A60" s="425"/>
      <c r="B60" s="450"/>
      <c r="C60" s="450"/>
      <c r="D60" s="452"/>
      <c r="E60" s="538"/>
      <c r="F60" s="501"/>
      <c r="G60" s="521"/>
      <c r="H60" s="501"/>
      <c r="I60" s="464"/>
      <c r="J60" s="452"/>
      <c r="K60" s="538"/>
      <c r="L60" s="501"/>
      <c r="M60" s="521"/>
      <c r="N60" s="501"/>
      <c r="O60" s="464"/>
      <c r="P60" s="459"/>
      <c r="Q60" s="541"/>
      <c r="R60" s="501"/>
      <c r="S60" s="521"/>
      <c r="T60" s="501"/>
      <c r="U60" s="464"/>
      <c r="V60" s="425"/>
      <c r="W60" s="425"/>
      <c r="X60" s="425"/>
      <c r="Y60" s="425"/>
      <c r="Z60" s="425"/>
      <c r="AA60" s="425"/>
      <c r="AB60" s="425"/>
      <c r="AC60" s="425"/>
    </row>
    <row r="61" ht="15.75" hidden="1" customHeight="1">
      <c r="A61" s="425"/>
      <c r="B61" s="450"/>
      <c r="C61" s="450"/>
      <c r="D61" s="452"/>
      <c r="E61" s="538"/>
      <c r="F61" s="501"/>
      <c r="G61" s="521"/>
      <c r="H61" s="501"/>
      <c r="I61" s="464"/>
      <c r="J61" s="452"/>
      <c r="K61" s="538"/>
      <c r="L61" s="501"/>
      <c r="M61" s="521"/>
      <c r="N61" s="501"/>
      <c r="O61" s="464"/>
      <c r="P61" s="459"/>
      <c r="Q61" s="541"/>
      <c r="R61" s="501"/>
      <c r="S61" s="521"/>
      <c r="T61" s="501"/>
      <c r="U61" s="464"/>
      <c r="V61" s="425"/>
      <c r="W61" s="425"/>
      <c r="X61" s="425"/>
      <c r="Y61" s="425"/>
      <c r="Z61" s="425"/>
      <c r="AA61" s="425"/>
      <c r="AB61" s="425"/>
      <c r="AC61" s="425"/>
    </row>
    <row r="62" ht="15.75" hidden="1" customHeight="1">
      <c r="A62" s="425"/>
      <c r="B62" s="450"/>
      <c r="C62" s="450"/>
      <c r="D62" s="452"/>
      <c r="E62" s="538"/>
      <c r="F62" s="501"/>
      <c r="G62" s="521"/>
      <c r="H62" s="501"/>
      <c r="I62" s="464"/>
      <c r="J62" s="452"/>
      <c r="K62" s="538"/>
      <c r="L62" s="501"/>
      <c r="M62" s="521"/>
      <c r="N62" s="501"/>
      <c r="O62" s="464"/>
      <c r="P62" s="459"/>
      <c r="Q62" s="541"/>
      <c r="R62" s="501"/>
      <c r="S62" s="521"/>
      <c r="T62" s="501"/>
      <c r="U62" s="464"/>
      <c r="V62" s="425"/>
      <c r="W62" s="425"/>
      <c r="X62" s="425"/>
      <c r="Y62" s="425"/>
      <c r="Z62" s="425"/>
      <c r="AA62" s="425"/>
      <c r="AB62" s="425"/>
      <c r="AC62" s="425"/>
    </row>
    <row r="63" ht="15.75" hidden="1" customHeight="1">
      <c r="A63" s="425"/>
      <c r="B63" s="450"/>
      <c r="C63" s="450"/>
      <c r="D63" s="452"/>
      <c r="E63" s="538"/>
      <c r="F63" s="501"/>
      <c r="G63" s="521"/>
      <c r="H63" s="501"/>
      <c r="I63" s="464"/>
      <c r="J63" s="452"/>
      <c r="K63" s="538"/>
      <c r="L63" s="501"/>
      <c r="M63" s="521"/>
      <c r="N63" s="501"/>
      <c r="O63" s="464"/>
      <c r="P63" s="459"/>
      <c r="Q63" s="541"/>
      <c r="R63" s="501"/>
      <c r="S63" s="521"/>
      <c r="T63" s="501"/>
      <c r="U63" s="464"/>
      <c r="V63" s="425"/>
      <c r="W63" s="425"/>
      <c r="X63" s="425"/>
      <c r="Y63" s="425"/>
      <c r="Z63" s="425"/>
      <c r="AA63" s="425"/>
      <c r="AB63" s="425"/>
      <c r="AC63" s="425"/>
    </row>
    <row r="64" ht="15.75" hidden="1" customHeight="1">
      <c r="A64" s="425"/>
      <c r="B64" s="450"/>
      <c r="C64" s="450"/>
      <c r="D64" s="452"/>
      <c r="E64" s="538"/>
      <c r="F64" s="501"/>
      <c r="G64" s="521"/>
      <c r="H64" s="501"/>
      <c r="I64" s="464"/>
      <c r="J64" s="452"/>
      <c r="K64" s="538"/>
      <c r="L64" s="501"/>
      <c r="M64" s="521"/>
      <c r="N64" s="501"/>
      <c r="O64" s="464"/>
      <c r="P64" s="459"/>
      <c r="Q64" s="541"/>
      <c r="R64" s="501"/>
      <c r="S64" s="521"/>
      <c r="T64" s="501"/>
      <c r="U64" s="464"/>
      <c r="V64" s="425"/>
      <c r="W64" s="425"/>
      <c r="X64" s="425"/>
      <c r="Y64" s="425"/>
      <c r="Z64" s="425"/>
      <c r="AA64" s="425"/>
      <c r="AB64" s="425"/>
      <c r="AC64" s="425"/>
    </row>
    <row r="65" ht="15.75" hidden="1" customHeight="1">
      <c r="A65" s="425"/>
      <c r="B65" s="450"/>
      <c r="C65" s="450"/>
      <c r="D65" s="452"/>
      <c r="E65" s="538"/>
      <c r="F65" s="501"/>
      <c r="G65" s="521"/>
      <c r="H65" s="501"/>
      <c r="I65" s="464"/>
      <c r="J65" s="452"/>
      <c r="K65" s="538"/>
      <c r="L65" s="501"/>
      <c r="M65" s="521"/>
      <c r="N65" s="501"/>
      <c r="O65" s="464"/>
      <c r="P65" s="459"/>
      <c r="Q65" s="541"/>
      <c r="R65" s="501"/>
      <c r="S65" s="521"/>
      <c r="T65" s="501"/>
      <c r="U65" s="464"/>
      <c r="V65" s="425"/>
      <c r="W65" s="425"/>
      <c r="X65" s="425"/>
      <c r="Y65" s="425"/>
      <c r="Z65" s="425"/>
      <c r="AA65" s="425"/>
      <c r="AB65" s="425"/>
      <c r="AC65" s="425"/>
    </row>
    <row r="66" ht="15.75" customHeight="1">
      <c r="A66" s="425"/>
      <c r="B66" s="450"/>
      <c r="C66" s="450"/>
      <c r="D66" s="452"/>
      <c r="E66" s="521"/>
      <c r="F66" s="501"/>
      <c r="G66" s="521"/>
      <c r="H66" s="501"/>
      <c r="I66" s="464"/>
      <c r="J66" s="452"/>
      <c r="K66" s="521"/>
      <c r="L66" s="501"/>
      <c r="M66" s="521"/>
      <c r="N66" s="501"/>
      <c r="O66" s="464"/>
      <c r="P66" s="459"/>
      <c r="Q66" s="552"/>
      <c r="R66" s="501"/>
      <c r="S66" s="521"/>
      <c r="T66" s="501"/>
      <c r="U66" s="464"/>
      <c r="V66" s="425"/>
      <c r="W66" s="425"/>
      <c r="X66" s="425"/>
      <c r="Y66" s="425"/>
      <c r="Z66" s="425"/>
      <c r="AA66" s="425"/>
      <c r="AB66" s="425"/>
      <c r="AC66" s="425"/>
    </row>
    <row r="67" ht="15.75" customHeight="1">
      <c r="A67" s="425"/>
      <c r="B67" s="450"/>
      <c r="C67" s="450"/>
      <c r="D67" s="452"/>
      <c r="E67" s="538"/>
      <c r="F67" s="501"/>
      <c r="G67" s="538"/>
      <c r="H67" s="501"/>
      <c r="I67" s="542"/>
      <c r="J67" s="452"/>
      <c r="K67" s="538"/>
      <c r="L67" s="501"/>
      <c r="M67" s="538"/>
      <c r="N67" s="501"/>
      <c r="O67" s="542"/>
      <c r="P67" s="459"/>
      <c r="Q67" s="541"/>
      <c r="R67" s="501"/>
      <c r="S67" s="538"/>
      <c r="T67" s="501"/>
      <c r="U67" s="542"/>
      <c r="V67" s="425"/>
      <c r="W67" s="425"/>
      <c r="X67" s="425"/>
      <c r="Y67" s="425"/>
      <c r="Z67" s="425"/>
      <c r="AA67" s="425"/>
      <c r="AB67" s="425"/>
      <c r="AC67" s="425"/>
    </row>
    <row r="68" ht="15.75" customHeight="1">
      <c r="A68" s="425"/>
      <c r="B68" s="450"/>
      <c r="C68" s="450"/>
      <c r="D68" s="452"/>
      <c r="E68" s="242"/>
      <c r="F68" s="634"/>
      <c r="G68" s="538"/>
      <c r="H68" s="634"/>
      <c r="I68" s="633"/>
      <c r="J68" s="452"/>
      <c r="K68" s="242"/>
      <c r="L68" s="634"/>
      <c r="M68" s="538"/>
      <c r="N68" s="634"/>
      <c r="O68" s="633"/>
      <c r="P68" s="459"/>
      <c r="Q68" s="635"/>
      <c r="R68" s="634"/>
      <c r="S68" s="538"/>
      <c r="T68" s="634"/>
      <c r="U68" s="633"/>
      <c r="V68" s="425"/>
      <c r="W68" s="425"/>
      <c r="X68" s="425"/>
      <c r="Y68" s="425"/>
      <c r="Z68" s="425"/>
      <c r="AA68" s="425"/>
      <c r="AB68" s="425"/>
      <c r="AC68" s="425"/>
    </row>
    <row r="69" ht="15.75" customHeight="1">
      <c r="A69" s="425"/>
      <c r="B69" s="765" t="s">
        <v>204</v>
      </c>
      <c r="C69" s="766"/>
      <c r="D69" s="470"/>
      <c r="E69" s="636"/>
      <c r="F69" s="637"/>
      <c r="G69" s="545"/>
      <c r="H69" s="637"/>
      <c r="I69" s="638"/>
      <c r="J69" s="470"/>
      <c r="K69" s="636"/>
      <c r="L69" s="637"/>
      <c r="M69" s="545"/>
      <c r="N69" s="637"/>
      <c r="O69" s="638"/>
      <c r="P69" s="472"/>
      <c r="Q69" s="639"/>
      <c r="R69" s="637"/>
      <c r="S69" s="545"/>
      <c r="T69" s="637"/>
      <c r="U69" s="638"/>
      <c r="V69" s="425"/>
      <c r="W69" s="425"/>
      <c r="X69" s="425"/>
      <c r="Y69" s="425"/>
      <c r="Z69" s="425"/>
      <c r="AA69" s="425"/>
      <c r="AB69" s="425"/>
      <c r="AC69" s="425"/>
    </row>
    <row r="70" ht="15.75" customHeight="1">
      <c r="A70" s="425"/>
      <c r="B70" s="474"/>
      <c r="C70" s="492" t="s">
        <v>205</v>
      </c>
      <c r="D70" s="444">
        <f>SUM(D71:D79)</f>
        <v>86882</v>
      </c>
      <c r="E70" s="529">
        <f t="shared" ref="E70:E79" si="53">D70/D$29</f>
        <v>0.005008716266</v>
      </c>
      <c r="F70" s="530">
        <f>SUM(F71:F79)</f>
        <v>0</v>
      </c>
      <c r="G70" s="529" t="str">
        <f t="shared" ref="G70:G77" si="54">F70/F$29</f>
        <v>#DIV/0!</v>
      </c>
      <c r="H70" s="530">
        <f>SUM(H71:H79)</f>
        <v>86882</v>
      </c>
      <c r="I70" s="531">
        <f>H70/H$29</f>
        <v>0.005008716266</v>
      </c>
      <c r="J70" s="444">
        <f>SUM(J71:J79)</f>
        <v>100602</v>
      </c>
      <c r="K70" s="529">
        <f t="shared" ref="K70:K79" si="55">J70/J$29</f>
        <v>0.005957512529</v>
      </c>
      <c r="L70" s="530">
        <f>SUM(L71:L79)</f>
        <v>0</v>
      </c>
      <c r="M70" s="529" t="str">
        <f t="shared" ref="M70:M77" si="56">L70/L$29</f>
        <v>#DIV/0!</v>
      </c>
      <c r="N70" s="530">
        <f>SUM(N71:N79)</f>
        <v>100602</v>
      </c>
      <c r="O70" s="531">
        <f>N70/N$29</f>
        <v>0.005957512529</v>
      </c>
      <c r="P70" s="475">
        <f>SUM(P71:P79)</f>
        <v>0</v>
      </c>
      <c r="Q70" s="532" t="str">
        <f t="shared" ref="Q70:Q79" si="57">P70/P$29</f>
        <v>#DIV/0!</v>
      </c>
      <c r="R70" s="530">
        <f>SUM(R71:R79)</f>
        <v>0</v>
      </c>
      <c r="S70" s="529" t="str">
        <f t="shared" ref="S70:S77" si="58">R70/R$29</f>
        <v>#DIV/0!</v>
      </c>
      <c r="T70" s="530">
        <f>SUM(T71:T79)</f>
        <v>0</v>
      </c>
      <c r="U70" s="531" t="str">
        <f>T70/T$29</f>
        <v>#DIV/0!</v>
      </c>
      <c r="V70" s="427"/>
      <c r="W70" s="427"/>
      <c r="X70" s="427"/>
      <c r="Y70" s="427"/>
      <c r="Z70" s="427"/>
      <c r="AA70" s="427"/>
      <c r="AB70" s="427"/>
      <c r="AC70" s="427"/>
    </row>
    <row r="71" ht="15.75" customHeight="1">
      <c r="A71" s="425"/>
      <c r="B71" s="481"/>
      <c r="C71" s="481" t="s">
        <v>268</v>
      </c>
      <c r="D71" s="448">
        <v>0.0</v>
      </c>
      <c r="E71" s="533">
        <f t="shared" si="53"/>
        <v>0</v>
      </c>
      <c r="F71" s="523"/>
      <c r="G71" s="533" t="str">
        <f t="shared" si="54"/>
        <v>#DIV/0!</v>
      </c>
      <c r="H71" s="523">
        <f t="shared" ref="H71:H77" si="59">D71-F71</f>
        <v>0</v>
      </c>
      <c r="I71" s="549" t="str">
        <f t="shared" ref="I71:I77" si="60">IFERROR(H71/F71,"")</f>
        <v/>
      </c>
      <c r="J71" s="448">
        <v>0.0</v>
      </c>
      <c r="K71" s="533">
        <f t="shared" si="55"/>
        <v>0</v>
      </c>
      <c r="L71" s="523"/>
      <c r="M71" s="533" t="str">
        <f t="shared" si="56"/>
        <v>#DIV/0!</v>
      </c>
      <c r="N71" s="523">
        <f t="shared" ref="N71:N77" si="61">J71-L71</f>
        <v>0</v>
      </c>
      <c r="O71" s="549" t="str">
        <f t="shared" ref="O71:O77" si="62">IFERROR(N71/L71,"")</f>
        <v/>
      </c>
      <c r="P71" s="482">
        <v>0.0</v>
      </c>
      <c r="Q71" s="535" t="str">
        <f t="shared" si="57"/>
        <v>#DIV/0!</v>
      </c>
      <c r="R71" s="523"/>
      <c r="S71" s="533" t="str">
        <f t="shared" si="58"/>
        <v>#DIV/0!</v>
      </c>
      <c r="T71" s="523">
        <f t="shared" ref="T71:T77" si="63">P71-R71</f>
        <v>0</v>
      </c>
      <c r="U71" s="549" t="str">
        <f t="shared" ref="U71:U77" si="64">IFERROR(T71/R71,"")</f>
        <v/>
      </c>
      <c r="V71" s="425"/>
      <c r="W71" s="425"/>
      <c r="X71" s="425"/>
      <c r="Y71" s="425"/>
      <c r="Z71" s="425"/>
      <c r="AA71" s="425"/>
      <c r="AB71" s="425"/>
      <c r="AC71" s="425"/>
    </row>
    <row r="72" ht="15.75" customHeight="1">
      <c r="A72" s="425"/>
      <c r="B72" s="450"/>
      <c r="C72" s="450" t="s">
        <v>212</v>
      </c>
      <c r="D72" s="452">
        <v>0.0</v>
      </c>
      <c r="E72" s="538">
        <f t="shared" si="53"/>
        <v>0</v>
      </c>
      <c r="F72" s="501"/>
      <c r="G72" s="538" t="str">
        <f t="shared" si="54"/>
        <v>#DIV/0!</v>
      </c>
      <c r="H72" s="501">
        <f t="shared" si="59"/>
        <v>0</v>
      </c>
      <c r="I72" s="550" t="str">
        <f t="shared" si="60"/>
        <v/>
      </c>
      <c r="J72" s="452">
        <v>0.0</v>
      </c>
      <c r="K72" s="538">
        <f t="shared" si="55"/>
        <v>0</v>
      </c>
      <c r="L72" s="501"/>
      <c r="M72" s="538" t="str">
        <f t="shared" si="56"/>
        <v>#DIV/0!</v>
      </c>
      <c r="N72" s="501">
        <f t="shared" si="61"/>
        <v>0</v>
      </c>
      <c r="O72" s="550" t="str">
        <f t="shared" si="62"/>
        <v/>
      </c>
      <c r="P72" s="459">
        <v>0.0</v>
      </c>
      <c r="Q72" s="541" t="str">
        <f t="shared" si="57"/>
        <v>#DIV/0!</v>
      </c>
      <c r="R72" s="501"/>
      <c r="S72" s="538" t="str">
        <f t="shared" si="58"/>
        <v>#DIV/0!</v>
      </c>
      <c r="T72" s="501">
        <f t="shared" si="63"/>
        <v>0</v>
      </c>
      <c r="U72" s="550" t="str">
        <f t="shared" si="64"/>
        <v/>
      </c>
      <c r="V72" s="425"/>
      <c r="W72" s="425"/>
      <c r="X72" s="425"/>
      <c r="Y72" s="425"/>
      <c r="Z72" s="425"/>
      <c r="AA72" s="425"/>
      <c r="AB72" s="425"/>
      <c r="AC72" s="425"/>
    </row>
    <row r="73" ht="15.75" customHeight="1">
      <c r="A73" s="425"/>
      <c r="B73" s="450"/>
      <c r="C73" s="450" t="s">
        <v>213</v>
      </c>
      <c r="D73" s="452">
        <v>0.0</v>
      </c>
      <c r="E73" s="538">
        <f t="shared" si="53"/>
        <v>0</v>
      </c>
      <c r="F73" s="501"/>
      <c r="G73" s="538" t="str">
        <f t="shared" si="54"/>
        <v>#DIV/0!</v>
      </c>
      <c r="H73" s="501">
        <f t="shared" si="59"/>
        <v>0</v>
      </c>
      <c r="I73" s="550" t="str">
        <f t="shared" si="60"/>
        <v/>
      </c>
      <c r="J73" s="452">
        <v>0.0</v>
      </c>
      <c r="K73" s="538">
        <f t="shared" si="55"/>
        <v>0</v>
      </c>
      <c r="L73" s="501"/>
      <c r="M73" s="538" t="str">
        <f t="shared" si="56"/>
        <v>#DIV/0!</v>
      </c>
      <c r="N73" s="501">
        <f t="shared" si="61"/>
        <v>0</v>
      </c>
      <c r="O73" s="550" t="str">
        <f t="shared" si="62"/>
        <v/>
      </c>
      <c r="P73" s="459">
        <v>0.0</v>
      </c>
      <c r="Q73" s="541" t="str">
        <f t="shared" si="57"/>
        <v>#DIV/0!</v>
      </c>
      <c r="R73" s="501"/>
      <c r="S73" s="538" t="str">
        <f t="shared" si="58"/>
        <v>#DIV/0!</v>
      </c>
      <c r="T73" s="501">
        <f t="shared" si="63"/>
        <v>0</v>
      </c>
      <c r="U73" s="550" t="str">
        <f t="shared" si="64"/>
        <v/>
      </c>
      <c r="V73" s="425"/>
      <c r="W73" s="425"/>
      <c r="X73" s="425"/>
      <c r="Y73" s="425"/>
      <c r="Z73" s="425"/>
      <c r="AA73" s="425"/>
      <c r="AB73" s="425"/>
      <c r="AC73" s="425"/>
    </row>
    <row r="74" ht="15.75" customHeight="1">
      <c r="A74" s="425"/>
      <c r="B74" s="450"/>
      <c r="C74" s="450" t="s">
        <v>314</v>
      </c>
      <c r="D74" s="452">
        <v>0.0</v>
      </c>
      <c r="E74" s="538">
        <f t="shared" si="53"/>
        <v>0</v>
      </c>
      <c r="F74" s="501"/>
      <c r="G74" s="538" t="str">
        <f t="shared" si="54"/>
        <v>#DIV/0!</v>
      </c>
      <c r="H74" s="501">
        <f t="shared" si="59"/>
        <v>0</v>
      </c>
      <c r="I74" s="550" t="str">
        <f t="shared" si="60"/>
        <v/>
      </c>
      <c r="J74" s="452">
        <v>0.0</v>
      </c>
      <c r="K74" s="538">
        <f t="shared" si="55"/>
        <v>0</v>
      </c>
      <c r="L74" s="501"/>
      <c r="M74" s="538" t="str">
        <f t="shared" si="56"/>
        <v>#DIV/0!</v>
      </c>
      <c r="N74" s="501">
        <f t="shared" si="61"/>
        <v>0</v>
      </c>
      <c r="O74" s="550" t="str">
        <f t="shared" si="62"/>
        <v/>
      </c>
      <c r="P74" s="459">
        <v>0.0</v>
      </c>
      <c r="Q74" s="541" t="str">
        <f t="shared" si="57"/>
        <v>#DIV/0!</v>
      </c>
      <c r="R74" s="501"/>
      <c r="S74" s="538" t="str">
        <f t="shared" si="58"/>
        <v>#DIV/0!</v>
      </c>
      <c r="T74" s="501">
        <f t="shared" si="63"/>
        <v>0</v>
      </c>
      <c r="U74" s="550" t="str">
        <f t="shared" si="64"/>
        <v/>
      </c>
      <c r="V74" s="425"/>
      <c r="W74" s="425"/>
      <c r="X74" s="425"/>
      <c r="Y74" s="425"/>
      <c r="Z74" s="425"/>
      <c r="AA74" s="425"/>
      <c r="AB74" s="425"/>
      <c r="AC74" s="425"/>
    </row>
    <row r="75" ht="15.75" customHeight="1">
      <c r="A75" s="425"/>
      <c r="B75" s="450"/>
      <c r="C75" s="450" t="s">
        <v>297</v>
      </c>
      <c r="D75" s="452">
        <v>0.0</v>
      </c>
      <c r="E75" s="538">
        <f t="shared" si="53"/>
        <v>0</v>
      </c>
      <c r="F75" s="501"/>
      <c r="G75" s="538" t="str">
        <f t="shared" si="54"/>
        <v>#DIV/0!</v>
      </c>
      <c r="H75" s="501">
        <f t="shared" si="59"/>
        <v>0</v>
      </c>
      <c r="I75" s="550" t="str">
        <f t="shared" si="60"/>
        <v/>
      </c>
      <c r="J75" s="452">
        <v>0.0</v>
      </c>
      <c r="K75" s="538">
        <f t="shared" si="55"/>
        <v>0</v>
      </c>
      <c r="L75" s="501"/>
      <c r="M75" s="538" t="str">
        <f t="shared" si="56"/>
        <v>#DIV/0!</v>
      </c>
      <c r="N75" s="501">
        <f t="shared" si="61"/>
        <v>0</v>
      </c>
      <c r="O75" s="550" t="str">
        <f t="shared" si="62"/>
        <v/>
      </c>
      <c r="P75" s="459">
        <v>0.0</v>
      </c>
      <c r="Q75" s="541" t="str">
        <f t="shared" si="57"/>
        <v>#DIV/0!</v>
      </c>
      <c r="R75" s="501"/>
      <c r="S75" s="538" t="str">
        <f t="shared" si="58"/>
        <v>#DIV/0!</v>
      </c>
      <c r="T75" s="501">
        <f t="shared" si="63"/>
        <v>0</v>
      </c>
      <c r="U75" s="550" t="str">
        <f t="shared" si="64"/>
        <v/>
      </c>
      <c r="V75" s="425"/>
      <c r="W75" s="425"/>
      <c r="X75" s="425"/>
      <c r="Y75" s="425"/>
      <c r="Z75" s="425"/>
      <c r="AA75" s="425"/>
      <c r="AB75" s="425"/>
      <c r="AC75" s="425"/>
    </row>
    <row r="76" ht="15.75" customHeight="1">
      <c r="A76" s="425"/>
      <c r="B76" s="450"/>
      <c r="C76" s="450" t="s">
        <v>307</v>
      </c>
      <c r="D76" s="452">
        <v>0.0</v>
      </c>
      <c r="E76" s="538">
        <f t="shared" si="53"/>
        <v>0</v>
      </c>
      <c r="F76" s="501"/>
      <c r="G76" s="538" t="str">
        <f t="shared" si="54"/>
        <v>#DIV/0!</v>
      </c>
      <c r="H76" s="501">
        <f t="shared" si="59"/>
        <v>0</v>
      </c>
      <c r="I76" s="550" t="str">
        <f t="shared" si="60"/>
        <v/>
      </c>
      <c r="J76" s="452">
        <v>0.0</v>
      </c>
      <c r="K76" s="538">
        <f t="shared" si="55"/>
        <v>0</v>
      </c>
      <c r="L76" s="501"/>
      <c r="M76" s="538" t="str">
        <f t="shared" si="56"/>
        <v>#DIV/0!</v>
      </c>
      <c r="N76" s="501">
        <f t="shared" si="61"/>
        <v>0</v>
      </c>
      <c r="O76" s="550" t="str">
        <f t="shared" si="62"/>
        <v/>
      </c>
      <c r="P76" s="459">
        <v>0.0</v>
      </c>
      <c r="Q76" s="541" t="str">
        <f t="shared" si="57"/>
        <v>#DIV/0!</v>
      </c>
      <c r="R76" s="501"/>
      <c r="S76" s="538" t="str">
        <f t="shared" si="58"/>
        <v>#DIV/0!</v>
      </c>
      <c r="T76" s="501">
        <f t="shared" si="63"/>
        <v>0</v>
      </c>
      <c r="U76" s="550" t="str">
        <f t="shared" si="64"/>
        <v/>
      </c>
      <c r="V76" s="425"/>
      <c r="W76" s="425"/>
      <c r="X76" s="425"/>
      <c r="Y76" s="425"/>
      <c r="Z76" s="425"/>
      <c r="AA76" s="425"/>
      <c r="AB76" s="425"/>
      <c r="AC76" s="425"/>
    </row>
    <row r="77" ht="15.75" customHeight="1">
      <c r="A77" s="425"/>
      <c r="B77" s="450"/>
      <c r="C77" s="450" t="s">
        <v>299</v>
      </c>
      <c r="D77" s="452">
        <v>0.0</v>
      </c>
      <c r="E77" s="538">
        <f t="shared" si="53"/>
        <v>0</v>
      </c>
      <c r="F77" s="501"/>
      <c r="G77" s="538" t="str">
        <f t="shared" si="54"/>
        <v>#DIV/0!</v>
      </c>
      <c r="H77" s="501">
        <f t="shared" si="59"/>
        <v>0</v>
      </c>
      <c r="I77" s="550" t="str">
        <f t="shared" si="60"/>
        <v/>
      </c>
      <c r="J77" s="452">
        <v>0.0</v>
      </c>
      <c r="K77" s="538">
        <f t="shared" si="55"/>
        <v>0</v>
      </c>
      <c r="L77" s="501"/>
      <c r="M77" s="538" t="str">
        <f t="shared" si="56"/>
        <v>#DIV/0!</v>
      </c>
      <c r="N77" s="501">
        <f t="shared" si="61"/>
        <v>0</v>
      </c>
      <c r="O77" s="550" t="str">
        <f t="shared" si="62"/>
        <v/>
      </c>
      <c r="P77" s="459">
        <v>0.0</v>
      </c>
      <c r="Q77" s="541" t="str">
        <f t="shared" si="57"/>
        <v>#DIV/0!</v>
      </c>
      <c r="R77" s="501"/>
      <c r="S77" s="538" t="str">
        <f t="shared" si="58"/>
        <v>#DIV/0!</v>
      </c>
      <c r="T77" s="501">
        <f t="shared" si="63"/>
        <v>0</v>
      </c>
      <c r="U77" s="550" t="str">
        <f t="shared" si="64"/>
        <v/>
      </c>
      <c r="V77" s="425"/>
      <c r="W77" s="425"/>
      <c r="X77" s="425"/>
      <c r="Y77" s="425"/>
      <c r="Z77" s="425"/>
      <c r="AA77" s="425"/>
      <c r="AB77" s="425"/>
      <c r="AC77" s="425"/>
    </row>
    <row r="78" ht="15.75" customHeight="1">
      <c r="A78" s="425"/>
      <c r="B78" s="450"/>
      <c r="C78" s="450" t="s">
        <v>270</v>
      </c>
      <c r="D78" s="452">
        <v>0.0</v>
      </c>
      <c r="E78" s="538">
        <f t="shared" si="53"/>
        <v>0</v>
      </c>
      <c r="F78" s="501"/>
      <c r="G78" s="538"/>
      <c r="H78" s="501"/>
      <c r="I78" s="550"/>
      <c r="J78" s="452">
        <v>0.0</v>
      </c>
      <c r="K78" s="538">
        <f t="shared" si="55"/>
        <v>0</v>
      </c>
      <c r="L78" s="501"/>
      <c r="M78" s="538"/>
      <c r="N78" s="501"/>
      <c r="O78" s="550"/>
      <c r="P78" s="459">
        <v>0.0</v>
      </c>
      <c r="Q78" s="541" t="str">
        <f t="shared" si="57"/>
        <v>#DIV/0!</v>
      </c>
      <c r="R78" s="501"/>
      <c r="S78" s="538"/>
      <c r="T78" s="501"/>
      <c r="U78" s="550"/>
      <c r="V78" s="425"/>
      <c r="W78" s="425"/>
      <c r="X78" s="425"/>
      <c r="Y78" s="425"/>
      <c r="Z78" s="425"/>
      <c r="AA78" s="425"/>
      <c r="AB78" s="425"/>
      <c r="AC78" s="425"/>
    </row>
    <row r="79" ht="15.75" customHeight="1">
      <c r="A79" s="425"/>
      <c r="B79" s="450"/>
      <c r="C79" s="450" t="s">
        <v>271</v>
      </c>
      <c r="D79" s="452">
        <v>86882.0</v>
      </c>
      <c r="E79" s="538">
        <f t="shared" si="53"/>
        <v>0.005008716266</v>
      </c>
      <c r="F79" s="501"/>
      <c r="G79" s="538" t="str">
        <f>F79/F$29</f>
        <v>#DIV/0!</v>
      </c>
      <c r="H79" s="501">
        <f>D79-F79</f>
        <v>86882</v>
      </c>
      <c r="I79" s="550" t="str">
        <f>IFERROR(H79/F79,"")</f>
        <v/>
      </c>
      <c r="J79" s="452">
        <v>100602.0</v>
      </c>
      <c r="K79" s="538">
        <f t="shared" si="55"/>
        <v>0.005957512529</v>
      </c>
      <c r="L79" s="501"/>
      <c r="M79" s="538" t="str">
        <f>L79/L$29</f>
        <v>#DIV/0!</v>
      </c>
      <c r="N79" s="501">
        <f>J79-L79</f>
        <v>100602</v>
      </c>
      <c r="O79" s="550" t="str">
        <f>IFERROR(N79/L79,"")</f>
        <v/>
      </c>
      <c r="P79" s="459"/>
      <c r="Q79" s="541" t="str">
        <f t="shared" si="57"/>
        <v>#DIV/0!</v>
      </c>
      <c r="R79" s="501"/>
      <c r="S79" s="538" t="str">
        <f>R79/R$29</f>
        <v>#DIV/0!</v>
      </c>
      <c r="T79" s="501">
        <f>P79-R79</f>
        <v>0</v>
      </c>
      <c r="U79" s="550" t="str">
        <f>IFERROR(T79/R79,"")</f>
        <v/>
      </c>
      <c r="V79" s="425"/>
      <c r="W79" s="425"/>
      <c r="X79" s="425"/>
      <c r="Y79" s="425"/>
      <c r="Z79" s="425"/>
      <c r="AA79" s="425"/>
      <c r="AB79" s="425"/>
      <c r="AC79" s="425"/>
    </row>
    <row r="80" ht="15.75" customHeight="1">
      <c r="A80" s="425"/>
      <c r="B80" s="468"/>
      <c r="C80" s="578"/>
      <c r="D80" s="470"/>
      <c r="E80" s="636"/>
      <c r="F80" s="637"/>
      <c r="G80" s="545"/>
      <c r="H80" s="637"/>
      <c r="I80" s="638"/>
      <c r="J80" s="470"/>
      <c r="K80" s="636"/>
      <c r="L80" s="637"/>
      <c r="M80" s="545"/>
      <c r="N80" s="637"/>
      <c r="O80" s="638"/>
      <c r="P80" s="472"/>
      <c r="Q80" s="639"/>
      <c r="R80" s="637"/>
      <c r="S80" s="545"/>
      <c r="T80" s="637"/>
      <c r="U80" s="638"/>
      <c r="V80" s="425"/>
      <c r="W80" s="425"/>
      <c r="X80" s="425"/>
      <c r="Y80" s="425"/>
      <c r="Z80" s="425"/>
      <c r="AA80" s="425"/>
      <c r="AB80" s="425"/>
      <c r="AC80" s="425"/>
    </row>
    <row r="81" ht="15.75" customHeight="1">
      <c r="A81" s="425"/>
      <c r="B81" s="474"/>
      <c r="C81" s="492" t="s">
        <v>35</v>
      </c>
      <c r="D81" s="444">
        <f>SUM(D82:D85)</f>
        <v>628442</v>
      </c>
      <c r="E81" s="529">
        <f t="shared" ref="E81:E85" si="65">D81/D$29</f>
        <v>0.03622945682</v>
      </c>
      <c r="F81" s="530">
        <f>SUM(F82:F85)</f>
        <v>0</v>
      </c>
      <c r="G81" s="529" t="str">
        <f t="shared" ref="G81:G85" si="66">F81/F$29</f>
        <v>#DIV/0!</v>
      </c>
      <c r="H81" s="530">
        <f>SUM(H82:H85)</f>
        <v>628442</v>
      </c>
      <c r="I81" s="531">
        <f>H81/H$29</f>
        <v>0.03622945682</v>
      </c>
      <c r="J81" s="444">
        <f>SUM(J82:J85)</f>
        <v>679501</v>
      </c>
      <c r="K81" s="529">
        <f t="shared" ref="K81:K85" si="67">J81/J$29</f>
        <v>0.04023911772</v>
      </c>
      <c r="L81" s="530">
        <f>SUM(L82:L85)</f>
        <v>0</v>
      </c>
      <c r="M81" s="529" t="str">
        <f t="shared" ref="M81:M85" si="68">L81/L$29</f>
        <v>#DIV/0!</v>
      </c>
      <c r="N81" s="530">
        <f>SUM(N82:N85)</f>
        <v>679501</v>
      </c>
      <c r="O81" s="531">
        <f>N81/N$29</f>
        <v>0.04023911772</v>
      </c>
      <c r="P81" s="475">
        <f>SUM(P82:P85)</f>
        <v>0</v>
      </c>
      <c r="Q81" s="532" t="str">
        <f t="shared" ref="Q81:Q85" si="69">P81/P$29</f>
        <v>#DIV/0!</v>
      </c>
      <c r="R81" s="530">
        <f>SUM(R82:R85)</f>
        <v>0</v>
      </c>
      <c r="S81" s="529" t="str">
        <f t="shared" ref="S81:S85" si="70">R81/R$29</f>
        <v>#DIV/0!</v>
      </c>
      <c r="T81" s="530">
        <f>SUM(T82:T85)</f>
        <v>0</v>
      </c>
      <c r="U81" s="531" t="str">
        <f>T81/T$29</f>
        <v>#DIV/0!</v>
      </c>
      <c r="V81" s="427"/>
      <c r="W81" s="427"/>
      <c r="X81" s="427"/>
      <c r="Y81" s="427"/>
      <c r="Z81" s="427"/>
      <c r="AA81" s="427"/>
      <c r="AB81" s="427"/>
      <c r="AC81" s="427"/>
    </row>
    <row r="82" ht="15.75" customHeight="1">
      <c r="A82" s="425"/>
      <c r="B82" s="481"/>
      <c r="C82" s="481" t="s">
        <v>215</v>
      </c>
      <c r="D82" s="448">
        <v>11175.0</v>
      </c>
      <c r="E82" s="533">
        <f t="shared" si="65"/>
        <v>0.0006442347583</v>
      </c>
      <c r="F82" s="523"/>
      <c r="G82" s="533" t="str">
        <f t="shared" si="66"/>
        <v>#DIV/0!</v>
      </c>
      <c r="H82" s="523">
        <f t="shared" ref="H82:H85" si="71">D82-F82</f>
        <v>11175</v>
      </c>
      <c r="I82" s="549" t="str">
        <f t="shared" ref="I82:I85" si="72">IFERROR(H82/F82,"")</f>
        <v/>
      </c>
      <c r="J82" s="482">
        <v>12833.0</v>
      </c>
      <c r="K82" s="535">
        <f t="shared" si="67"/>
        <v>0.0007599526677</v>
      </c>
      <c r="L82" s="523"/>
      <c r="M82" s="533" t="str">
        <f t="shared" si="68"/>
        <v>#DIV/0!</v>
      </c>
      <c r="N82" s="523">
        <f t="shared" ref="N82:N85" si="73">J82-L82</f>
        <v>12833</v>
      </c>
      <c r="O82" s="549" t="str">
        <f t="shared" ref="O82:O85" si="74">IFERROR(N82/L82,"")</f>
        <v/>
      </c>
      <c r="P82" s="482"/>
      <c r="Q82" s="535" t="str">
        <f t="shared" si="69"/>
        <v>#DIV/0!</v>
      </c>
      <c r="R82" s="523"/>
      <c r="S82" s="533" t="str">
        <f t="shared" si="70"/>
        <v>#DIV/0!</v>
      </c>
      <c r="T82" s="523">
        <f t="shared" ref="T82:T85" si="75">P82-R82</f>
        <v>0</v>
      </c>
      <c r="U82" s="549" t="str">
        <f t="shared" ref="U82:U85" si="76">IFERROR(T82/R82,"")</f>
        <v/>
      </c>
      <c r="V82" s="425"/>
      <c r="W82" s="425"/>
      <c r="X82" s="425"/>
      <c r="Y82" s="425"/>
      <c r="Z82" s="425"/>
      <c r="AA82" s="425"/>
      <c r="AB82" s="425"/>
      <c r="AC82" s="425"/>
    </row>
    <row r="83" ht="15.75" customHeight="1">
      <c r="A83" s="425"/>
      <c r="B83" s="450"/>
      <c r="C83" s="450" t="s">
        <v>216</v>
      </c>
      <c r="D83" s="452">
        <v>0.0</v>
      </c>
      <c r="E83" s="538">
        <f t="shared" si="65"/>
        <v>0</v>
      </c>
      <c r="F83" s="501"/>
      <c r="G83" s="538" t="str">
        <f t="shared" si="66"/>
        <v>#DIV/0!</v>
      </c>
      <c r="H83" s="501">
        <f t="shared" si="71"/>
        <v>0</v>
      </c>
      <c r="I83" s="550" t="str">
        <f t="shared" si="72"/>
        <v/>
      </c>
      <c r="J83" s="472">
        <v>0.0</v>
      </c>
      <c r="K83" s="541">
        <f t="shared" si="67"/>
        <v>0</v>
      </c>
      <c r="L83" s="501"/>
      <c r="M83" s="538" t="str">
        <f t="shared" si="68"/>
        <v>#DIV/0!</v>
      </c>
      <c r="N83" s="501">
        <f t="shared" si="73"/>
        <v>0</v>
      </c>
      <c r="O83" s="550" t="str">
        <f t="shared" si="74"/>
        <v/>
      </c>
      <c r="P83" s="472"/>
      <c r="Q83" s="541" t="str">
        <f t="shared" si="69"/>
        <v>#DIV/0!</v>
      </c>
      <c r="R83" s="501"/>
      <c r="S83" s="538" t="str">
        <f t="shared" si="70"/>
        <v>#DIV/0!</v>
      </c>
      <c r="T83" s="501">
        <f t="shared" si="75"/>
        <v>0</v>
      </c>
      <c r="U83" s="550" t="str">
        <f t="shared" si="76"/>
        <v/>
      </c>
      <c r="V83" s="425"/>
      <c r="W83" s="425"/>
      <c r="X83" s="425"/>
      <c r="Y83" s="425"/>
      <c r="Z83" s="425"/>
      <c r="AA83" s="425"/>
      <c r="AB83" s="425"/>
      <c r="AC83" s="425"/>
    </row>
    <row r="84" ht="15.75" customHeight="1">
      <c r="A84" s="425"/>
      <c r="B84" s="450"/>
      <c r="C84" s="450" t="s">
        <v>315</v>
      </c>
      <c r="D84" s="452">
        <v>379080.0</v>
      </c>
      <c r="E84" s="538">
        <f t="shared" si="65"/>
        <v>0.02185382659</v>
      </c>
      <c r="F84" s="501"/>
      <c r="G84" s="538" t="str">
        <f t="shared" si="66"/>
        <v>#DIV/0!</v>
      </c>
      <c r="H84" s="501">
        <f t="shared" si="71"/>
        <v>379080</v>
      </c>
      <c r="I84" s="767" t="str">
        <f t="shared" si="72"/>
        <v/>
      </c>
      <c r="J84" s="543">
        <v>407089.0</v>
      </c>
      <c r="K84" s="541">
        <f t="shared" si="67"/>
        <v>0.02410725252</v>
      </c>
      <c r="L84" s="501"/>
      <c r="M84" s="538" t="str">
        <f t="shared" si="68"/>
        <v>#DIV/0!</v>
      </c>
      <c r="N84" s="501">
        <f t="shared" si="73"/>
        <v>407089</v>
      </c>
      <c r="O84" s="550" t="str">
        <f t="shared" si="74"/>
        <v/>
      </c>
      <c r="P84" s="768"/>
      <c r="Q84" s="541" t="str">
        <f t="shared" si="69"/>
        <v>#DIV/0!</v>
      </c>
      <c r="R84" s="501"/>
      <c r="S84" s="538" t="str">
        <f t="shared" si="70"/>
        <v>#DIV/0!</v>
      </c>
      <c r="T84" s="501">
        <f t="shared" si="75"/>
        <v>0</v>
      </c>
      <c r="U84" s="550" t="str">
        <f t="shared" si="76"/>
        <v/>
      </c>
      <c r="V84" s="425"/>
      <c r="W84" s="425"/>
      <c r="X84" s="425"/>
      <c r="Y84" s="425"/>
      <c r="Z84" s="425"/>
      <c r="AA84" s="425"/>
      <c r="AB84" s="425"/>
      <c r="AC84" s="425"/>
    </row>
    <row r="85" ht="15.75" customHeight="1">
      <c r="A85" s="425"/>
      <c r="B85" s="450"/>
      <c r="C85" s="450" t="s">
        <v>308</v>
      </c>
      <c r="D85" s="452">
        <v>238187.0</v>
      </c>
      <c r="E85" s="538">
        <f t="shared" si="65"/>
        <v>0.01373139547</v>
      </c>
      <c r="F85" s="501"/>
      <c r="G85" s="538" t="str">
        <f t="shared" si="66"/>
        <v>#DIV/0!</v>
      </c>
      <c r="H85" s="501">
        <f t="shared" si="71"/>
        <v>238187</v>
      </c>
      <c r="I85" s="767" t="str">
        <f t="shared" si="72"/>
        <v/>
      </c>
      <c r="J85" s="543">
        <f>9852+249727</f>
        <v>259579</v>
      </c>
      <c r="K85" s="541">
        <f t="shared" si="67"/>
        <v>0.01537191253</v>
      </c>
      <c r="L85" s="501"/>
      <c r="M85" s="538" t="str">
        <f t="shared" si="68"/>
        <v>#DIV/0!</v>
      </c>
      <c r="N85" s="501">
        <f t="shared" si="73"/>
        <v>259579</v>
      </c>
      <c r="O85" s="550" t="str">
        <f t="shared" si="74"/>
        <v/>
      </c>
      <c r="P85" s="768"/>
      <c r="Q85" s="541" t="str">
        <f t="shared" si="69"/>
        <v>#DIV/0!</v>
      </c>
      <c r="R85" s="501"/>
      <c r="S85" s="538" t="str">
        <f t="shared" si="70"/>
        <v>#DIV/0!</v>
      </c>
      <c r="T85" s="501">
        <f t="shared" si="75"/>
        <v>0</v>
      </c>
      <c r="U85" s="550" t="str">
        <f t="shared" si="76"/>
        <v/>
      </c>
      <c r="V85" s="425"/>
      <c r="W85" s="425"/>
      <c r="X85" s="425"/>
      <c r="Y85" s="425"/>
      <c r="Z85" s="425"/>
      <c r="AA85" s="425"/>
      <c r="AB85" s="425"/>
      <c r="AC85" s="425"/>
    </row>
    <row r="86" ht="15.75" customHeight="1">
      <c r="A86" s="425"/>
      <c r="B86" s="450"/>
      <c r="C86" s="450"/>
      <c r="D86" s="452"/>
      <c r="E86" s="242"/>
      <c r="F86" s="634"/>
      <c r="G86" s="538"/>
      <c r="H86" s="634"/>
      <c r="I86" s="633"/>
      <c r="J86" s="482"/>
      <c r="K86" s="635"/>
      <c r="L86" s="634"/>
      <c r="M86" s="538"/>
      <c r="N86" s="634"/>
      <c r="O86" s="633"/>
      <c r="P86" s="482"/>
      <c r="Q86" s="635"/>
      <c r="R86" s="634"/>
      <c r="S86" s="538"/>
      <c r="T86" s="634"/>
      <c r="U86" s="633"/>
      <c r="V86" s="425"/>
      <c r="W86" s="425"/>
      <c r="X86" s="425"/>
      <c r="Y86" s="425"/>
      <c r="Z86" s="425"/>
      <c r="AA86" s="425"/>
      <c r="AB86" s="425"/>
      <c r="AC86" s="425"/>
    </row>
    <row r="87" ht="15.75" customHeight="1">
      <c r="A87" s="425"/>
      <c r="B87" s="468"/>
      <c r="C87" s="468"/>
      <c r="D87" s="470"/>
      <c r="E87" s="636"/>
      <c r="F87" s="637"/>
      <c r="G87" s="545"/>
      <c r="H87" s="637"/>
      <c r="I87" s="638"/>
      <c r="J87" s="472"/>
      <c r="K87" s="639"/>
      <c r="L87" s="637"/>
      <c r="M87" s="545"/>
      <c r="N87" s="637"/>
      <c r="O87" s="638"/>
      <c r="P87" s="472"/>
      <c r="Q87" s="639"/>
      <c r="R87" s="637"/>
      <c r="S87" s="545"/>
      <c r="T87" s="637"/>
      <c r="U87" s="638"/>
      <c r="V87" s="425"/>
      <c r="W87" s="425"/>
      <c r="X87" s="425"/>
      <c r="Y87" s="425"/>
      <c r="Z87" s="425"/>
      <c r="AA87" s="425"/>
      <c r="AB87" s="425"/>
      <c r="AC87" s="425"/>
    </row>
    <row r="88" ht="15.75" customHeight="1">
      <c r="A88" s="425"/>
      <c r="B88" s="474"/>
      <c r="C88" s="492" t="s">
        <v>36</v>
      </c>
      <c r="D88" s="444">
        <f>SUM(D89:D94)</f>
        <v>1542823</v>
      </c>
      <c r="E88" s="529">
        <f t="shared" ref="E88:E94" si="77">D88/D$29</f>
        <v>0.08894319485</v>
      </c>
      <c r="F88" s="530">
        <f>SUM(F89:F94)</f>
        <v>0</v>
      </c>
      <c r="G88" s="529" t="str">
        <f t="shared" ref="G88:G89" si="78">F88/F$29</f>
        <v>#DIV/0!</v>
      </c>
      <c r="H88" s="530">
        <f>SUM(H89:H94)</f>
        <v>1415826</v>
      </c>
      <c r="I88" s="531">
        <f t="shared" ref="I88:I92" si="79">H88/H$29</f>
        <v>0.08162186317</v>
      </c>
      <c r="J88" s="475">
        <f>SUM(J89:J94)</f>
        <v>808420</v>
      </c>
      <c r="K88" s="532">
        <f t="shared" ref="K88:K94" si="80">J88/J$29</f>
        <v>0.04787352417</v>
      </c>
      <c r="L88" s="530">
        <f>SUM(L89:L94)</f>
        <v>0</v>
      </c>
      <c r="M88" s="529" t="str">
        <f t="shared" ref="M88:M89" si="81">L88/L$29</f>
        <v>#DIV/0!</v>
      </c>
      <c r="N88" s="530">
        <f>SUM(N89:N94)</f>
        <v>678324</v>
      </c>
      <c r="O88" s="531">
        <f t="shared" ref="O88:O92" si="82">N88/N$29</f>
        <v>0.04016941739</v>
      </c>
      <c r="P88" s="475">
        <f>SUM(P89:P94)</f>
        <v>0</v>
      </c>
      <c r="Q88" s="532" t="str">
        <f t="shared" ref="Q88:Q94" si="83">P88/P$29</f>
        <v>#DIV/0!</v>
      </c>
      <c r="R88" s="530">
        <f>SUM(R89:R94)</f>
        <v>0</v>
      </c>
      <c r="S88" s="529" t="str">
        <f t="shared" ref="S88:S89" si="84">R88/R$29</f>
        <v>#DIV/0!</v>
      </c>
      <c r="T88" s="530">
        <f>SUM(T89:T94)</f>
        <v>0</v>
      </c>
      <c r="U88" s="531" t="str">
        <f t="shared" ref="U88:U92" si="85">T88/T$29</f>
        <v>#DIV/0!</v>
      </c>
      <c r="V88" s="427"/>
      <c r="W88" s="427"/>
      <c r="X88" s="427"/>
      <c r="Y88" s="427"/>
      <c r="Z88" s="427"/>
      <c r="AA88" s="427"/>
      <c r="AB88" s="427"/>
      <c r="AC88" s="427"/>
    </row>
    <row r="89" ht="15.75" customHeight="1">
      <c r="A89" s="425"/>
      <c r="B89" s="481"/>
      <c r="C89" s="481" t="s">
        <v>220</v>
      </c>
      <c r="D89" s="448">
        <v>991200.0</v>
      </c>
      <c r="E89" s="533">
        <f t="shared" si="77"/>
        <v>0.05714232594</v>
      </c>
      <c r="F89" s="523"/>
      <c r="G89" s="533" t="str">
        <f t="shared" si="78"/>
        <v>#DIV/0!</v>
      </c>
      <c r="H89" s="523">
        <f>D89-F89</f>
        <v>991200</v>
      </c>
      <c r="I89" s="536">
        <f t="shared" si="79"/>
        <v>0.05714232594</v>
      </c>
      <c r="J89" s="448">
        <v>588328.0</v>
      </c>
      <c r="K89" s="533">
        <f t="shared" si="80"/>
        <v>0.03483997764</v>
      </c>
      <c r="L89" s="523"/>
      <c r="M89" s="533" t="str">
        <f t="shared" si="81"/>
        <v>#DIV/0!</v>
      </c>
      <c r="N89" s="523">
        <f>J89-L89</f>
        <v>588328</v>
      </c>
      <c r="O89" s="536">
        <f t="shared" si="82"/>
        <v>0.03483997764</v>
      </c>
      <c r="P89" s="482"/>
      <c r="Q89" s="535" t="str">
        <f t="shared" si="83"/>
        <v>#DIV/0!</v>
      </c>
      <c r="R89" s="523"/>
      <c r="S89" s="533" t="str">
        <f t="shared" si="84"/>
        <v>#DIV/0!</v>
      </c>
      <c r="T89" s="523">
        <f>P89-R89</f>
        <v>0</v>
      </c>
      <c r="U89" s="536" t="str">
        <f t="shared" si="85"/>
        <v>#DIV/0!</v>
      </c>
      <c r="V89" s="425"/>
      <c r="W89" s="425"/>
      <c r="X89" s="425"/>
      <c r="Y89" s="425"/>
      <c r="Z89" s="425"/>
      <c r="AA89" s="425"/>
      <c r="AB89" s="425"/>
      <c r="AC89" s="425"/>
    </row>
    <row r="90" ht="15.75" customHeight="1">
      <c r="A90" s="425"/>
      <c r="B90" s="450"/>
      <c r="C90" s="450" t="s">
        <v>316</v>
      </c>
      <c r="D90" s="452">
        <v>126997.0</v>
      </c>
      <c r="E90" s="538">
        <f t="shared" si="77"/>
        <v>0.007321331687</v>
      </c>
      <c r="F90" s="501"/>
      <c r="G90" s="538"/>
      <c r="H90" s="501"/>
      <c r="I90" s="542">
        <f t="shared" si="79"/>
        <v>0</v>
      </c>
      <c r="J90" s="452">
        <v>130096.0</v>
      </c>
      <c r="K90" s="538">
        <f t="shared" si="80"/>
        <v>0.007704106776</v>
      </c>
      <c r="L90" s="501"/>
      <c r="M90" s="538"/>
      <c r="N90" s="501"/>
      <c r="O90" s="542">
        <f t="shared" si="82"/>
        <v>0</v>
      </c>
      <c r="P90" s="459"/>
      <c r="Q90" s="541" t="str">
        <f t="shared" si="83"/>
        <v>#DIV/0!</v>
      </c>
      <c r="R90" s="501"/>
      <c r="S90" s="538"/>
      <c r="T90" s="501"/>
      <c r="U90" s="542" t="str">
        <f t="shared" si="85"/>
        <v>#DIV/0!</v>
      </c>
      <c r="V90" s="425"/>
      <c r="W90" s="425"/>
      <c r="X90" s="425"/>
      <c r="Y90" s="425"/>
      <c r="Z90" s="425"/>
      <c r="AA90" s="425"/>
      <c r="AB90" s="425"/>
      <c r="AC90" s="425"/>
    </row>
    <row r="91" ht="15.75" customHeight="1">
      <c r="A91" s="425"/>
      <c r="B91" s="450"/>
      <c r="C91" s="450" t="s">
        <v>317</v>
      </c>
      <c r="D91" s="452">
        <v>0.0</v>
      </c>
      <c r="E91" s="538">
        <f t="shared" si="77"/>
        <v>0</v>
      </c>
      <c r="F91" s="501"/>
      <c r="G91" s="538"/>
      <c r="H91" s="501"/>
      <c r="I91" s="542">
        <f t="shared" si="79"/>
        <v>0</v>
      </c>
      <c r="J91" s="452">
        <v>0.0</v>
      </c>
      <c r="K91" s="538">
        <f t="shared" si="80"/>
        <v>0</v>
      </c>
      <c r="L91" s="501"/>
      <c r="M91" s="538"/>
      <c r="N91" s="501"/>
      <c r="O91" s="542">
        <f t="shared" si="82"/>
        <v>0</v>
      </c>
      <c r="P91" s="459"/>
      <c r="Q91" s="541" t="str">
        <f t="shared" si="83"/>
        <v>#DIV/0!</v>
      </c>
      <c r="R91" s="501"/>
      <c r="S91" s="538"/>
      <c r="T91" s="501"/>
      <c r="U91" s="542" t="str">
        <f t="shared" si="85"/>
        <v>#DIV/0!</v>
      </c>
      <c r="V91" s="425"/>
      <c r="W91" s="425"/>
      <c r="X91" s="425"/>
      <c r="Y91" s="425"/>
      <c r="Z91" s="425"/>
      <c r="AA91" s="425"/>
      <c r="AB91" s="425"/>
      <c r="AC91" s="425"/>
    </row>
    <row r="92" ht="15.75" customHeight="1">
      <c r="A92" s="427"/>
      <c r="B92" s="450"/>
      <c r="C92" s="450" t="s">
        <v>221</v>
      </c>
      <c r="D92" s="452">
        <v>335100.0</v>
      </c>
      <c r="E92" s="538">
        <f t="shared" si="77"/>
        <v>0.0193183953</v>
      </c>
      <c r="F92" s="501"/>
      <c r="G92" s="538" t="str">
        <f t="shared" ref="G92:G94" si="86">F92/F$29</f>
        <v>#DIV/0!</v>
      </c>
      <c r="H92" s="501">
        <f t="shared" ref="H92:H94" si="87">D92-F92</f>
        <v>335100</v>
      </c>
      <c r="I92" s="542">
        <f t="shared" si="79"/>
        <v>0.0193183953</v>
      </c>
      <c r="J92" s="452">
        <v>19470.0</v>
      </c>
      <c r="K92" s="538">
        <f t="shared" si="80"/>
        <v>0.001152986709</v>
      </c>
      <c r="L92" s="501"/>
      <c r="M92" s="538" t="str">
        <f t="shared" ref="M92:M94" si="88">L92/L$29</f>
        <v>#DIV/0!</v>
      </c>
      <c r="N92" s="501">
        <f t="shared" ref="N92:N94" si="89">J92-L92</f>
        <v>19470</v>
      </c>
      <c r="O92" s="542">
        <f t="shared" si="82"/>
        <v>0.001152986709</v>
      </c>
      <c r="P92" s="459"/>
      <c r="Q92" s="541" t="str">
        <f t="shared" si="83"/>
        <v>#DIV/0!</v>
      </c>
      <c r="R92" s="501"/>
      <c r="S92" s="538" t="str">
        <f t="shared" ref="S92:S94" si="90">R92/R$29</f>
        <v>#DIV/0!</v>
      </c>
      <c r="T92" s="501">
        <f t="shared" ref="T92:T94" si="91">P92-R92</f>
        <v>0</v>
      </c>
      <c r="U92" s="542" t="str">
        <f t="shared" si="85"/>
        <v>#DIV/0!</v>
      </c>
      <c r="V92" s="425"/>
      <c r="W92" s="425"/>
      <c r="X92" s="425"/>
      <c r="Y92" s="425"/>
      <c r="Z92" s="425"/>
      <c r="AA92" s="425"/>
      <c r="AB92" s="425"/>
      <c r="AC92" s="425"/>
    </row>
    <row r="93" ht="15.75" customHeight="1">
      <c r="A93" s="425"/>
      <c r="B93" s="450"/>
      <c r="C93" s="450" t="s">
        <v>222</v>
      </c>
      <c r="D93" s="452">
        <v>87400.0</v>
      </c>
      <c r="E93" s="538">
        <f t="shared" si="77"/>
        <v>0.005038578781</v>
      </c>
      <c r="F93" s="501"/>
      <c r="G93" s="538" t="str">
        <f t="shared" si="86"/>
        <v>#DIV/0!</v>
      </c>
      <c r="H93" s="501">
        <f t="shared" si="87"/>
        <v>87400</v>
      </c>
      <c r="I93" s="542" t="str">
        <f t="shared" ref="I93:I94" si="92">IFERROR(H93/F93,"")</f>
        <v/>
      </c>
      <c r="J93" s="452">
        <v>68400.0</v>
      </c>
      <c r="K93" s="538">
        <f t="shared" si="80"/>
        <v>0.004050554233</v>
      </c>
      <c r="L93" s="501"/>
      <c r="M93" s="538" t="str">
        <f t="shared" si="88"/>
        <v>#DIV/0!</v>
      </c>
      <c r="N93" s="501">
        <f t="shared" si="89"/>
        <v>68400</v>
      </c>
      <c r="O93" s="542" t="str">
        <f t="shared" ref="O93:O94" si="93">IFERROR(N93/L93,"")</f>
        <v/>
      </c>
      <c r="P93" s="459"/>
      <c r="Q93" s="541" t="str">
        <f t="shared" si="83"/>
        <v>#DIV/0!</v>
      </c>
      <c r="R93" s="501"/>
      <c r="S93" s="538" t="str">
        <f t="shared" si="90"/>
        <v>#DIV/0!</v>
      </c>
      <c r="T93" s="501">
        <f t="shared" si="91"/>
        <v>0</v>
      </c>
      <c r="U93" s="542" t="str">
        <f t="shared" ref="U93:U94" si="94">IFERROR(T93/R93,"")</f>
        <v/>
      </c>
      <c r="V93" s="425"/>
      <c r="W93" s="425"/>
      <c r="X93" s="425"/>
      <c r="Y93" s="425"/>
      <c r="Z93" s="425"/>
      <c r="AA93" s="425"/>
      <c r="AB93" s="425"/>
      <c r="AC93" s="425"/>
    </row>
    <row r="94" ht="15.75" customHeight="1">
      <c r="A94" s="425"/>
      <c r="B94" s="450"/>
      <c r="C94" s="450" t="s">
        <v>223</v>
      </c>
      <c r="D94" s="452">
        <v>2126.0</v>
      </c>
      <c r="E94" s="538">
        <f t="shared" si="77"/>
        <v>0.0001225631406</v>
      </c>
      <c r="F94" s="501"/>
      <c r="G94" s="538" t="str">
        <f t="shared" si="86"/>
        <v>#DIV/0!</v>
      </c>
      <c r="H94" s="501">
        <f t="shared" si="87"/>
        <v>2126</v>
      </c>
      <c r="I94" s="542" t="str">
        <f t="shared" si="92"/>
        <v/>
      </c>
      <c r="J94" s="452">
        <v>2126.0</v>
      </c>
      <c r="K94" s="538">
        <f t="shared" si="80"/>
        <v>0.0001258988055</v>
      </c>
      <c r="L94" s="501"/>
      <c r="M94" s="538" t="str">
        <f t="shared" si="88"/>
        <v>#DIV/0!</v>
      </c>
      <c r="N94" s="501">
        <f t="shared" si="89"/>
        <v>2126</v>
      </c>
      <c r="O94" s="542" t="str">
        <f t="shared" si="93"/>
        <v/>
      </c>
      <c r="P94" s="459"/>
      <c r="Q94" s="541" t="str">
        <f t="shared" si="83"/>
        <v>#DIV/0!</v>
      </c>
      <c r="R94" s="501"/>
      <c r="S94" s="538" t="str">
        <f t="shared" si="90"/>
        <v>#DIV/0!</v>
      </c>
      <c r="T94" s="501">
        <f t="shared" si="91"/>
        <v>0</v>
      </c>
      <c r="U94" s="542" t="str">
        <f t="shared" si="94"/>
        <v/>
      </c>
      <c r="V94" s="425"/>
      <c r="W94" s="425"/>
      <c r="X94" s="425"/>
      <c r="Y94" s="425"/>
      <c r="Z94" s="425"/>
      <c r="AA94" s="425"/>
      <c r="AB94" s="425"/>
      <c r="AC94" s="425"/>
    </row>
    <row r="95" ht="15.75" customHeight="1">
      <c r="A95" s="425"/>
      <c r="B95" s="468"/>
      <c r="C95" s="578"/>
      <c r="D95" s="470"/>
      <c r="E95" s="545"/>
      <c r="F95" s="527"/>
      <c r="G95" s="545"/>
      <c r="H95" s="637"/>
      <c r="I95" s="638"/>
      <c r="J95" s="470"/>
      <c r="K95" s="545"/>
      <c r="L95" s="527"/>
      <c r="M95" s="545"/>
      <c r="N95" s="637"/>
      <c r="O95" s="638"/>
      <c r="P95" s="472"/>
      <c r="Q95" s="554"/>
      <c r="R95" s="527"/>
      <c r="S95" s="545"/>
      <c r="T95" s="637"/>
      <c r="U95" s="638"/>
      <c r="V95" s="425"/>
      <c r="W95" s="425"/>
      <c r="X95" s="425"/>
      <c r="Y95" s="425"/>
      <c r="Z95" s="425"/>
      <c r="AA95" s="425"/>
      <c r="AB95" s="425"/>
      <c r="AC95" s="425"/>
    </row>
    <row r="96" ht="15.75" customHeight="1">
      <c r="A96" s="425"/>
      <c r="B96" s="474"/>
      <c r="C96" s="492" t="s">
        <v>37</v>
      </c>
      <c r="D96" s="444">
        <f>SUM(D97:D105)</f>
        <v>3711761.087</v>
      </c>
      <c r="E96" s="529">
        <f t="shared" ref="E96:E102" si="95">D96/D$29</f>
        <v>0.2139817008</v>
      </c>
      <c r="F96" s="530">
        <f>SUM(F97:F105)</f>
        <v>0</v>
      </c>
      <c r="G96" s="529" t="str">
        <f>F96/F$29</f>
        <v>#DIV/0!</v>
      </c>
      <c r="H96" s="758">
        <f>SUM(H97:H104)</f>
        <v>3686745.087</v>
      </c>
      <c r="I96" s="650"/>
      <c r="J96" s="444">
        <f>SUM(J97:J105)</f>
        <v>3833654.917</v>
      </c>
      <c r="K96" s="529">
        <f t="shared" ref="K96:K102" si="96">J96/J$29</f>
        <v>0.2270237888</v>
      </c>
      <c r="L96" s="530">
        <f>SUM(L97:L105)</f>
        <v>0</v>
      </c>
      <c r="M96" s="529" t="str">
        <f>L96/L$29</f>
        <v>#DIV/0!</v>
      </c>
      <c r="N96" s="758">
        <f>SUM(N97:N104)</f>
        <v>3833654.917</v>
      </c>
      <c r="O96" s="650"/>
      <c r="P96" s="475">
        <f>SUM(P97:P105)</f>
        <v>0</v>
      </c>
      <c r="Q96" s="532" t="str">
        <f t="shared" ref="Q96:Q102" si="97">P96/P$29</f>
        <v>#DIV/0!</v>
      </c>
      <c r="R96" s="530">
        <f>SUM(R97:R105)</f>
        <v>0</v>
      </c>
      <c r="S96" s="529" t="str">
        <f>R96/R$29</f>
        <v>#DIV/0!</v>
      </c>
      <c r="T96" s="758">
        <f>SUM(T97:T104)</f>
        <v>0</v>
      </c>
      <c r="U96" s="650"/>
      <c r="V96" s="427"/>
      <c r="W96" s="427"/>
      <c r="X96" s="427"/>
      <c r="Y96" s="427"/>
      <c r="Z96" s="427"/>
      <c r="AA96" s="427"/>
      <c r="AB96" s="427"/>
      <c r="AC96" s="427"/>
    </row>
    <row r="97" ht="15.75" customHeight="1">
      <c r="A97" s="425"/>
      <c r="B97" s="481"/>
      <c r="C97" s="481" t="s">
        <v>224</v>
      </c>
      <c r="D97" s="448">
        <v>0.0</v>
      </c>
      <c r="E97" s="533">
        <f t="shared" si="95"/>
        <v>0</v>
      </c>
      <c r="F97" s="523"/>
      <c r="G97" s="533"/>
      <c r="H97" s="523">
        <f t="shared" ref="H97:H102" si="98">D97-F97</f>
        <v>0</v>
      </c>
      <c r="I97" s="549" t="str">
        <f t="shared" ref="I97:I102" si="99">IFERROR(H97/F97,"")</f>
        <v/>
      </c>
      <c r="J97" s="448">
        <v>0.0</v>
      </c>
      <c r="K97" s="533">
        <f t="shared" si="96"/>
        <v>0</v>
      </c>
      <c r="L97" s="523"/>
      <c r="M97" s="533"/>
      <c r="N97" s="523">
        <f t="shared" ref="N97:N102" si="100">J97-L97</f>
        <v>0</v>
      </c>
      <c r="O97" s="549" t="str">
        <f t="shared" ref="O97:O102" si="101">IFERROR(N97/L97,"")</f>
        <v/>
      </c>
      <c r="P97" s="482"/>
      <c r="Q97" s="535" t="str">
        <f t="shared" si="97"/>
        <v>#DIV/0!</v>
      </c>
      <c r="R97" s="523"/>
      <c r="S97" s="533"/>
      <c r="T97" s="523">
        <f t="shared" ref="T97:T102" si="102">P97-R97</f>
        <v>0</v>
      </c>
      <c r="U97" s="549" t="str">
        <f t="shared" ref="U97:U102" si="103">IFERROR(T97/R97,"")</f>
        <v/>
      </c>
      <c r="V97" s="425"/>
      <c r="W97" s="425"/>
      <c r="X97" s="425"/>
      <c r="Y97" s="425"/>
      <c r="Z97" s="425"/>
      <c r="AA97" s="425"/>
      <c r="AB97" s="425"/>
      <c r="AC97" s="425"/>
    </row>
    <row r="98" ht="15.75" customHeight="1">
      <c r="A98" s="425"/>
      <c r="B98" s="450"/>
      <c r="C98" s="450" t="s">
        <v>225</v>
      </c>
      <c r="D98" s="452">
        <v>3556953.1666666665</v>
      </c>
      <c r="E98" s="538">
        <f t="shared" si="95"/>
        <v>0.2050570795</v>
      </c>
      <c r="F98" s="501"/>
      <c r="G98" s="538" t="str">
        <f>F98/F$29</f>
        <v>#DIV/0!</v>
      </c>
      <c r="H98" s="501">
        <f t="shared" si="98"/>
        <v>3556953.167</v>
      </c>
      <c r="I98" s="550" t="str">
        <f t="shared" si="99"/>
        <v/>
      </c>
      <c r="J98" s="452">
        <v>3669904.4166666665</v>
      </c>
      <c r="K98" s="538">
        <f t="shared" si="96"/>
        <v>0.2173267086</v>
      </c>
      <c r="L98" s="501"/>
      <c r="M98" s="538" t="str">
        <f>L98/L$29</f>
        <v>#DIV/0!</v>
      </c>
      <c r="N98" s="501">
        <f t="shared" si="100"/>
        <v>3669904.417</v>
      </c>
      <c r="O98" s="550" t="str">
        <f t="shared" si="101"/>
        <v/>
      </c>
      <c r="P98" s="459"/>
      <c r="Q98" s="541" t="str">
        <f t="shared" si="97"/>
        <v>#DIV/0!</v>
      </c>
      <c r="R98" s="501"/>
      <c r="S98" s="538" t="str">
        <f>R98/R$29</f>
        <v>#DIV/0!</v>
      </c>
      <c r="T98" s="501">
        <f t="shared" si="102"/>
        <v>0</v>
      </c>
      <c r="U98" s="550" t="str">
        <f t="shared" si="103"/>
        <v/>
      </c>
      <c r="V98" s="425"/>
      <c r="W98" s="425"/>
      <c r="X98" s="425"/>
      <c r="Y98" s="425"/>
      <c r="Z98" s="425"/>
      <c r="AA98" s="425"/>
      <c r="AB98" s="425"/>
      <c r="AC98" s="425"/>
    </row>
    <row r="99" ht="15.75" customHeight="1">
      <c r="A99" s="425"/>
      <c r="B99" s="450"/>
      <c r="C99" s="450" t="s">
        <v>226</v>
      </c>
      <c r="D99" s="452">
        <v>2417.0</v>
      </c>
      <c r="E99" s="538">
        <f t="shared" si="95"/>
        <v>0.0001393391866</v>
      </c>
      <c r="F99" s="501"/>
      <c r="G99" s="538"/>
      <c r="H99" s="501">
        <f t="shared" si="98"/>
        <v>2417</v>
      </c>
      <c r="I99" s="550" t="str">
        <f t="shared" si="99"/>
        <v/>
      </c>
      <c r="J99" s="452">
        <v>2097.0</v>
      </c>
      <c r="K99" s="538">
        <f t="shared" si="96"/>
        <v>0.0001241814653</v>
      </c>
      <c r="L99" s="501"/>
      <c r="M99" s="538"/>
      <c r="N99" s="501">
        <f t="shared" si="100"/>
        <v>2097</v>
      </c>
      <c r="O99" s="550" t="str">
        <f t="shared" si="101"/>
        <v/>
      </c>
      <c r="P99" s="459"/>
      <c r="Q99" s="541" t="str">
        <f t="shared" si="97"/>
        <v>#DIV/0!</v>
      </c>
      <c r="R99" s="501"/>
      <c r="S99" s="538"/>
      <c r="T99" s="501">
        <f t="shared" si="102"/>
        <v>0</v>
      </c>
      <c r="U99" s="550" t="str">
        <f t="shared" si="103"/>
        <v/>
      </c>
      <c r="V99" s="425"/>
      <c r="W99" s="425"/>
      <c r="X99" s="425"/>
      <c r="Y99" s="425"/>
      <c r="Z99" s="425"/>
      <c r="AA99" s="425"/>
      <c r="AB99" s="425"/>
      <c r="AC99" s="425"/>
    </row>
    <row r="100" ht="15.75" customHeight="1">
      <c r="A100" s="425"/>
      <c r="B100" s="450"/>
      <c r="C100" s="450" t="s">
        <v>228</v>
      </c>
      <c r="D100" s="452">
        <v>115122.91999999998</v>
      </c>
      <c r="E100" s="538">
        <f t="shared" si="95"/>
        <v>0.006636795216</v>
      </c>
      <c r="F100" s="501"/>
      <c r="G100" s="538"/>
      <c r="H100" s="501">
        <f t="shared" si="98"/>
        <v>115122.92</v>
      </c>
      <c r="I100" s="550" t="str">
        <f t="shared" si="99"/>
        <v/>
      </c>
      <c r="J100" s="452">
        <v>116845.5</v>
      </c>
      <c r="K100" s="538">
        <f t="shared" si="96"/>
        <v>0.006919430331</v>
      </c>
      <c r="L100" s="501"/>
      <c r="M100" s="538"/>
      <c r="N100" s="501">
        <f t="shared" si="100"/>
        <v>116845.5</v>
      </c>
      <c r="O100" s="550" t="str">
        <f t="shared" si="101"/>
        <v/>
      </c>
      <c r="P100" s="459"/>
      <c r="Q100" s="541" t="str">
        <f t="shared" si="97"/>
        <v>#DIV/0!</v>
      </c>
      <c r="R100" s="501"/>
      <c r="S100" s="538"/>
      <c r="T100" s="501">
        <f t="shared" si="102"/>
        <v>0</v>
      </c>
      <c r="U100" s="550" t="str">
        <f t="shared" si="103"/>
        <v/>
      </c>
      <c r="V100" s="425"/>
      <c r="W100" s="425"/>
      <c r="X100" s="425"/>
      <c r="Y100" s="425"/>
      <c r="Z100" s="425"/>
      <c r="AA100" s="425"/>
      <c r="AB100" s="425"/>
      <c r="AC100" s="425"/>
    </row>
    <row r="101" ht="15.75" customHeight="1">
      <c r="A101" s="425"/>
      <c r="B101" s="450"/>
      <c r="C101" s="450" t="s">
        <v>229</v>
      </c>
      <c r="D101" s="452">
        <v>0.0</v>
      </c>
      <c r="E101" s="538">
        <f t="shared" si="95"/>
        <v>0</v>
      </c>
      <c r="F101" s="501"/>
      <c r="G101" s="538"/>
      <c r="H101" s="501">
        <f t="shared" si="98"/>
        <v>0</v>
      </c>
      <c r="I101" s="550" t="str">
        <f t="shared" si="99"/>
        <v/>
      </c>
      <c r="J101" s="452">
        <v>35280.0</v>
      </c>
      <c r="K101" s="538">
        <f t="shared" si="96"/>
        <v>0.002089233236</v>
      </c>
      <c r="L101" s="501"/>
      <c r="M101" s="538"/>
      <c r="N101" s="501">
        <f t="shared" si="100"/>
        <v>35280</v>
      </c>
      <c r="O101" s="550" t="str">
        <f t="shared" si="101"/>
        <v/>
      </c>
      <c r="P101" s="459"/>
      <c r="Q101" s="541" t="str">
        <f t="shared" si="97"/>
        <v>#DIV/0!</v>
      </c>
      <c r="R101" s="501"/>
      <c r="S101" s="538"/>
      <c r="T101" s="501">
        <f t="shared" si="102"/>
        <v>0</v>
      </c>
      <c r="U101" s="550" t="str">
        <f t="shared" si="103"/>
        <v/>
      </c>
      <c r="V101" s="425"/>
      <c r="W101" s="425"/>
      <c r="X101" s="425"/>
      <c r="Y101" s="425"/>
      <c r="Z101" s="425"/>
      <c r="AA101" s="425"/>
      <c r="AB101" s="425"/>
      <c r="AC101" s="425"/>
    </row>
    <row r="102" ht="15.75" customHeight="1">
      <c r="A102" s="425"/>
      <c r="B102" s="450"/>
      <c r="C102" s="450" t="s">
        <v>230</v>
      </c>
      <c r="D102" s="452">
        <v>12252.0</v>
      </c>
      <c r="E102" s="538">
        <f t="shared" si="95"/>
        <v>0.0007063234236</v>
      </c>
      <c r="F102" s="501"/>
      <c r="G102" s="538" t="str">
        <f>F102/F$29</f>
        <v>#DIV/0!</v>
      </c>
      <c r="H102" s="501">
        <f t="shared" si="98"/>
        <v>12252</v>
      </c>
      <c r="I102" s="550" t="str">
        <f t="shared" si="99"/>
        <v/>
      </c>
      <c r="J102" s="452">
        <v>9528.0</v>
      </c>
      <c r="K102" s="538">
        <f t="shared" si="96"/>
        <v>0.0005642350984</v>
      </c>
      <c r="L102" s="501"/>
      <c r="M102" s="538" t="str">
        <f>L102/L$29</f>
        <v>#DIV/0!</v>
      </c>
      <c r="N102" s="501">
        <f t="shared" si="100"/>
        <v>9528</v>
      </c>
      <c r="O102" s="550" t="str">
        <f t="shared" si="101"/>
        <v/>
      </c>
      <c r="P102" s="459"/>
      <c r="Q102" s="541" t="str">
        <f t="shared" si="97"/>
        <v>#DIV/0!</v>
      </c>
      <c r="R102" s="501"/>
      <c r="S102" s="538" t="str">
        <f>R102/R$29</f>
        <v>#DIV/0!</v>
      </c>
      <c r="T102" s="501">
        <f t="shared" si="102"/>
        <v>0</v>
      </c>
      <c r="U102" s="550" t="str">
        <f t="shared" si="103"/>
        <v/>
      </c>
      <c r="V102" s="425"/>
      <c r="W102" s="425"/>
      <c r="X102" s="425"/>
      <c r="Y102" s="425"/>
      <c r="Z102" s="425"/>
      <c r="AA102" s="425"/>
      <c r="AB102" s="425"/>
      <c r="AC102" s="425"/>
    </row>
    <row r="103" ht="15.75" customHeight="1">
      <c r="A103" s="425"/>
      <c r="B103" s="450"/>
      <c r="C103" s="450" t="s">
        <v>318</v>
      </c>
      <c r="D103" s="452">
        <v>25016.0</v>
      </c>
      <c r="E103" s="538"/>
      <c r="F103" s="501"/>
      <c r="G103" s="538"/>
      <c r="H103" s="501"/>
      <c r="I103" s="550"/>
      <c r="J103" s="452"/>
      <c r="K103" s="538"/>
      <c r="L103" s="501"/>
      <c r="M103" s="538"/>
      <c r="N103" s="501"/>
      <c r="O103" s="550"/>
      <c r="P103" s="459"/>
      <c r="Q103" s="541"/>
      <c r="R103" s="501"/>
      <c r="S103" s="538"/>
      <c r="T103" s="501"/>
      <c r="U103" s="550"/>
      <c r="V103" s="425"/>
      <c r="W103" s="425"/>
      <c r="X103" s="425"/>
      <c r="Y103" s="425"/>
      <c r="Z103" s="425"/>
      <c r="AA103" s="425"/>
      <c r="AB103" s="425"/>
      <c r="AC103" s="425"/>
    </row>
    <row r="104" ht="15.75" customHeight="1">
      <c r="A104" s="425"/>
      <c r="B104" s="450"/>
      <c r="C104" s="450" t="s">
        <v>231</v>
      </c>
      <c r="D104" s="452">
        <v>0.0</v>
      </c>
      <c r="E104" s="538">
        <f t="shared" ref="E104:E105" si="104">D104/D$29</f>
        <v>0</v>
      </c>
      <c r="F104" s="501"/>
      <c r="G104" s="538"/>
      <c r="H104" s="634">
        <f t="shared" ref="H104:H105" si="105">D104-F104</f>
        <v>0</v>
      </c>
      <c r="I104" s="633" t="str">
        <f t="shared" ref="I104:I105" si="106">IFERROR(H104/F104,"")</f>
        <v/>
      </c>
      <c r="J104" s="452">
        <v>0.0</v>
      </c>
      <c r="K104" s="538">
        <f t="shared" ref="K104:K105" si="107">J104/J$29</f>
        <v>0</v>
      </c>
      <c r="L104" s="501"/>
      <c r="M104" s="538"/>
      <c r="N104" s="634">
        <f t="shared" ref="N104:N105" si="108">J104-L104</f>
        <v>0</v>
      </c>
      <c r="O104" s="633" t="str">
        <f t="shared" ref="O104:O105" si="109">IFERROR(N104/L104,"")</f>
        <v/>
      </c>
      <c r="P104" s="459"/>
      <c r="Q104" s="541" t="str">
        <f t="shared" ref="Q104:Q105" si="110">P104/P$29</f>
        <v>#DIV/0!</v>
      </c>
      <c r="R104" s="501"/>
      <c r="S104" s="538"/>
      <c r="T104" s="634">
        <f t="shared" ref="T104:T105" si="111">P104-R104</f>
        <v>0</v>
      </c>
      <c r="U104" s="633" t="str">
        <f t="shared" ref="U104:U105" si="112">IFERROR(T104/R104,"")</f>
        <v/>
      </c>
      <c r="V104" s="425"/>
      <c r="W104" s="425"/>
      <c r="X104" s="425"/>
      <c r="Y104" s="425"/>
      <c r="Z104" s="425"/>
      <c r="AA104" s="425"/>
      <c r="AB104" s="425"/>
      <c r="AC104" s="425"/>
    </row>
    <row r="105" ht="15.75" customHeight="1">
      <c r="A105" s="425"/>
      <c r="B105" s="450"/>
      <c r="C105" s="450" t="s">
        <v>232</v>
      </c>
      <c r="D105" s="452">
        <v>0.0</v>
      </c>
      <c r="E105" s="538">
        <f t="shared" si="104"/>
        <v>0</v>
      </c>
      <c r="F105" s="501"/>
      <c r="G105" s="538" t="str">
        <f>F105/F$29</f>
        <v>#DIV/0!</v>
      </c>
      <c r="H105" s="634">
        <f t="shared" si="105"/>
        <v>0</v>
      </c>
      <c r="I105" s="633" t="str">
        <f t="shared" si="106"/>
        <v/>
      </c>
      <c r="J105" s="452">
        <v>0.0</v>
      </c>
      <c r="K105" s="538">
        <f t="shared" si="107"/>
        <v>0</v>
      </c>
      <c r="L105" s="501"/>
      <c r="M105" s="538" t="str">
        <f>L105/L$29</f>
        <v>#DIV/0!</v>
      </c>
      <c r="N105" s="634">
        <f t="shared" si="108"/>
        <v>0</v>
      </c>
      <c r="O105" s="633" t="str">
        <f t="shared" si="109"/>
        <v/>
      </c>
      <c r="P105" s="459"/>
      <c r="Q105" s="541" t="str">
        <f t="shared" si="110"/>
        <v>#DIV/0!</v>
      </c>
      <c r="R105" s="501"/>
      <c r="S105" s="538" t="str">
        <f>R105/R$29</f>
        <v>#DIV/0!</v>
      </c>
      <c r="T105" s="634">
        <f t="shared" si="111"/>
        <v>0</v>
      </c>
      <c r="U105" s="633" t="str">
        <f t="shared" si="112"/>
        <v/>
      </c>
      <c r="V105" s="425"/>
      <c r="W105" s="425"/>
      <c r="X105" s="425"/>
      <c r="Y105" s="425"/>
      <c r="Z105" s="425"/>
      <c r="AA105" s="425"/>
      <c r="AB105" s="425"/>
      <c r="AC105" s="425"/>
    </row>
    <row r="106" ht="15.75" customHeight="1">
      <c r="A106" s="425"/>
      <c r="B106" s="468"/>
      <c r="C106" s="578"/>
      <c r="D106" s="470"/>
      <c r="E106" s="636"/>
      <c r="F106" s="637"/>
      <c r="G106" s="545"/>
      <c r="H106" s="637"/>
      <c r="I106" s="638"/>
      <c r="J106" s="470"/>
      <c r="K106" s="636"/>
      <c r="L106" s="637"/>
      <c r="M106" s="545"/>
      <c r="N106" s="637"/>
      <c r="O106" s="638"/>
      <c r="P106" s="472"/>
      <c r="Q106" s="639"/>
      <c r="R106" s="637"/>
      <c r="S106" s="545"/>
      <c r="T106" s="637"/>
      <c r="U106" s="638"/>
      <c r="V106" s="425"/>
      <c r="W106" s="425"/>
      <c r="X106" s="425"/>
      <c r="Y106" s="425"/>
      <c r="Z106" s="425"/>
      <c r="AA106" s="425"/>
      <c r="AB106" s="425"/>
      <c r="AC106" s="425"/>
    </row>
    <row r="107" ht="15.75" customHeight="1">
      <c r="A107" s="425"/>
      <c r="B107" s="474"/>
      <c r="C107" s="492" t="s">
        <v>38</v>
      </c>
      <c r="D107" s="444">
        <f>SUM(D108)</f>
        <v>27152</v>
      </c>
      <c r="E107" s="529">
        <f t="shared" ref="E107:E108" si="113">D107/D$29</f>
        <v>0.001565303101</v>
      </c>
      <c r="F107" s="530">
        <f>SUM(F108)</f>
        <v>0</v>
      </c>
      <c r="G107" s="529" t="str">
        <f>F107/F$29</f>
        <v>#DIV/0!</v>
      </c>
      <c r="H107" s="758">
        <f>SUM(H108)</f>
        <v>27152</v>
      </c>
      <c r="I107" s="650"/>
      <c r="J107" s="444">
        <f>SUM(J108)</f>
        <v>20525.73</v>
      </c>
      <c r="K107" s="529">
        <f t="shared" ref="K107:K108" si="114">J107/J$29</f>
        <v>0.001215505593</v>
      </c>
      <c r="L107" s="530">
        <f>SUM(L108)</f>
        <v>0</v>
      </c>
      <c r="M107" s="529" t="str">
        <f>L107/L$29</f>
        <v>#DIV/0!</v>
      </c>
      <c r="N107" s="758">
        <f>SUM(N108)</f>
        <v>20525.73</v>
      </c>
      <c r="O107" s="650"/>
      <c r="P107" s="475">
        <f>SUM(P108)</f>
        <v>0</v>
      </c>
      <c r="Q107" s="532" t="str">
        <f t="shared" ref="Q107:Q108" si="115">P107/P$29</f>
        <v>#DIV/0!</v>
      </c>
      <c r="R107" s="530">
        <f>SUM(R108)</f>
        <v>0</v>
      </c>
      <c r="S107" s="529" t="str">
        <f>R107/R$29</f>
        <v>#DIV/0!</v>
      </c>
      <c r="T107" s="758">
        <f>SUM(T108)</f>
        <v>0</v>
      </c>
      <c r="U107" s="650"/>
      <c r="V107" s="427"/>
      <c r="W107" s="427"/>
      <c r="X107" s="427"/>
      <c r="Y107" s="427"/>
      <c r="Z107" s="427"/>
      <c r="AA107" s="427"/>
      <c r="AB107" s="427"/>
      <c r="AC107" s="427"/>
    </row>
    <row r="108" ht="15.75" customHeight="1">
      <c r="A108" s="425"/>
      <c r="B108" s="481"/>
      <c r="C108" s="481" t="s">
        <v>276</v>
      </c>
      <c r="D108" s="448">
        <v>27152.0</v>
      </c>
      <c r="E108" s="533">
        <f t="shared" si="113"/>
        <v>0.001565303101</v>
      </c>
      <c r="F108" s="523"/>
      <c r="G108" s="533">
        <v>0.015</v>
      </c>
      <c r="H108" s="523">
        <f>D108-F108</f>
        <v>27152</v>
      </c>
      <c r="I108" s="549" t="str">
        <f>IFERROR(H108/F108,"")</f>
        <v/>
      </c>
      <c r="J108" s="448">
        <v>20525.73</v>
      </c>
      <c r="K108" s="533">
        <f t="shared" si="114"/>
        <v>0.001215505593</v>
      </c>
      <c r="L108" s="523"/>
      <c r="M108" s="533">
        <v>0.015</v>
      </c>
      <c r="N108" s="523">
        <f>J108-L108</f>
        <v>20525.73</v>
      </c>
      <c r="O108" s="549" t="str">
        <f>IFERROR(N108/L108,"")</f>
        <v/>
      </c>
      <c r="P108" s="482"/>
      <c r="Q108" s="535" t="str">
        <f t="shared" si="115"/>
        <v>#DIV/0!</v>
      </c>
      <c r="R108" s="523"/>
      <c r="S108" s="533">
        <v>0.015</v>
      </c>
      <c r="T108" s="523">
        <f>P108-R108</f>
        <v>0</v>
      </c>
      <c r="U108" s="549" t="str">
        <f>IFERROR(T108/R108,"")</f>
        <v/>
      </c>
      <c r="V108" s="425"/>
      <c r="W108" s="425"/>
      <c r="X108" s="425"/>
      <c r="Y108" s="425"/>
      <c r="Z108" s="425"/>
      <c r="AA108" s="425"/>
      <c r="AB108" s="425"/>
      <c r="AC108" s="425"/>
    </row>
    <row r="109" ht="15.75" customHeight="1">
      <c r="A109" s="425"/>
      <c r="B109" s="468"/>
      <c r="C109" s="468"/>
      <c r="D109" s="470"/>
      <c r="E109" s="636"/>
      <c r="F109" s="637"/>
      <c r="G109" s="545"/>
      <c r="H109" s="637"/>
      <c r="I109" s="638"/>
      <c r="J109" s="470"/>
      <c r="K109" s="636"/>
      <c r="L109" s="637"/>
      <c r="M109" s="545"/>
      <c r="N109" s="637"/>
      <c r="O109" s="638"/>
      <c r="P109" s="472"/>
      <c r="Q109" s="639"/>
      <c r="R109" s="637"/>
      <c r="S109" s="545"/>
      <c r="T109" s="637"/>
      <c r="U109" s="638"/>
      <c r="V109" s="425"/>
      <c r="W109" s="425"/>
      <c r="X109" s="425"/>
      <c r="Y109" s="425"/>
      <c r="Z109" s="425"/>
      <c r="AA109" s="425"/>
      <c r="AB109" s="425"/>
      <c r="AC109" s="425"/>
    </row>
    <row r="110" ht="15.75" customHeight="1">
      <c r="A110" s="425"/>
      <c r="B110" s="477"/>
      <c r="C110" s="492" t="s">
        <v>238</v>
      </c>
      <c r="D110" s="444">
        <f>SUM(D111:D112)</f>
        <v>77845.33333</v>
      </c>
      <c r="E110" s="529">
        <f t="shared" ref="E110:E111" si="116">D110/D$29</f>
        <v>0.00448775566</v>
      </c>
      <c r="F110" s="530">
        <f>SUM(F111:F112)</f>
        <v>77845.33333</v>
      </c>
      <c r="G110" s="529" t="str">
        <f t="shared" ref="G110:G111" si="117">F110/F$29</f>
        <v>#DIV/0!</v>
      </c>
      <c r="H110" s="758">
        <f>SUM(H111:H112)</f>
        <v>77845.33333</v>
      </c>
      <c r="I110" s="650"/>
      <c r="J110" s="444">
        <f>SUM(J111:J112)</f>
        <v>77845.33333</v>
      </c>
      <c r="K110" s="529">
        <f t="shared" ref="K110:K112" si="118">J110/J$29</f>
        <v>0.004609893925</v>
      </c>
      <c r="L110" s="530">
        <f>SUM(L111:L112)</f>
        <v>0</v>
      </c>
      <c r="M110" s="529" t="str">
        <f t="shared" ref="M110:M112" si="119">L110/L$29</f>
        <v>#DIV/0!</v>
      </c>
      <c r="N110" s="758">
        <f>SUM(N111:N112)</f>
        <v>77845.33333</v>
      </c>
      <c r="O110" s="650"/>
      <c r="P110" s="475">
        <f>SUM(P111:P112)</f>
        <v>0</v>
      </c>
      <c r="Q110" s="532" t="str">
        <f t="shared" ref="Q110:Q112" si="120">P110/P$29</f>
        <v>#DIV/0!</v>
      </c>
      <c r="R110" s="530">
        <f>SUM(R111:R112)</f>
        <v>0</v>
      </c>
      <c r="S110" s="529" t="str">
        <f t="shared" ref="S110:S112" si="121">R110/R$29</f>
        <v>#DIV/0!</v>
      </c>
      <c r="T110" s="758">
        <f>SUM(T111:T112)</f>
        <v>0</v>
      </c>
      <c r="U110" s="650"/>
      <c r="V110" s="427"/>
      <c r="W110" s="427"/>
      <c r="X110" s="427"/>
      <c r="Y110" s="427"/>
      <c r="Z110" s="427"/>
      <c r="AA110" s="427"/>
      <c r="AB110" s="427"/>
      <c r="AC110" s="427"/>
    </row>
    <row r="111" ht="15.75" customHeight="1">
      <c r="A111" s="425"/>
      <c r="B111" s="481"/>
      <c r="C111" s="481" t="s">
        <v>239</v>
      </c>
      <c r="D111" s="448">
        <v>0.0</v>
      </c>
      <c r="E111" s="533">
        <f t="shared" si="116"/>
        <v>0</v>
      </c>
      <c r="F111" s="523"/>
      <c r="G111" s="533" t="str">
        <f t="shared" si="117"/>
        <v>#DIV/0!</v>
      </c>
      <c r="H111" s="523">
        <f>D111-F111</f>
        <v>0</v>
      </c>
      <c r="I111" s="549" t="str">
        <f>IFERROR(H111/F111,"")</f>
        <v/>
      </c>
      <c r="J111" s="448">
        <v>0.0</v>
      </c>
      <c r="K111" s="533">
        <f t="shared" si="118"/>
        <v>0</v>
      </c>
      <c r="L111" s="523"/>
      <c r="M111" s="533" t="str">
        <f t="shared" si="119"/>
        <v>#DIV/0!</v>
      </c>
      <c r="N111" s="523">
        <f t="shared" ref="N111:N112" si="122">J111-L111</f>
        <v>0</v>
      </c>
      <c r="O111" s="549" t="str">
        <f t="shared" ref="O111:O112" si="123">IFERROR(N111/L111,"")</f>
        <v/>
      </c>
      <c r="P111" s="482"/>
      <c r="Q111" s="535" t="str">
        <f t="shared" si="120"/>
        <v>#DIV/0!</v>
      </c>
      <c r="R111" s="523"/>
      <c r="S111" s="533" t="str">
        <f t="shared" si="121"/>
        <v>#DIV/0!</v>
      </c>
      <c r="T111" s="523">
        <f t="shared" ref="T111:T112" si="124">P111-R111</f>
        <v>0</v>
      </c>
      <c r="U111" s="549" t="str">
        <f t="shared" ref="U111:U112" si="125">IFERROR(T111/R111,"")</f>
        <v/>
      </c>
      <c r="V111" s="425"/>
      <c r="W111" s="425"/>
      <c r="X111" s="425"/>
      <c r="Y111" s="425"/>
      <c r="Z111" s="425"/>
      <c r="AA111" s="425"/>
      <c r="AB111" s="425"/>
      <c r="AC111" s="425"/>
    </row>
    <row r="112" ht="15.75" customHeight="1">
      <c r="A112" s="425"/>
      <c r="B112" s="450"/>
      <c r="C112" s="450" t="s">
        <v>301</v>
      </c>
      <c r="D112" s="452">
        <v>77845.33333333334</v>
      </c>
      <c r="E112" s="452">
        <v>77845.33333333334</v>
      </c>
      <c r="F112" s="452">
        <v>77845.33333333334</v>
      </c>
      <c r="G112" s="452">
        <v>77845.33333333334</v>
      </c>
      <c r="H112" s="452">
        <v>77845.33333333334</v>
      </c>
      <c r="I112" s="452">
        <v>77845.33333333334</v>
      </c>
      <c r="J112" s="452">
        <v>77845.33333333334</v>
      </c>
      <c r="K112" s="538">
        <f t="shared" si="118"/>
        <v>0.004609893925</v>
      </c>
      <c r="L112" s="501"/>
      <c r="M112" s="538" t="str">
        <f t="shared" si="119"/>
        <v>#DIV/0!</v>
      </c>
      <c r="N112" s="501">
        <f t="shared" si="122"/>
        <v>77845.33333</v>
      </c>
      <c r="O112" s="550" t="str">
        <f t="shared" si="123"/>
        <v/>
      </c>
      <c r="P112" s="459"/>
      <c r="Q112" s="541" t="str">
        <f t="shared" si="120"/>
        <v>#DIV/0!</v>
      </c>
      <c r="R112" s="501"/>
      <c r="S112" s="538" t="str">
        <f t="shared" si="121"/>
        <v>#DIV/0!</v>
      </c>
      <c r="T112" s="501">
        <f t="shared" si="124"/>
        <v>0</v>
      </c>
      <c r="U112" s="550" t="str">
        <f t="shared" si="125"/>
        <v/>
      </c>
      <c r="V112" s="425"/>
      <c r="W112" s="425"/>
      <c r="X112" s="425"/>
      <c r="Y112" s="425"/>
      <c r="Z112" s="425"/>
      <c r="AA112" s="425"/>
      <c r="AB112" s="425"/>
      <c r="AC112" s="425"/>
    </row>
    <row r="113" ht="15.75" customHeight="1">
      <c r="A113" s="425"/>
      <c r="B113" s="468"/>
      <c r="C113" s="468"/>
      <c r="D113" s="470"/>
      <c r="E113" s="636"/>
      <c r="F113" s="637"/>
      <c r="G113" s="545"/>
      <c r="H113" s="637"/>
      <c r="I113" s="638"/>
      <c r="J113" s="470"/>
      <c r="K113" s="636"/>
      <c r="L113" s="637"/>
      <c r="M113" s="545"/>
      <c r="N113" s="637"/>
      <c r="O113" s="638"/>
      <c r="P113" s="472"/>
      <c r="Q113" s="639"/>
      <c r="R113" s="637"/>
      <c r="S113" s="545"/>
      <c r="T113" s="637"/>
      <c r="U113" s="638"/>
      <c r="V113" s="425"/>
      <c r="W113" s="425"/>
      <c r="X113" s="425"/>
      <c r="Y113" s="425"/>
      <c r="Z113" s="425"/>
      <c r="AA113" s="425"/>
      <c r="AB113" s="425"/>
      <c r="AC113" s="425"/>
    </row>
    <row r="114" ht="15.75" customHeight="1">
      <c r="A114" s="425"/>
      <c r="B114" s="474"/>
      <c r="C114" s="492" t="s">
        <v>40</v>
      </c>
      <c r="D114" s="444">
        <f>SUM(D115:D128)</f>
        <v>633437.0933</v>
      </c>
      <c r="E114" s="529">
        <f t="shared" ref="E114:E116" si="126">D114/D$29</f>
        <v>0.03651742217</v>
      </c>
      <c r="F114" s="444">
        <f>SUM(F115:F128)</f>
        <v>133043</v>
      </c>
      <c r="G114" s="529" t="str">
        <f>F114/F$29</f>
        <v>#DIV/0!</v>
      </c>
      <c r="H114" s="758">
        <f>SUM(H115:H126)</f>
        <v>428957.76</v>
      </c>
      <c r="I114" s="650"/>
      <c r="J114" s="444">
        <f>SUM(J115:J128)</f>
        <v>288798</v>
      </c>
      <c r="K114" s="529">
        <f t="shared" ref="K114:K128" si="127">J114/J$29</f>
        <v>0.01710222166</v>
      </c>
      <c r="L114" s="444">
        <f>SUM(L115:L128)</f>
        <v>0</v>
      </c>
      <c r="M114" s="529" t="str">
        <f>L114/L$29</f>
        <v>#DIV/0!</v>
      </c>
      <c r="N114" s="758">
        <f>SUM(N115:N126)</f>
        <v>253398</v>
      </c>
      <c r="O114" s="650"/>
      <c r="P114" s="475">
        <f>SUM(P115:P128)</f>
        <v>0</v>
      </c>
      <c r="Q114" s="532" t="str">
        <f t="shared" ref="Q114:Q128" si="128">P114/P$29</f>
        <v>#DIV/0!</v>
      </c>
      <c r="R114" s="444">
        <f>SUM(R115:R128)</f>
        <v>0</v>
      </c>
      <c r="S114" s="529" t="str">
        <f>R114/R$29</f>
        <v>#DIV/0!</v>
      </c>
      <c r="T114" s="758">
        <f>SUM(T115:T126)</f>
        <v>0</v>
      </c>
      <c r="U114" s="650"/>
      <c r="V114" s="427"/>
      <c r="W114" s="427"/>
      <c r="X114" s="427"/>
      <c r="Y114" s="427"/>
      <c r="Z114" s="427"/>
      <c r="AA114" s="427"/>
      <c r="AB114" s="427"/>
      <c r="AC114" s="427"/>
    </row>
    <row r="115" ht="15.75" customHeight="1">
      <c r="A115" s="425"/>
      <c r="B115" s="481"/>
      <c r="C115" s="481" t="s">
        <v>241</v>
      </c>
      <c r="D115" s="448">
        <v>0.0</v>
      </c>
      <c r="E115" s="533">
        <f t="shared" si="126"/>
        <v>0</v>
      </c>
      <c r="F115" s="523"/>
      <c r="G115" s="533"/>
      <c r="H115" s="642"/>
      <c r="I115" s="631"/>
      <c r="J115" s="448">
        <v>0.0</v>
      </c>
      <c r="K115" s="533">
        <f t="shared" si="127"/>
        <v>0</v>
      </c>
      <c r="L115" s="523"/>
      <c r="M115" s="533"/>
      <c r="N115" s="642"/>
      <c r="O115" s="631"/>
      <c r="P115" s="482"/>
      <c r="Q115" s="535" t="str">
        <f t="shared" si="128"/>
        <v>#DIV/0!</v>
      </c>
      <c r="R115" s="523"/>
      <c r="S115" s="533"/>
      <c r="T115" s="642"/>
      <c r="U115" s="631"/>
      <c r="V115" s="425"/>
      <c r="W115" s="425"/>
      <c r="X115" s="425"/>
      <c r="Y115" s="425"/>
      <c r="Z115" s="425"/>
      <c r="AA115" s="425"/>
      <c r="AB115" s="425"/>
      <c r="AC115" s="425"/>
    </row>
    <row r="116" ht="15.75" customHeight="1">
      <c r="A116" s="425"/>
      <c r="B116" s="450"/>
      <c r="C116" s="450" t="s">
        <v>242</v>
      </c>
      <c r="D116" s="452">
        <v>0.0</v>
      </c>
      <c r="E116" s="538">
        <f t="shared" si="126"/>
        <v>0</v>
      </c>
      <c r="F116" s="501"/>
      <c r="G116" s="538" t="str">
        <f>F116/F$29</f>
        <v>#DIV/0!</v>
      </c>
      <c r="H116" s="501">
        <f>D116-F116</f>
        <v>0</v>
      </c>
      <c r="I116" s="550" t="str">
        <f>IFERROR(H116/F116,"")</f>
        <v/>
      </c>
      <c r="J116" s="452">
        <v>0.0</v>
      </c>
      <c r="K116" s="538">
        <f t="shared" si="127"/>
        <v>0</v>
      </c>
      <c r="L116" s="501"/>
      <c r="M116" s="538" t="str">
        <f t="shared" ref="M116:M120" si="129">L116/L$29</f>
        <v>#DIV/0!</v>
      </c>
      <c r="N116" s="501">
        <f t="shared" ref="N116:N128" si="130">J116-L116</f>
        <v>0</v>
      </c>
      <c r="O116" s="550" t="str">
        <f t="shared" ref="O116:O128" si="131">IFERROR(N116/L116,"")</f>
        <v/>
      </c>
      <c r="P116" s="459"/>
      <c r="Q116" s="541" t="str">
        <f t="shared" si="128"/>
        <v>#DIV/0!</v>
      </c>
      <c r="R116" s="501"/>
      <c r="S116" s="538" t="str">
        <f t="shared" ref="S116:S120" si="132">R116/R$29</f>
        <v>#DIV/0!</v>
      </c>
      <c r="T116" s="501">
        <f t="shared" ref="T116:T128" si="133">P116-R116</f>
        <v>0</v>
      </c>
      <c r="U116" s="550" t="str">
        <f t="shared" ref="U116:U128" si="134">IFERROR(T116/R116,"")</f>
        <v/>
      </c>
      <c r="V116" s="425"/>
      <c r="W116" s="425"/>
      <c r="X116" s="425"/>
      <c r="Y116" s="425"/>
      <c r="Z116" s="425"/>
      <c r="AA116" s="425"/>
      <c r="AB116" s="425"/>
      <c r="AC116" s="425"/>
    </row>
    <row r="117" ht="15.75" customHeight="1">
      <c r="A117" s="425"/>
      <c r="B117" s="450"/>
      <c r="C117" s="450" t="s">
        <v>243</v>
      </c>
      <c r="D117" s="452">
        <v>95043.0</v>
      </c>
      <c r="E117" s="452">
        <v>95043.0</v>
      </c>
      <c r="F117" s="452">
        <v>95043.0</v>
      </c>
      <c r="G117" s="452">
        <v>95043.0</v>
      </c>
      <c r="H117" s="452">
        <v>95043.0</v>
      </c>
      <c r="I117" s="452">
        <v>95043.0</v>
      </c>
      <c r="J117" s="452">
        <v>95043.0</v>
      </c>
      <c r="K117" s="538">
        <f t="shared" si="127"/>
        <v>0.005628316169</v>
      </c>
      <c r="L117" s="501"/>
      <c r="M117" s="538" t="str">
        <f t="shared" si="129"/>
        <v>#DIV/0!</v>
      </c>
      <c r="N117" s="501">
        <f t="shared" si="130"/>
        <v>95043</v>
      </c>
      <c r="O117" s="550" t="str">
        <f t="shared" si="131"/>
        <v/>
      </c>
      <c r="P117" s="459"/>
      <c r="Q117" s="541" t="str">
        <f t="shared" si="128"/>
        <v>#DIV/0!</v>
      </c>
      <c r="R117" s="501"/>
      <c r="S117" s="538" t="str">
        <f t="shared" si="132"/>
        <v>#DIV/0!</v>
      </c>
      <c r="T117" s="501">
        <f t="shared" si="133"/>
        <v>0</v>
      </c>
      <c r="U117" s="550" t="str">
        <f t="shared" si="134"/>
        <v/>
      </c>
      <c r="V117" s="425"/>
      <c r="W117" s="425"/>
      <c r="X117" s="425"/>
      <c r="Y117" s="425"/>
      <c r="Z117" s="425"/>
      <c r="AA117" s="425"/>
      <c r="AB117" s="425"/>
      <c r="AC117" s="425"/>
    </row>
    <row r="118" ht="15.75" customHeight="1">
      <c r="A118" s="425"/>
      <c r="B118" s="450"/>
      <c r="C118" s="450" t="s">
        <v>319</v>
      </c>
      <c r="D118" s="452">
        <v>30000.0</v>
      </c>
      <c r="E118" s="452">
        <v>30000.0</v>
      </c>
      <c r="F118" s="452">
        <v>30000.0</v>
      </c>
      <c r="G118" s="452">
        <v>30000.0</v>
      </c>
      <c r="H118" s="452">
        <v>30000.0</v>
      </c>
      <c r="I118" s="452">
        <v>30000.0</v>
      </c>
      <c r="J118" s="452">
        <v>30000.0</v>
      </c>
      <c r="K118" s="538">
        <f t="shared" si="127"/>
        <v>0.001776558874</v>
      </c>
      <c r="L118" s="501"/>
      <c r="M118" s="538" t="str">
        <f t="shared" si="129"/>
        <v>#DIV/0!</v>
      </c>
      <c r="N118" s="501">
        <f t="shared" si="130"/>
        <v>30000</v>
      </c>
      <c r="O118" s="550" t="str">
        <f t="shared" si="131"/>
        <v/>
      </c>
      <c r="P118" s="459"/>
      <c r="Q118" s="541" t="str">
        <f t="shared" si="128"/>
        <v>#DIV/0!</v>
      </c>
      <c r="R118" s="501"/>
      <c r="S118" s="538" t="str">
        <f t="shared" si="132"/>
        <v>#DIV/0!</v>
      </c>
      <c r="T118" s="501">
        <f t="shared" si="133"/>
        <v>0</v>
      </c>
      <c r="U118" s="550" t="str">
        <f t="shared" si="134"/>
        <v/>
      </c>
      <c r="V118" s="425"/>
      <c r="W118" s="425"/>
      <c r="X118" s="425"/>
      <c r="Y118" s="425"/>
      <c r="Z118" s="425"/>
      <c r="AA118" s="425"/>
      <c r="AB118" s="425"/>
      <c r="AC118" s="425"/>
    </row>
    <row r="119" ht="15.75" customHeight="1">
      <c r="A119" s="425"/>
      <c r="B119" s="450"/>
      <c r="C119" s="450" t="s">
        <v>290</v>
      </c>
      <c r="D119" s="452">
        <v>0.0</v>
      </c>
      <c r="E119" s="538">
        <f t="shared" ref="E119:E124" si="135">D119/D$29</f>
        <v>0</v>
      </c>
      <c r="F119" s="501"/>
      <c r="G119" s="538" t="str">
        <f t="shared" ref="G119:G120" si="136">F119/F$29</f>
        <v>#DIV/0!</v>
      </c>
      <c r="H119" s="501">
        <f t="shared" ref="H119:H120" si="137">D119-F119</f>
        <v>0</v>
      </c>
      <c r="I119" s="550" t="str">
        <f t="shared" ref="I119:I120" si="138">IFERROR(H119/F119,"")</f>
        <v/>
      </c>
      <c r="J119" s="452">
        <v>0.0</v>
      </c>
      <c r="K119" s="538">
        <f t="shared" si="127"/>
        <v>0</v>
      </c>
      <c r="L119" s="501"/>
      <c r="M119" s="538" t="str">
        <f t="shared" si="129"/>
        <v>#DIV/0!</v>
      </c>
      <c r="N119" s="501">
        <f t="shared" si="130"/>
        <v>0</v>
      </c>
      <c r="O119" s="550" t="str">
        <f t="shared" si="131"/>
        <v/>
      </c>
      <c r="P119" s="459"/>
      <c r="Q119" s="541" t="str">
        <f t="shared" si="128"/>
        <v>#DIV/0!</v>
      </c>
      <c r="R119" s="501"/>
      <c r="S119" s="538" t="str">
        <f t="shared" si="132"/>
        <v>#DIV/0!</v>
      </c>
      <c r="T119" s="501">
        <f t="shared" si="133"/>
        <v>0</v>
      </c>
      <c r="U119" s="550" t="str">
        <f t="shared" si="134"/>
        <v/>
      </c>
      <c r="V119" s="425"/>
      <c r="W119" s="425"/>
      <c r="X119" s="425"/>
      <c r="Y119" s="425"/>
      <c r="Z119" s="425"/>
      <c r="AA119" s="425"/>
      <c r="AB119" s="425"/>
      <c r="AC119" s="425"/>
    </row>
    <row r="120" ht="15.75" customHeight="1">
      <c r="A120" s="425"/>
      <c r="B120" s="450"/>
      <c r="C120" s="450" t="s">
        <v>247</v>
      </c>
      <c r="D120" s="452">
        <v>66195.0</v>
      </c>
      <c r="E120" s="538">
        <f t="shared" si="135"/>
        <v>0.003816118105</v>
      </c>
      <c r="F120" s="501"/>
      <c r="G120" s="538" t="str">
        <f t="shared" si="136"/>
        <v>#DIV/0!</v>
      </c>
      <c r="H120" s="501">
        <f t="shared" si="137"/>
        <v>66195</v>
      </c>
      <c r="I120" s="550" t="str">
        <f t="shared" si="138"/>
        <v/>
      </c>
      <c r="J120" s="452">
        <v>30019.0</v>
      </c>
      <c r="K120" s="538">
        <f t="shared" si="127"/>
        <v>0.001777684028</v>
      </c>
      <c r="L120" s="501"/>
      <c r="M120" s="538" t="str">
        <f t="shared" si="129"/>
        <v>#DIV/0!</v>
      </c>
      <c r="N120" s="501">
        <f t="shared" si="130"/>
        <v>30019</v>
      </c>
      <c r="O120" s="550" t="str">
        <f t="shared" si="131"/>
        <v/>
      </c>
      <c r="P120" s="459"/>
      <c r="Q120" s="541" t="str">
        <f t="shared" si="128"/>
        <v>#DIV/0!</v>
      </c>
      <c r="R120" s="501"/>
      <c r="S120" s="538" t="str">
        <f t="shared" si="132"/>
        <v>#DIV/0!</v>
      </c>
      <c r="T120" s="501">
        <f t="shared" si="133"/>
        <v>0</v>
      </c>
      <c r="U120" s="550" t="str">
        <f t="shared" si="134"/>
        <v/>
      </c>
      <c r="V120" s="425"/>
      <c r="W120" s="425"/>
      <c r="X120" s="425"/>
      <c r="Y120" s="425"/>
      <c r="Z120" s="425"/>
      <c r="AA120" s="425"/>
      <c r="AB120" s="425"/>
      <c r="AC120" s="425"/>
    </row>
    <row r="121" ht="15.75" customHeight="1">
      <c r="A121" s="425"/>
      <c r="B121" s="450"/>
      <c r="C121" s="450" t="s">
        <v>246</v>
      </c>
      <c r="D121" s="452">
        <v>27531.33333333333</v>
      </c>
      <c r="E121" s="538">
        <f t="shared" si="135"/>
        <v>0.001587171532</v>
      </c>
      <c r="F121" s="501"/>
      <c r="G121" s="538"/>
      <c r="H121" s="501"/>
      <c r="I121" s="550"/>
      <c r="J121" s="452">
        <v>29243.0</v>
      </c>
      <c r="K121" s="538">
        <f t="shared" si="127"/>
        <v>0.001731730372</v>
      </c>
      <c r="L121" s="501"/>
      <c r="M121" s="538"/>
      <c r="N121" s="501">
        <f t="shared" si="130"/>
        <v>29243</v>
      </c>
      <c r="O121" s="550" t="str">
        <f t="shared" si="131"/>
        <v/>
      </c>
      <c r="P121" s="459"/>
      <c r="Q121" s="541" t="str">
        <f t="shared" si="128"/>
        <v>#DIV/0!</v>
      </c>
      <c r="R121" s="501"/>
      <c r="S121" s="538"/>
      <c r="T121" s="501">
        <f t="shared" si="133"/>
        <v>0</v>
      </c>
      <c r="U121" s="550" t="str">
        <f t="shared" si="134"/>
        <v/>
      </c>
      <c r="V121" s="425"/>
      <c r="W121" s="425"/>
      <c r="X121" s="425"/>
      <c r="Y121" s="425"/>
      <c r="Z121" s="425"/>
      <c r="AA121" s="425"/>
      <c r="AB121" s="425"/>
      <c r="AC121" s="425"/>
    </row>
    <row r="122" ht="15.75" customHeight="1">
      <c r="A122" s="425"/>
      <c r="B122" s="450"/>
      <c r="C122" s="450" t="s">
        <v>249</v>
      </c>
      <c r="D122" s="452">
        <v>0.0</v>
      </c>
      <c r="E122" s="538">
        <f t="shared" si="135"/>
        <v>0</v>
      </c>
      <c r="F122" s="501"/>
      <c r="G122" s="538" t="str">
        <f t="shared" ref="G122:G124" si="139">F122/F$29</f>
        <v>#DIV/0!</v>
      </c>
      <c r="H122" s="501">
        <f t="shared" ref="H122:H124" si="140">D122-F122</f>
        <v>0</v>
      </c>
      <c r="I122" s="550" t="str">
        <f t="shared" ref="I122:I124" si="141">IFERROR(H122/F122,"")</f>
        <v/>
      </c>
      <c r="J122" s="452">
        <v>3507.0</v>
      </c>
      <c r="K122" s="538">
        <f t="shared" si="127"/>
        <v>0.0002076797324</v>
      </c>
      <c r="L122" s="501"/>
      <c r="M122" s="538" t="str">
        <f t="shared" ref="M122:M127" si="142">L122/L$29</f>
        <v>#DIV/0!</v>
      </c>
      <c r="N122" s="501">
        <f t="shared" si="130"/>
        <v>3507</v>
      </c>
      <c r="O122" s="550" t="str">
        <f t="shared" si="131"/>
        <v/>
      </c>
      <c r="P122" s="459"/>
      <c r="Q122" s="541" t="str">
        <f t="shared" si="128"/>
        <v>#DIV/0!</v>
      </c>
      <c r="R122" s="501"/>
      <c r="S122" s="538" t="str">
        <f t="shared" ref="S122:S127" si="143">R122/R$29</f>
        <v>#DIV/0!</v>
      </c>
      <c r="T122" s="501">
        <f t="shared" si="133"/>
        <v>0</v>
      </c>
      <c r="U122" s="550" t="str">
        <f t="shared" si="134"/>
        <v/>
      </c>
      <c r="V122" s="425"/>
      <c r="W122" s="425"/>
      <c r="X122" s="425"/>
      <c r="Y122" s="425"/>
      <c r="Z122" s="425"/>
      <c r="AA122" s="425"/>
      <c r="AB122" s="425"/>
      <c r="AC122" s="425"/>
    </row>
    <row r="123" ht="15.75" customHeight="1">
      <c r="A123" s="425"/>
      <c r="B123" s="450"/>
      <c r="C123" s="450" t="s">
        <v>250</v>
      </c>
      <c r="D123" s="452">
        <v>25061.0</v>
      </c>
      <c r="E123" s="538">
        <f t="shared" si="135"/>
        <v>0.001444757698</v>
      </c>
      <c r="F123" s="501"/>
      <c r="G123" s="538" t="str">
        <f t="shared" si="139"/>
        <v>#DIV/0!</v>
      </c>
      <c r="H123" s="501">
        <f t="shared" si="140"/>
        <v>25061</v>
      </c>
      <c r="I123" s="550" t="str">
        <f t="shared" si="141"/>
        <v/>
      </c>
      <c r="J123" s="452">
        <v>24063.0</v>
      </c>
      <c r="K123" s="538">
        <f t="shared" si="127"/>
        <v>0.001424977873</v>
      </c>
      <c r="L123" s="501"/>
      <c r="M123" s="538" t="str">
        <f t="shared" si="142"/>
        <v>#DIV/0!</v>
      </c>
      <c r="N123" s="501">
        <f t="shared" si="130"/>
        <v>24063</v>
      </c>
      <c r="O123" s="550" t="str">
        <f t="shared" si="131"/>
        <v/>
      </c>
      <c r="P123" s="459"/>
      <c r="Q123" s="541" t="str">
        <f t="shared" si="128"/>
        <v>#DIV/0!</v>
      </c>
      <c r="R123" s="501"/>
      <c r="S123" s="538" t="str">
        <f t="shared" si="143"/>
        <v>#DIV/0!</v>
      </c>
      <c r="T123" s="501">
        <f t="shared" si="133"/>
        <v>0</v>
      </c>
      <c r="U123" s="550" t="str">
        <f t="shared" si="134"/>
        <v/>
      </c>
      <c r="V123" s="425"/>
      <c r="W123" s="425"/>
      <c r="X123" s="425"/>
      <c r="Y123" s="425"/>
      <c r="Z123" s="425"/>
      <c r="AA123" s="425"/>
      <c r="AB123" s="425"/>
      <c r="AC123" s="425"/>
    </row>
    <row r="124" ht="15.75" customHeight="1">
      <c r="A124" s="425"/>
      <c r="B124" s="450"/>
      <c r="C124" s="450" t="s">
        <v>251</v>
      </c>
      <c r="D124" s="452">
        <v>204658.76</v>
      </c>
      <c r="E124" s="538">
        <f t="shared" si="135"/>
        <v>0.01179850441</v>
      </c>
      <c r="F124" s="501"/>
      <c r="G124" s="538" t="str">
        <f t="shared" si="139"/>
        <v>#DIV/0!</v>
      </c>
      <c r="H124" s="501">
        <f t="shared" si="140"/>
        <v>204658.76</v>
      </c>
      <c r="I124" s="550" t="str">
        <f t="shared" si="141"/>
        <v/>
      </c>
      <c r="J124" s="452">
        <v>33523.0</v>
      </c>
      <c r="K124" s="538">
        <f t="shared" si="127"/>
        <v>0.001985186105</v>
      </c>
      <c r="L124" s="501"/>
      <c r="M124" s="538" t="str">
        <f t="shared" si="142"/>
        <v>#DIV/0!</v>
      </c>
      <c r="N124" s="501">
        <f t="shared" si="130"/>
        <v>33523</v>
      </c>
      <c r="O124" s="550" t="str">
        <f t="shared" si="131"/>
        <v/>
      </c>
      <c r="P124" s="459"/>
      <c r="Q124" s="541" t="str">
        <f t="shared" si="128"/>
        <v>#DIV/0!</v>
      </c>
      <c r="R124" s="501"/>
      <c r="S124" s="538" t="str">
        <f t="shared" si="143"/>
        <v>#DIV/0!</v>
      </c>
      <c r="T124" s="501">
        <f t="shared" si="133"/>
        <v>0</v>
      </c>
      <c r="U124" s="550" t="str">
        <f t="shared" si="134"/>
        <v/>
      </c>
      <c r="V124" s="425"/>
      <c r="W124" s="425"/>
      <c r="X124" s="425"/>
      <c r="Y124" s="425"/>
      <c r="Z124" s="425"/>
      <c r="AA124" s="425"/>
      <c r="AB124" s="425"/>
      <c r="AC124" s="425"/>
    </row>
    <row r="125" ht="15.75" customHeight="1">
      <c r="A125" s="425"/>
      <c r="B125" s="450"/>
      <c r="C125" s="450" t="s">
        <v>252</v>
      </c>
      <c r="D125" s="452">
        <v>8000.0</v>
      </c>
      <c r="E125" s="452">
        <v>8000.0</v>
      </c>
      <c r="F125" s="452">
        <v>8000.0</v>
      </c>
      <c r="G125" s="452">
        <v>8000.0</v>
      </c>
      <c r="H125" s="452">
        <v>8000.0</v>
      </c>
      <c r="I125" s="452">
        <v>8000.0</v>
      </c>
      <c r="J125" s="452">
        <v>8000.0</v>
      </c>
      <c r="K125" s="538">
        <f t="shared" si="127"/>
        <v>0.0004737490331</v>
      </c>
      <c r="L125" s="501"/>
      <c r="M125" s="538" t="str">
        <f t="shared" si="142"/>
        <v>#DIV/0!</v>
      </c>
      <c r="N125" s="501">
        <f t="shared" si="130"/>
        <v>8000</v>
      </c>
      <c r="O125" s="550" t="str">
        <f t="shared" si="131"/>
        <v/>
      </c>
      <c r="P125" s="459"/>
      <c r="Q125" s="541" t="str">
        <f t="shared" si="128"/>
        <v>#DIV/0!</v>
      </c>
      <c r="R125" s="501"/>
      <c r="S125" s="538" t="str">
        <f t="shared" si="143"/>
        <v>#DIV/0!</v>
      </c>
      <c r="T125" s="501">
        <f t="shared" si="133"/>
        <v>0</v>
      </c>
      <c r="U125" s="550" t="str">
        <f t="shared" si="134"/>
        <v/>
      </c>
      <c r="V125" s="425"/>
      <c r="W125" s="425"/>
      <c r="X125" s="425"/>
      <c r="Y125" s="425"/>
      <c r="Z125" s="425"/>
      <c r="AA125" s="425"/>
      <c r="AB125" s="425"/>
      <c r="AC125" s="425"/>
    </row>
    <row r="126" ht="15.75" customHeight="1">
      <c r="A126" s="425"/>
      <c r="B126" s="450"/>
      <c r="C126" s="450" t="s">
        <v>303</v>
      </c>
      <c r="D126" s="452">
        <v>0.0</v>
      </c>
      <c r="E126" s="538">
        <f t="shared" ref="E126:E127" si="144">D126/D$29</f>
        <v>0</v>
      </c>
      <c r="F126" s="501"/>
      <c r="G126" s="538" t="str">
        <f t="shared" ref="G126:G127" si="145">F126/F$29</f>
        <v>#DIV/0!</v>
      </c>
      <c r="H126" s="501">
        <f t="shared" ref="H126:H127" si="146">D126-F126</f>
        <v>0</v>
      </c>
      <c r="I126" s="550" t="str">
        <f t="shared" ref="I126:I127" si="147">IFERROR(H126/F126,"")</f>
        <v/>
      </c>
      <c r="J126" s="452">
        <v>0.0</v>
      </c>
      <c r="K126" s="538">
        <f t="shared" si="127"/>
        <v>0</v>
      </c>
      <c r="L126" s="501"/>
      <c r="M126" s="538" t="str">
        <f t="shared" si="142"/>
        <v>#DIV/0!</v>
      </c>
      <c r="N126" s="501">
        <f t="shared" si="130"/>
        <v>0</v>
      </c>
      <c r="O126" s="550" t="str">
        <f t="shared" si="131"/>
        <v/>
      </c>
      <c r="P126" s="459"/>
      <c r="Q126" s="541" t="str">
        <f t="shared" si="128"/>
        <v>#DIV/0!</v>
      </c>
      <c r="R126" s="501"/>
      <c r="S126" s="538" t="str">
        <f t="shared" si="143"/>
        <v>#DIV/0!</v>
      </c>
      <c r="T126" s="501">
        <f t="shared" si="133"/>
        <v>0</v>
      </c>
      <c r="U126" s="550" t="str">
        <f t="shared" si="134"/>
        <v/>
      </c>
      <c r="V126" s="425"/>
      <c r="W126" s="425"/>
      <c r="X126" s="425"/>
      <c r="Y126" s="425"/>
      <c r="Z126" s="425"/>
      <c r="AA126" s="425"/>
      <c r="AB126" s="425"/>
      <c r="AC126" s="425"/>
    </row>
    <row r="127" ht="15.75" customHeight="1">
      <c r="A127" s="425"/>
      <c r="B127" s="450"/>
      <c r="C127" s="450" t="s">
        <v>280</v>
      </c>
      <c r="D127" s="452">
        <v>44250.0</v>
      </c>
      <c r="E127" s="538">
        <f t="shared" si="144"/>
        <v>0.002550996694</v>
      </c>
      <c r="F127" s="501"/>
      <c r="G127" s="538" t="str">
        <f t="shared" si="145"/>
        <v>#DIV/0!</v>
      </c>
      <c r="H127" s="501">
        <f t="shared" si="146"/>
        <v>44250</v>
      </c>
      <c r="I127" s="550" t="str">
        <f t="shared" si="147"/>
        <v/>
      </c>
      <c r="J127" s="452">
        <v>35400.0</v>
      </c>
      <c r="K127" s="538">
        <f t="shared" si="127"/>
        <v>0.002096339472</v>
      </c>
      <c r="L127" s="501"/>
      <c r="M127" s="538" t="str">
        <f t="shared" si="142"/>
        <v>#DIV/0!</v>
      </c>
      <c r="N127" s="501">
        <f t="shared" si="130"/>
        <v>35400</v>
      </c>
      <c r="O127" s="550" t="str">
        <f t="shared" si="131"/>
        <v/>
      </c>
      <c r="P127" s="459"/>
      <c r="Q127" s="541" t="str">
        <f t="shared" si="128"/>
        <v>#DIV/0!</v>
      </c>
      <c r="R127" s="501"/>
      <c r="S127" s="538" t="str">
        <f t="shared" si="143"/>
        <v>#DIV/0!</v>
      </c>
      <c r="T127" s="501">
        <f t="shared" si="133"/>
        <v>0</v>
      </c>
      <c r="U127" s="550" t="str">
        <f t="shared" si="134"/>
        <v/>
      </c>
      <c r="V127" s="425"/>
      <c r="W127" s="425"/>
      <c r="X127" s="425"/>
      <c r="Y127" s="425"/>
      <c r="Z127" s="425"/>
      <c r="AA127" s="425"/>
      <c r="AB127" s="425"/>
      <c r="AC127" s="425"/>
    </row>
    <row r="128" ht="15.75" customHeight="1">
      <c r="A128" s="425"/>
      <c r="B128" s="450"/>
      <c r="C128" s="450" t="s">
        <v>291</v>
      </c>
      <c r="D128" s="452">
        <v>132698.0</v>
      </c>
      <c r="E128" s="538"/>
      <c r="F128" s="634"/>
      <c r="G128" s="538"/>
      <c r="H128" s="634"/>
      <c r="I128" s="633"/>
      <c r="J128" s="452">
        <v>0.0</v>
      </c>
      <c r="K128" s="538">
        <f t="shared" si="127"/>
        <v>0</v>
      </c>
      <c r="L128" s="634"/>
      <c r="M128" s="538"/>
      <c r="N128" s="634">
        <f t="shared" si="130"/>
        <v>0</v>
      </c>
      <c r="O128" s="633" t="str">
        <f t="shared" si="131"/>
        <v/>
      </c>
      <c r="P128" s="459"/>
      <c r="Q128" s="541" t="str">
        <f t="shared" si="128"/>
        <v>#DIV/0!</v>
      </c>
      <c r="R128" s="634"/>
      <c r="S128" s="538"/>
      <c r="T128" s="634">
        <f t="shared" si="133"/>
        <v>0</v>
      </c>
      <c r="U128" s="633" t="str">
        <f t="shared" si="134"/>
        <v/>
      </c>
      <c r="V128" s="425"/>
      <c r="W128" s="425"/>
      <c r="X128" s="425"/>
      <c r="Y128" s="425"/>
      <c r="Z128" s="425"/>
      <c r="AA128" s="425"/>
      <c r="AB128" s="425"/>
      <c r="AC128" s="425"/>
    </row>
    <row r="129" ht="15.75" customHeight="1">
      <c r="A129" s="425"/>
      <c r="B129" s="450"/>
      <c r="C129" s="450"/>
      <c r="D129" s="452"/>
      <c r="E129" s="538"/>
      <c r="F129" s="634"/>
      <c r="G129" s="538"/>
      <c r="H129" s="634"/>
      <c r="I129" s="633"/>
      <c r="J129" s="452"/>
      <c r="K129" s="538"/>
      <c r="L129" s="634"/>
      <c r="M129" s="538"/>
      <c r="N129" s="634"/>
      <c r="O129" s="633"/>
      <c r="P129" s="459"/>
      <c r="Q129" s="541"/>
      <c r="R129" s="634"/>
      <c r="S129" s="538"/>
      <c r="T129" s="634"/>
      <c r="U129" s="633"/>
      <c r="V129" s="425"/>
      <c r="W129" s="425"/>
      <c r="X129" s="425"/>
      <c r="Y129" s="425"/>
      <c r="Z129" s="425"/>
      <c r="AA129" s="425"/>
      <c r="AB129" s="425"/>
      <c r="AC129" s="425"/>
    </row>
    <row r="130" ht="15.75" customHeight="1">
      <c r="A130" s="425"/>
      <c r="B130" s="468"/>
      <c r="C130" s="645"/>
      <c r="D130" s="470"/>
      <c r="E130" s="545"/>
      <c r="F130" s="637"/>
      <c r="G130" s="545"/>
      <c r="H130" s="637"/>
      <c r="I130" s="638"/>
      <c r="J130" s="470"/>
      <c r="K130" s="545"/>
      <c r="L130" s="637"/>
      <c r="M130" s="545"/>
      <c r="N130" s="637"/>
      <c r="O130" s="638"/>
      <c r="P130" s="472"/>
      <c r="Q130" s="554"/>
      <c r="R130" s="637"/>
      <c r="S130" s="545"/>
      <c r="T130" s="637"/>
      <c r="U130" s="638"/>
      <c r="V130" s="425"/>
      <c r="W130" s="425"/>
      <c r="X130" s="425"/>
      <c r="Y130" s="425"/>
      <c r="Z130" s="425"/>
      <c r="AA130" s="425"/>
      <c r="AB130" s="425"/>
      <c r="AC130" s="425"/>
    </row>
    <row r="131" ht="15.75" customHeight="1">
      <c r="A131" s="425"/>
      <c r="B131" s="474"/>
      <c r="C131" s="492" t="s">
        <v>41</v>
      </c>
      <c r="D131" s="444">
        <f>SUM(D132:D133)</f>
        <v>10010</v>
      </c>
      <c r="E131" s="529">
        <f>D131/D$29</f>
        <v>0.0005770729244</v>
      </c>
      <c r="F131" s="530">
        <f>SUM(F133)</f>
        <v>10010</v>
      </c>
      <c r="G131" s="529" t="str">
        <f>F131/F$29</f>
        <v>#DIV/0!</v>
      </c>
      <c r="H131" s="758">
        <f>SUM(H132)</f>
        <v>0</v>
      </c>
      <c r="I131" s="650"/>
      <c r="J131" s="444">
        <f>SUM(J132:J133)</f>
        <v>10010</v>
      </c>
      <c r="K131" s="529">
        <f>J131/J$29</f>
        <v>0.0005927784777</v>
      </c>
      <c r="L131" s="530">
        <f>SUM(L133)</f>
        <v>0</v>
      </c>
      <c r="M131" s="529" t="str">
        <f>L131/L$29</f>
        <v>#DIV/0!</v>
      </c>
      <c r="N131" s="758">
        <f>SUM(N132)</f>
        <v>0</v>
      </c>
      <c r="O131" s="650"/>
      <c r="P131" s="475">
        <f>SUM(P132:P133)</f>
        <v>0</v>
      </c>
      <c r="Q131" s="532" t="str">
        <f>P131/P$29</f>
        <v>#DIV/0!</v>
      </c>
      <c r="R131" s="530">
        <f>SUM(R133)</f>
        <v>0</v>
      </c>
      <c r="S131" s="529" t="str">
        <f>R131/R$29</f>
        <v>#DIV/0!</v>
      </c>
      <c r="T131" s="758">
        <f>SUM(T132)</f>
        <v>0</v>
      </c>
      <c r="U131" s="650"/>
      <c r="V131" s="427"/>
      <c r="W131" s="427"/>
      <c r="X131" s="427"/>
      <c r="Y131" s="427"/>
      <c r="Z131" s="427"/>
      <c r="AA131" s="427"/>
      <c r="AB131" s="427"/>
      <c r="AC131" s="427"/>
    </row>
    <row r="132" ht="15.75" customHeight="1">
      <c r="A132" s="425"/>
      <c r="B132" s="481"/>
      <c r="C132" s="481" t="s">
        <v>253</v>
      </c>
      <c r="D132" s="448">
        <v>0.0</v>
      </c>
      <c r="E132" s="533"/>
      <c r="F132" s="523"/>
      <c r="G132" s="533"/>
      <c r="H132" s="642"/>
      <c r="I132" s="631"/>
      <c r="J132" s="448">
        <v>0.0</v>
      </c>
      <c r="K132" s="533"/>
      <c r="L132" s="523"/>
      <c r="M132" s="533"/>
      <c r="N132" s="642"/>
      <c r="O132" s="631"/>
      <c r="P132" s="482"/>
      <c r="Q132" s="535"/>
      <c r="R132" s="523"/>
      <c r="S132" s="533"/>
      <c r="T132" s="642"/>
      <c r="U132" s="631"/>
      <c r="V132" s="425"/>
      <c r="W132" s="425"/>
      <c r="X132" s="425"/>
      <c r="Y132" s="425"/>
      <c r="Z132" s="425"/>
      <c r="AA132" s="425"/>
      <c r="AB132" s="425"/>
      <c r="AC132" s="425"/>
    </row>
    <row r="133" ht="15.75" customHeight="1">
      <c r="A133" s="425"/>
      <c r="B133" s="450"/>
      <c r="C133" s="450" t="s">
        <v>320</v>
      </c>
      <c r="D133" s="452">
        <v>10010.0</v>
      </c>
      <c r="E133" s="452">
        <v>10010.0</v>
      </c>
      <c r="F133" s="452">
        <v>10010.0</v>
      </c>
      <c r="G133" s="452">
        <v>10010.0</v>
      </c>
      <c r="H133" s="452">
        <v>10010.0</v>
      </c>
      <c r="I133" s="452">
        <v>10010.0</v>
      </c>
      <c r="J133" s="452">
        <v>10010.0</v>
      </c>
      <c r="K133" s="538">
        <f>J133/J$29</f>
        <v>0.0005927784777</v>
      </c>
      <c r="L133" s="501"/>
      <c r="M133" s="538" t="str">
        <f>L133/L$29</f>
        <v>#DIV/0!</v>
      </c>
      <c r="N133" s="501">
        <f>J133-L133</f>
        <v>10010</v>
      </c>
      <c r="O133" s="550" t="str">
        <f>IFERROR(N133/L133,"")</f>
        <v/>
      </c>
      <c r="P133" s="459"/>
      <c r="Q133" s="541" t="str">
        <f>P133/P$29</f>
        <v>#DIV/0!</v>
      </c>
      <c r="R133" s="501"/>
      <c r="S133" s="538" t="str">
        <f>R133/R$29</f>
        <v>#DIV/0!</v>
      </c>
      <c r="T133" s="501">
        <f>P133-R133</f>
        <v>0</v>
      </c>
      <c r="U133" s="550" t="str">
        <f>IFERROR(T133/R133,"")</f>
        <v/>
      </c>
      <c r="V133" s="425"/>
      <c r="W133" s="425"/>
      <c r="X133" s="425"/>
      <c r="Y133" s="425"/>
      <c r="Z133" s="425"/>
      <c r="AA133" s="425"/>
      <c r="AB133" s="425"/>
      <c r="AC133" s="425"/>
    </row>
    <row r="134" ht="15.75" customHeight="1">
      <c r="A134" s="425"/>
      <c r="B134" s="468"/>
      <c r="C134" s="468"/>
      <c r="D134" s="470"/>
      <c r="E134" s="545"/>
      <c r="F134" s="527"/>
      <c r="G134" s="545"/>
      <c r="H134" s="637"/>
      <c r="I134" s="638"/>
      <c r="J134" s="470"/>
      <c r="K134" s="545"/>
      <c r="L134" s="527"/>
      <c r="M134" s="545"/>
      <c r="N134" s="637"/>
      <c r="O134" s="638"/>
      <c r="P134" s="472"/>
      <c r="Q134" s="554"/>
      <c r="R134" s="527"/>
      <c r="S134" s="545"/>
      <c r="T134" s="637"/>
      <c r="U134" s="638"/>
      <c r="V134" s="425"/>
      <c r="W134" s="425"/>
      <c r="X134" s="425"/>
      <c r="Y134" s="425"/>
      <c r="Z134" s="425"/>
      <c r="AA134" s="425"/>
      <c r="AB134" s="425"/>
      <c r="AC134" s="425"/>
    </row>
    <row r="135" ht="15.75" customHeight="1">
      <c r="A135" s="425"/>
      <c r="B135" s="477"/>
      <c r="C135" s="492" t="s">
        <v>42</v>
      </c>
      <c r="D135" s="444">
        <f>SUM(D136:D137)</f>
        <v>0</v>
      </c>
      <c r="E135" s="529">
        <f>D135/D$29</f>
        <v>0</v>
      </c>
      <c r="F135" s="530">
        <f>SUM(F136:F137)</f>
        <v>0</v>
      </c>
      <c r="G135" s="529" t="str">
        <f>F135/F$29</f>
        <v>#DIV/0!</v>
      </c>
      <c r="H135" s="758">
        <f>SUM(H136:H137)</f>
        <v>0</v>
      </c>
      <c r="I135" s="650"/>
      <c r="J135" s="444">
        <f>SUM(J136:J137)</f>
        <v>0</v>
      </c>
      <c r="K135" s="529">
        <f>J135/J$29</f>
        <v>0</v>
      </c>
      <c r="L135" s="530">
        <f>SUM(L136:L137)</f>
        <v>0</v>
      </c>
      <c r="M135" s="529" t="str">
        <f>L135/L$29</f>
        <v>#DIV/0!</v>
      </c>
      <c r="N135" s="758">
        <f>SUM(N136:N137)</f>
        <v>0</v>
      </c>
      <c r="O135" s="650"/>
      <c r="P135" s="475">
        <f>SUM(P136:P137)</f>
        <v>0</v>
      </c>
      <c r="Q135" s="532" t="str">
        <f>P135/P$29</f>
        <v>#DIV/0!</v>
      </c>
      <c r="R135" s="530">
        <f>SUM(R136:R137)</f>
        <v>0</v>
      </c>
      <c r="S135" s="529" t="str">
        <f>R135/R$29</f>
        <v>#DIV/0!</v>
      </c>
      <c r="T135" s="758">
        <f>SUM(T136:T137)</f>
        <v>0</v>
      </c>
      <c r="U135" s="650"/>
      <c r="V135" s="427"/>
      <c r="W135" s="427"/>
      <c r="X135" s="427"/>
      <c r="Y135" s="427"/>
      <c r="Z135" s="427"/>
      <c r="AA135" s="427"/>
      <c r="AB135" s="427"/>
      <c r="AC135" s="427"/>
    </row>
    <row r="136" ht="15.75" customHeight="1">
      <c r="A136" s="425"/>
      <c r="B136" s="481"/>
      <c r="C136" s="481" t="s">
        <v>283</v>
      </c>
      <c r="D136" s="448">
        <v>0.0</v>
      </c>
      <c r="E136" s="630"/>
      <c r="F136" s="523"/>
      <c r="G136" s="533"/>
      <c r="H136" s="642"/>
      <c r="I136" s="631"/>
      <c r="J136" s="448">
        <v>0.0</v>
      </c>
      <c r="K136" s="630"/>
      <c r="L136" s="523"/>
      <c r="M136" s="533"/>
      <c r="N136" s="642"/>
      <c r="O136" s="631"/>
      <c r="P136" s="482">
        <v>0.0</v>
      </c>
      <c r="Q136" s="643"/>
      <c r="R136" s="523"/>
      <c r="S136" s="533"/>
      <c r="T136" s="642"/>
      <c r="U136" s="631"/>
      <c r="V136" s="425"/>
      <c r="W136" s="425"/>
      <c r="X136" s="425"/>
      <c r="Y136" s="425"/>
      <c r="Z136" s="425"/>
      <c r="AA136" s="425"/>
      <c r="AB136" s="425"/>
      <c r="AC136" s="425"/>
    </row>
    <row r="137" ht="15.75" customHeight="1">
      <c r="A137" s="425"/>
      <c r="B137" s="450"/>
      <c r="C137" s="450"/>
      <c r="D137" s="452"/>
      <c r="E137" s="242"/>
      <c r="F137" s="501"/>
      <c r="G137" s="538"/>
      <c r="H137" s="501"/>
      <c r="I137" s="550"/>
      <c r="J137" s="452"/>
      <c r="K137" s="242"/>
      <c r="L137" s="501"/>
      <c r="M137" s="538"/>
      <c r="N137" s="501"/>
      <c r="O137" s="550"/>
      <c r="P137" s="459"/>
      <c r="Q137" s="635"/>
      <c r="R137" s="501"/>
      <c r="S137" s="538"/>
      <c r="T137" s="501"/>
      <c r="U137" s="550"/>
      <c r="V137" s="425"/>
      <c r="W137" s="425"/>
      <c r="X137" s="425"/>
      <c r="Y137" s="425"/>
      <c r="Z137" s="425"/>
      <c r="AA137" s="425"/>
      <c r="AB137" s="425"/>
      <c r="AC137" s="425"/>
    </row>
    <row r="138" ht="15.75" customHeight="1">
      <c r="A138" s="425"/>
      <c r="B138" s="450"/>
      <c r="C138" s="450"/>
      <c r="D138" s="452"/>
      <c r="E138" s="242"/>
      <c r="F138" s="634"/>
      <c r="G138" s="538"/>
      <c r="H138" s="634"/>
      <c r="I138" s="633"/>
      <c r="J138" s="452"/>
      <c r="K138" s="242"/>
      <c r="L138" s="634"/>
      <c r="M138" s="538"/>
      <c r="N138" s="634"/>
      <c r="O138" s="633"/>
      <c r="P138" s="459"/>
      <c r="Q138" s="635"/>
      <c r="R138" s="634"/>
      <c r="S138" s="538"/>
      <c r="T138" s="634"/>
      <c r="U138" s="633"/>
      <c r="V138" s="425"/>
      <c r="W138" s="425"/>
      <c r="X138" s="425"/>
      <c r="Y138" s="425"/>
      <c r="Z138" s="425"/>
      <c r="AA138" s="425"/>
      <c r="AB138" s="425"/>
      <c r="AC138" s="425"/>
    </row>
    <row r="139" ht="15.75" customHeight="1">
      <c r="A139" s="425"/>
      <c r="B139" s="468"/>
      <c r="C139" s="468"/>
      <c r="D139" s="470"/>
      <c r="E139" s="636"/>
      <c r="F139" s="637"/>
      <c r="G139" s="545"/>
      <c r="H139" s="637"/>
      <c r="I139" s="638"/>
      <c r="J139" s="470"/>
      <c r="K139" s="636"/>
      <c r="L139" s="637"/>
      <c r="M139" s="545"/>
      <c r="N139" s="637"/>
      <c r="O139" s="638"/>
      <c r="P139" s="472"/>
      <c r="Q139" s="639"/>
      <c r="R139" s="637"/>
      <c r="S139" s="545"/>
      <c r="T139" s="637"/>
      <c r="U139" s="638"/>
      <c r="V139" s="425"/>
      <c r="W139" s="425"/>
      <c r="X139" s="425"/>
      <c r="Y139" s="425"/>
      <c r="Z139" s="425"/>
      <c r="AA139" s="425"/>
      <c r="AB139" s="425"/>
      <c r="AC139" s="425"/>
    </row>
    <row r="140" ht="15.75" customHeight="1">
      <c r="A140" s="425"/>
      <c r="B140" s="477"/>
      <c r="C140" s="474" t="s">
        <v>257</v>
      </c>
      <c r="D140" s="444">
        <f>D58+D70+D81+D88+D96+D107+D110+D114+D131+D135</f>
        <v>7157551.967</v>
      </c>
      <c r="E140" s="529">
        <f>D140/D$29</f>
        <v>0.4126303142</v>
      </c>
      <c r="F140" s="530">
        <f>F58+F70+F81+F88+F96+F107+F110+F114+F131+F135</f>
        <v>220898.3333</v>
      </c>
      <c r="G140" s="529" t="str">
        <f>F140/F$29</f>
        <v>#DIV/0!</v>
      </c>
      <c r="H140" s="530">
        <f>D140-F140</f>
        <v>6936653.633</v>
      </c>
      <c r="I140" s="769">
        <f>IFERROR(H140/F140,"")</f>
        <v>31.40201888</v>
      </c>
      <c r="J140" s="444">
        <f>J58+J70+J81+J88+J96+J107+J110+J114+J131+J135</f>
        <v>6369335.98</v>
      </c>
      <c r="K140" s="529">
        <f>J140/J$29</f>
        <v>0.3771833453</v>
      </c>
      <c r="L140" s="530">
        <f>L58+L70+L81+L88+L96+L107+L110+L114+L131+L135</f>
        <v>0</v>
      </c>
      <c r="M140" s="529" t="str">
        <f>L140/L$29</f>
        <v>#DIV/0!</v>
      </c>
      <c r="N140" s="530">
        <f>J140-L140</f>
        <v>6369335.98</v>
      </c>
      <c r="O140" s="769" t="str">
        <f>IFERROR(N140/L140,"")</f>
        <v/>
      </c>
      <c r="P140" s="475">
        <f>P58+P70+P81+P88+P96+P107+P110+P114+P131+P135</f>
        <v>0</v>
      </c>
      <c r="Q140" s="532" t="str">
        <f>P140/P$29</f>
        <v>#DIV/0!</v>
      </c>
      <c r="R140" s="530">
        <f>R58+R70+R81+R88+R96+R107+R110+R114+R131+R135</f>
        <v>0</v>
      </c>
      <c r="S140" s="529" t="str">
        <f>R140/R$29</f>
        <v>#DIV/0!</v>
      </c>
      <c r="T140" s="530">
        <f>P140-R140</f>
        <v>0</v>
      </c>
      <c r="U140" s="769" t="str">
        <f>IFERROR(T140/R140,"")</f>
        <v/>
      </c>
      <c r="V140" s="425"/>
      <c r="W140" s="425"/>
      <c r="X140" s="425"/>
      <c r="Y140" s="425"/>
      <c r="Z140" s="425"/>
      <c r="AA140" s="425"/>
      <c r="AB140" s="425"/>
      <c r="AC140" s="425"/>
    </row>
    <row r="141" ht="15.75" customHeight="1">
      <c r="A141" s="425"/>
      <c r="B141" s="508"/>
      <c r="C141" s="508"/>
      <c r="D141" s="494"/>
      <c r="E141" s="646"/>
      <c r="F141" s="563"/>
      <c r="G141" s="562"/>
      <c r="H141" s="764"/>
      <c r="I141" s="647"/>
      <c r="J141" s="494"/>
      <c r="K141" s="646"/>
      <c r="L141" s="563"/>
      <c r="M141" s="562"/>
      <c r="N141" s="764"/>
      <c r="O141" s="647"/>
      <c r="P141" s="495"/>
      <c r="Q141" s="648"/>
      <c r="R141" s="563"/>
      <c r="S141" s="562"/>
      <c r="T141" s="764"/>
      <c r="U141" s="647"/>
      <c r="V141" s="425"/>
      <c r="W141" s="425"/>
      <c r="X141" s="425"/>
      <c r="Y141" s="425"/>
      <c r="Z141" s="425"/>
      <c r="AA141" s="425"/>
      <c r="AB141" s="425"/>
      <c r="AC141" s="425"/>
    </row>
    <row r="142" ht="15.75" customHeight="1">
      <c r="A142" s="425"/>
      <c r="B142" s="474"/>
      <c r="C142" s="474" t="s">
        <v>258</v>
      </c>
      <c r="D142" s="444">
        <f>D50-D140</f>
        <v>4433738.52</v>
      </c>
      <c r="E142" s="529">
        <f>D142/D$29</f>
        <v>0.2556034419</v>
      </c>
      <c r="F142" s="530" t="str">
        <f>F50-F140</f>
        <v>#REF!</v>
      </c>
      <c r="G142" s="529" t="str">
        <f>F142/F$29</f>
        <v>#REF!</v>
      </c>
      <c r="H142" s="530" t="str">
        <f>D142-F142</f>
        <v>#REF!</v>
      </c>
      <c r="I142" s="769" t="str">
        <f>IFERROR(H142/F142,"")</f>
        <v/>
      </c>
      <c r="J142" s="444">
        <f>J50-J140</f>
        <v>4336730.22</v>
      </c>
      <c r="K142" s="529">
        <f>J142/J$29</f>
        <v>0.2568152186</v>
      </c>
      <c r="L142" s="530" t="str">
        <f>L50-L140</f>
        <v>#REF!</v>
      </c>
      <c r="M142" s="529" t="str">
        <f>L142/L$29</f>
        <v>#REF!</v>
      </c>
      <c r="N142" s="530" t="str">
        <f>J142-L142</f>
        <v>#REF!</v>
      </c>
      <c r="O142" s="769" t="str">
        <f>IFERROR(N142/L142,"")</f>
        <v/>
      </c>
      <c r="P142" s="475">
        <f>P50-P140</f>
        <v>0</v>
      </c>
      <c r="Q142" s="532" t="str">
        <f>P142/P$29</f>
        <v>#DIV/0!</v>
      </c>
      <c r="R142" s="530" t="str">
        <f>R50-R140</f>
        <v>#REF!</v>
      </c>
      <c r="S142" s="529" t="str">
        <f>R142/R$29</f>
        <v>#REF!</v>
      </c>
      <c r="T142" s="530" t="str">
        <f>P142-R142</f>
        <v>#REF!</v>
      </c>
      <c r="U142" s="769" t="str">
        <f>IFERROR(T142/R142,"")</f>
        <v/>
      </c>
      <c r="V142" s="425"/>
      <c r="W142" s="425"/>
      <c r="X142" s="425"/>
      <c r="Y142" s="425"/>
      <c r="Z142" s="425"/>
      <c r="AA142" s="425"/>
      <c r="AB142" s="425"/>
      <c r="AC142" s="425"/>
    </row>
    <row r="143" ht="15.75" customHeight="1">
      <c r="A143" s="425"/>
      <c r="B143" s="425"/>
      <c r="C143" s="425"/>
      <c r="D143" s="511"/>
      <c r="E143" s="425"/>
      <c r="F143" s="511"/>
      <c r="G143" s="425"/>
      <c r="H143" s="511"/>
      <c r="I143" s="425"/>
      <c r="J143" s="511"/>
      <c r="K143" s="425"/>
      <c r="L143" s="511"/>
      <c r="M143" s="425"/>
      <c r="N143" s="511"/>
      <c r="O143" s="425"/>
      <c r="P143" s="511"/>
      <c r="Q143" s="425"/>
      <c r="R143" s="511"/>
      <c r="S143" s="425"/>
      <c r="T143" s="511"/>
      <c r="U143" s="425"/>
      <c r="V143" s="425"/>
      <c r="W143" s="425"/>
      <c r="X143" s="425"/>
      <c r="Y143" s="425"/>
      <c r="Z143" s="425"/>
      <c r="AA143" s="425"/>
      <c r="AB143" s="425"/>
      <c r="AC143" s="425"/>
    </row>
    <row r="144" ht="15.75" customHeight="1">
      <c r="A144" s="425"/>
      <c r="B144" s="425"/>
      <c r="C144" s="425"/>
      <c r="D144" s="511"/>
      <c r="E144" s="425"/>
      <c r="F144" s="511"/>
      <c r="G144" s="425"/>
      <c r="H144" s="511"/>
      <c r="I144" s="425"/>
      <c r="J144" s="511"/>
      <c r="K144" s="425"/>
      <c r="L144" s="511"/>
      <c r="M144" s="425"/>
      <c r="N144" s="511"/>
      <c r="O144" s="425"/>
      <c r="P144" s="511"/>
      <c r="Q144" s="425"/>
      <c r="R144" s="511"/>
      <c r="S144" s="425"/>
      <c r="T144" s="511"/>
      <c r="U144" s="425"/>
      <c r="V144" s="425"/>
      <c r="W144" s="425"/>
      <c r="X144" s="425"/>
      <c r="Y144" s="425"/>
      <c r="Z144" s="425"/>
      <c r="AA144" s="425"/>
      <c r="AB144" s="425"/>
      <c r="AC144" s="425"/>
    </row>
    <row r="145" ht="15.75" customHeight="1">
      <c r="A145" s="425"/>
      <c r="B145" s="425"/>
      <c r="C145" s="425"/>
      <c r="D145" s="511"/>
      <c r="E145" s="425"/>
      <c r="F145" s="511"/>
      <c r="G145" s="425"/>
      <c r="H145" s="511"/>
      <c r="I145" s="425"/>
      <c r="J145" s="511"/>
      <c r="K145" s="425"/>
      <c r="L145" s="511"/>
      <c r="M145" s="425"/>
      <c r="N145" s="511"/>
      <c r="O145" s="425"/>
      <c r="P145" s="511"/>
      <c r="Q145" s="425"/>
      <c r="R145" s="511"/>
      <c r="S145" s="425"/>
      <c r="T145" s="511"/>
      <c r="U145" s="425"/>
      <c r="V145" s="425"/>
      <c r="W145" s="425"/>
      <c r="X145" s="425"/>
      <c r="Y145" s="425"/>
      <c r="Z145" s="425"/>
      <c r="AA145" s="425"/>
      <c r="AB145" s="425"/>
      <c r="AC145" s="425"/>
    </row>
    <row r="146" ht="15.75" customHeight="1">
      <c r="A146" s="425"/>
      <c r="B146" s="425"/>
      <c r="C146" s="425"/>
      <c r="D146" s="511"/>
      <c r="E146" s="425"/>
      <c r="F146" s="511"/>
      <c r="G146" s="425"/>
      <c r="H146" s="511"/>
      <c r="I146" s="425"/>
      <c r="J146" s="511"/>
      <c r="K146" s="425"/>
      <c r="L146" s="511"/>
      <c r="M146" s="425"/>
      <c r="N146" s="511"/>
      <c r="O146" s="425"/>
      <c r="P146" s="511"/>
      <c r="Q146" s="425"/>
      <c r="R146" s="511"/>
      <c r="S146" s="425"/>
      <c r="T146" s="511"/>
      <c r="U146" s="425"/>
      <c r="V146" s="425"/>
      <c r="W146" s="425"/>
      <c r="X146" s="425"/>
      <c r="Y146" s="425"/>
      <c r="Z146" s="425"/>
      <c r="AA146" s="425"/>
      <c r="AB146" s="425"/>
      <c r="AC146" s="425"/>
    </row>
    <row r="147" ht="15.75" customHeight="1">
      <c r="A147" s="425"/>
      <c r="B147" s="425"/>
      <c r="C147" s="425"/>
      <c r="D147" s="511"/>
      <c r="E147" s="425"/>
      <c r="F147" s="511"/>
      <c r="G147" s="425"/>
      <c r="H147" s="511"/>
      <c r="I147" s="425"/>
      <c r="J147" s="511"/>
      <c r="K147" s="425"/>
      <c r="L147" s="511"/>
      <c r="M147" s="425"/>
      <c r="N147" s="511"/>
      <c r="O147" s="425"/>
      <c r="P147" s="511"/>
      <c r="Q147" s="425"/>
      <c r="R147" s="511"/>
      <c r="S147" s="425"/>
      <c r="T147" s="511"/>
      <c r="U147" s="425"/>
      <c r="V147" s="425"/>
      <c r="W147" s="425"/>
      <c r="X147" s="425"/>
      <c r="Y147" s="425"/>
      <c r="Z147" s="425"/>
      <c r="AA147" s="425"/>
      <c r="AB147" s="425"/>
      <c r="AC147" s="425"/>
    </row>
    <row r="148" ht="15.75" customHeight="1">
      <c r="A148" s="425"/>
      <c r="B148" s="425"/>
      <c r="C148" s="425"/>
      <c r="D148" s="511"/>
      <c r="E148" s="425"/>
      <c r="F148" s="511"/>
      <c r="G148" s="425"/>
      <c r="H148" s="511"/>
      <c r="I148" s="425"/>
      <c r="J148" s="511"/>
      <c r="K148" s="425"/>
      <c r="L148" s="511"/>
      <c r="M148" s="425"/>
      <c r="N148" s="511"/>
      <c r="O148" s="425"/>
      <c r="P148" s="511"/>
      <c r="Q148" s="425"/>
      <c r="R148" s="511"/>
      <c r="S148" s="425"/>
      <c r="T148" s="511"/>
      <c r="U148" s="425"/>
      <c r="V148" s="425"/>
      <c r="W148" s="425"/>
      <c r="X148" s="425"/>
      <c r="Y148" s="425"/>
      <c r="Z148" s="425"/>
      <c r="AA148" s="425"/>
      <c r="AB148" s="425"/>
      <c r="AC148" s="425"/>
    </row>
    <row r="149" ht="15.75" customHeight="1">
      <c r="A149" s="425"/>
      <c r="B149" s="425"/>
      <c r="C149" s="425"/>
      <c r="D149" s="511"/>
      <c r="E149" s="425"/>
      <c r="F149" s="511"/>
      <c r="G149" s="425"/>
      <c r="H149" s="511"/>
      <c r="I149" s="425"/>
      <c r="J149" s="511"/>
      <c r="K149" s="425"/>
      <c r="L149" s="511"/>
      <c r="M149" s="425"/>
      <c r="N149" s="511"/>
      <c r="O149" s="425"/>
      <c r="P149" s="511"/>
      <c r="Q149" s="425"/>
      <c r="R149" s="511"/>
      <c r="S149" s="425"/>
      <c r="T149" s="511"/>
      <c r="U149" s="425"/>
      <c r="V149" s="425"/>
      <c r="W149" s="425"/>
      <c r="X149" s="425"/>
      <c r="Y149" s="425"/>
      <c r="Z149" s="425"/>
      <c r="AA149" s="425"/>
      <c r="AB149" s="425"/>
      <c r="AC149" s="425"/>
    </row>
    <row r="150" ht="15.75" customHeight="1">
      <c r="A150" s="425"/>
      <c r="B150" s="425"/>
      <c r="C150" s="425"/>
      <c r="D150" s="511"/>
      <c r="E150" s="425"/>
      <c r="F150" s="511"/>
      <c r="G150" s="425"/>
      <c r="H150" s="511"/>
      <c r="I150" s="425"/>
      <c r="J150" s="511"/>
      <c r="K150" s="425"/>
      <c r="L150" s="511"/>
      <c r="M150" s="425"/>
      <c r="N150" s="511"/>
      <c r="O150" s="425"/>
      <c r="P150" s="511"/>
      <c r="Q150" s="425"/>
      <c r="R150" s="511"/>
      <c r="S150" s="425"/>
      <c r="T150" s="511"/>
      <c r="U150" s="425"/>
      <c r="V150" s="425"/>
      <c r="W150" s="425"/>
      <c r="X150" s="425"/>
      <c r="Y150" s="425"/>
      <c r="Z150" s="425"/>
      <c r="AA150" s="425"/>
      <c r="AB150" s="425"/>
      <c r="AC150" s="425"/>
    </row>
    <row r="151" ht="15.75" customHeight="1">
      <c r="A151" s="425"/>
      <c r="B151" s="425"/>
      <c r="C151" s="425"/>
      <c r="D151" s="511"/>
      <c r="E151" s="425"/>
      <c r="F151" s="511"/>
      <c r="G151" s="425"/>
      <c r="H151" s="511"/>
      <c r="I151" s="425"/>
      <c r="J151" s="511"/>
      <c r="K151" s="425"/>
      <c r="L151" s="511"/>
      <c r="M151" s="425"/>
      <c r="N151" s="511"/>
      <c r="O151" s="425"/>
      <c r="P151" s="511"/>
      <c r="Q151" s="425"/>
      <c r="R151" s="511"/>
      <c r="S151" s="425"/>
      <c r="T151" s="511"/>
      <c r="U151" s="425"/>
      <c r="V151" s="425"/>
      <c r="W151" s="425"/>
      <c r="X151" s="425"/>
      <c r="Y151" s="425"/>
      <c r="Z151" s="425"/>
      <c r="AA151" s="425"/>
      <c r="AB151" s="425"/>
      <c r="AC151" s="425"/>
    </row>
    <row r="152" ht="15.75" customHeight="1">
      <c r="A152" s="425"/>
      <c r="B152" s="425"/>
      <c r="C152" s="425"/>
      <c r="D152" s="511"/>
      <c r="E152" s="425"/>
      <c r="F152" s="511"/>
      <c r="G152" s="425"/>
      <c r="H152" s="511"/>
      <c r="I152" s="425"/>
      <c r="J152" s="511"/>
      <c r="K152" s="425"/>
      <c r="L152" s="511"/>
      <c r="M152" s="425"/>
      <c r="N152" s="511"/>
      <c r="O152" s="425"/>
      <c r="P152" s="511"/>
      <c r="Q152" s="425"/>
      <c r="R152" s="511"/>
      <c r="S152" s="425"/>
      <c r="T152" s="511"/>
      <c r="U152" s="425"/>
      <c r="V152" s="425"/>
      <c r="W152" s="425"/>
      <c r="X152" s="425"/>
      <c r="Y152" s="425"/>
      <c r="Z152" s="425"/>
      <c r="AA152" s="425"/>
      <c r="AB152" s="425"/>
      <c r="AC152" s="425"/>
    </row>
    <row r="153" ht="15.75" customHeight="1">
      <c r="A153" s="425"/>
      <c r="B153" s="425"/>
      <c r="C153" s="425"/>
      <c r="D153" s="511"/>
      <c r="E153" s="425"/>
      <c r="F153" s="511"/>
      <c r="G153" s="425"/>
      <c r="H153" s="511"/>
      <c r="I153" s="425"/>
      <c r="J153" s="511"/>
      <c r="K153" s="425"/>
      <c r="L153" s="511"/>
      <c r="M153" s="425"/>
      <c r="N153" s="511"/>
      <c r="O153" s="425"/>
      <c r="P153" s="511"/>
      <c r="Q153" s="425"/>
      <c r="R153" s="511"/>
      <c r="S153" s="425"/>
      <c r="T153" s="511"/>
      <c r="U153" s="425"/>
      <c r="V153" s="425"/>
      <c r="W153" s="425"/>
      <c r="X153" s="425"/>
      <c r="Y153" s="425"/>
      <c r="Z153" s="425"/>
      <c r="AA153" s="425"/>
      <c r="AB153" s="425"/>
      <c r="AC153" s="425"/>
    </row>
    <row r="154" ht="15.75" customHeight="1">
      <c r="A154" s="425"/>
      <c r="B154" s="425"/>
      <c r="C154" s="425"/>
      <c r="D154" s="511"/>
      <c r="E154" s="425"/>
      <c r="F154" s="511"/>
      <c r="G154" s="425"/>
      <c r="H154" s="511"/>
      <c r="I154" s="425"/>
      <c r="J154" s="511"/>
      <c r="K154" s="425"/>
      <c r="L154" s="511"/>
      <c r="M154" s="425"/>
      <c r="N154" s="511"/>
      <c r="O154" s="425"/>
      <c r="P154" s="511"/>
      <c r="Q154" s="425"/>
      <c r="R154" s="511"/>
      <c r="S154" s="425"/>
      <c r="T154" s="511"/>
      <c r="U154" s="425"/>
      <c r="V154" s="425"/>
      <c r="W154" s="425"/>
      <c r="X154" s="425"/>
      <c r="Y154" s="425"/>
      <c r="Z154" s="425"/>
      <c r="AA154" s="425"/>
      <c r="AB154" s="425"/>
      <c r="AC154" s="425"/>
    </row>
    <row r="155" ht="15.75" customHeight="1">
      <c r="A155" s="425"/>
      <c r="B155" s="425"/>
      <c r="C155" s="425"/>
      <c r="D155" s="511"/>
      <c r="E155" s="425"/>
      <c r="F155" s="511"/>
      <c r="G155" s="425"/>
      <c r="H155" s="511"/>
      <c r="I155" s="425"/>
      <c r="J155" s="511"/>
      <c r="K155" s="425"/>
      <c r="L155" s="511"/>
      <c r="M155" s="425"/>
      <c r="N155" s="511"/>
      <c r="O155" s="425"/>
      <c r="P155" s="511"/>
      <c r="Q155" s="425"/>
      <c r="R155" s="511"/>
      <c r="S155" s="425"/>
      <c r="T155" s="511"/>
      <c r="U155" s="425"/>
      <c r="V155" s="425"/>
      <c r="W155" s="425"/>
      <c r="X155" s="425"/>
      <c r="Y155" s="425"/>
      <c r="Z155" s="425"/>
      <c r="AA155" s="425"/>
      <c r="AB155" s="425"/>
      <c r="AC155" s="425"/>
    </row>
    <row r="156" ht="15.75" customHeight="1">
      <c r="A156" s="425"/>
      <c r="B156" s="425"/>
      <c r="C156" s="425"/>
      <c r="D156" s="511"/>
      <c r="E156" s="425"/>
      <c r="F156" s="511"/>
      <c r="G156" s="425"/>
      <c r="H156" s="511"/>
      <c r="I156" s="425"/>
      <c r="J156" s="511"/>
      <c r="K156" s="425"/>
      <c r="L156" s="511"/>
      <c r="M156" s="425"/>
      <c r="N156" s="511"/>
      <c r="O156" s="425"/>
      <c r="P156" s="511"/>
      <c r="Q156" s="425"/>
      <c r="R156" s="511"/>
      <c r="S156" s="425"/>
      <c r="T156" s="511"/>
      <c r="U156" s="425"/>
      <c r="V156" s="425"/>
      <c r="W156" s="425"/>
      <c r="X156" s="425"/>
      <c r="Y156" s="425"/>
      <c r="Z156" s="425"/>
      <c r="AA156" s="425"/>
      <c r="AB156" s="425"/>
      <c r="AC156" s="425"/>
    </row>
    <row r="157" ht="15.75" customHeight="1">
      <c r="A157" s="425"/>
      <c r="B157" s="425"/>
      <c r="C157" s="425"/>
      <c r="D157" s="511"/>
      <c r="E157" s="425"/>
      <c r="F157" s="511"/>
      <c r="G157" s="425"/>
      <c r="H157" s="511"/>
      <c r="I157" s="425"/>
      <c r="J157" s="511"/>
      <c r="K157" s="425"/>
      <c r="L157" s="511"/>
      <c r="M157" s="425"/>
      <c r="N157" s="511"/>
      <c r="O157" s="425"/>
      <c r="P157" s="511"/>
      <c r="Q157" s="425"/>
      <c r="R157" s="511"/>
      <c r="S157" s="425"/>
      <c r="T157" s="511"/>
      <c r="U157" s="425"/>
      <c r="V157" s="425"/>
      <c r="W157" s="425"/>
      <c r="X157" s="425"/>
      <c r="Y157" s="425"/>
      <c r="Z157" s="425"/>
      <c r="AA157" s="425"/>
      <c r="AB157" s="425"/>
      <c r="AC157" s="425"/>
    </row>
    <row r="158" ht="15.75" customHeight="1">
      <c r="A158" s="425"/>
      <c r="B158" s="425"/>
      <c r="C158" s="425"/>
      <c r="D158" s="511"/>
      <c r="E158" s="425"/>
      <c r="F158" s="511"/>
      <c r="G158" s="425"/>
      <c r="H158" s="511"/>
      <c r="I158" s="425"/>
      <c r="J158" s="511"/>
      <c r="K158" s="425"/>
      <c r="L158" s="511"/>
      <c r="M158" s="425"/>
      <c r="N158" s="511"/>
      <c r="O158" s="425"/>
      <c r="P158" s="511"/>
      <c r="Q158" s="425"/>
      <c r="R158" s="511"/>
      <c r="S158" s="425"/>
      <c r="T158" s="511"/>
      <c r="U158" s="425"/>
      <c r="V158" s="425"/>
      <c r="W158" s="425"/>
      <c r="X158" s="425"/>
      <c r="Y158" s="425"/>
      <c r="Z158" s="425"/>
      <c r="AA158" s="425"/>
      <c r="AB158" s="425"/>
      <c r="AC158" s="425"/>
    </row>
    <row r="159" ht="15.75" customHeight="1">
      <c r="A159" s="425"/>
      <c r="B159" s="425"/>
      <c r="C159" s="425"/>
      <c r="D159" s="511"/>
      <c r="E159" s="425"/>
      <c r="F159" s="511"/>
      <c r="G159" s="425"/>
      <c r="H159" s="511"/>
      <c r="I159" s="425"/>
      <c r="J159" s="511"/>
      <c r="K159" s="425"/>
      <c r="L159" s="511"/>
      <c r="M159" s="425"/>
      <c r="N159" s="511"/>
      <c r="O159" s="425"/>
      <c r="P159" s="511"/>
      <c r="Q159" s="425"/>
      <c r="R159" s="511"/>
      <c r="S159" s="425"/>
      <c r="T159" s="511"/>
      <c r="U159" s="425"/>
      <c r="V159" s="425"/>
      <c r="W159" s="425"/>
      <c r="X159" s="425"/>
      <c r="Y159" s="425"/>
      <c r="Z159" s="425"/>
      <c r="AA159" s="425"/>
      <c r="AB159" s="425"/>
      <c r="AC159" s="425"/>
    </row>
    <row r="160" ht="15.75" customHeight="1">
      <c r="A160" s="425"/>
      <c r="B160" s="425"/>
      <c r="C160" s="425"/>
      <c r="D160" s="511"/>
      <c r="E160" s="425"/>
      <c r="F160" s="511"/>
      <c r="G160" s="425"/>
      <c r="H160" s="511"/>
      <c r="I160" s="425"/>
      <c r="J160" s="511"/>
      <c r="K160" s="425"/>
      <c r="L160" s="511"/>
      <c r="M160" s="425"/>
      <c r="N160" s="511"/>
      <c r="O160" s="425"/>
      <c r="P160" s="511"/>
      <c r="Q160" s="425"/>
      <c r="R160" s="511"/>
      <c r="S160" s="425"/>
      <c r="T160" s="511"/>
      <c r="U160" s="425"/>
      <c r="V160" s="425"/>
      <c r="W160" s="425"/>
      <c r="X160" s="425"/>
      <c r="Y160" s="425"/>
      <c r="Z160" s="425"/>
      <c r="AA160" s="425"/>
      <c r="AB160" s="425"/>
      <c r="AC160" s="425"/>
    </row>
    <row r="161" ht="15.75" customHeight="1">
      <c r="A161" s="425"/>
      <c r="B161" s="425"/>
      <c r="C161" s="425"/>
      <c r="D161" s="511"/>
      <c r="E161" s="425"/>
      <c r="F161" s="511"/>
      <c r="G161" s="425"/>
      <c r="H161" s="511"/>
      <c r="I161" s="425"/>
      <c r="J161" s="511"/>
      <c r="K161" s="425"/>
      <c r="L161" s="511"/>
      <c r="M161" s="425"/>
      <c r="N161" s="511"/>
      <c r="O161" s="425"/>
      <c r="P161" s="511"/>
      <c r="Q161" s="425"/>
      <c r="R161" s="511"/>
      <c r="S161" s="425"/>
      <c r="T161" s="511"/>
      <c r="U161" s="425"/>
      <c r="V161" s="425"/>
      <c r="W161" s="425"/>
      <c r="X161" s="425"/>
      <c r="Y161" s="425"/>
      <c r="Z161" s="425"/>
      <c r="AA161" s="425"/>
      <c r="AB161" s="425"/>
      <c r="AC161" s="425"/>
    </row>
    <row r="162" ht="15.75" customHeight="1">
      <c r="A162" s="425"/>
      <c r="B162" s="425"/>
      <c r="C162" s="425"/>
      <c r="D162" s="511"/>
      <c r="E162" s="425"/>
      <c r="F162" s="511"/>
      <c r="G162" s="425"/>
      <c r="H162" s="511"/>
      <c r="I162" s="425"/>
      <c r="J162" s="511"/>
      <c r="K162" s="425"/>
      <c r="L162" s="511"/>
      <c r="M162" s="425"/>
      <c r="N162" s="511"/>
      <c r="O162" s="425"/>
      <c r="P162" s="511"/>
      <c r="Q162" s="425"/>
      <c r="R162" s="511"/>
      <c r="S162" s="425"/>
      <c r="T162" s="511"/>
      <c r="U162" s="425"/>
      <c r="V162" s="425"/>
      <c r="W162" s="425"/>
      <c r="X162" s="425"/>
      <c r="Y162" s="425"/>
      <c r="Z162" s="425"/>
      <c r="AA162" s="425"/>
      <c r="AB162" s="425"/>
      <c r="AC162" s="425"/>
    </row>
    <row r="163" ht="15.75" customHeight="1">
      <c r="A163" s="425"/>
      <c r="B163" s="425"/>
      <c r="C163" s="425"/>
      <c r="D163" s="511"/>
      <c r="E163" s="425"/>
      <c r="F163" s="511"/>
      <c r="G163" s="425"/>
      <c r="H163" s="511"/>
      <c r="I163" s="425"/>
      <c r="J163" s="511"/>
      <c r="K163" s="425"/>
      <c r="L163" s="511"/>
      <c r="M163" s="425"/>
      <c r="N163" s="511"/>
      <c r="O163" s="425"/>
      <c r="P163" s="511"/>
      <c r="Q163" s="425"/>
      <c r="R163" s="511"/>
      <c r="S163" s="425"/>
      <c r="T163" s="511"/>
      <c r="U163" s="425"/>
      <c r="V163" s="425"/>
      <c r="W163" s="425"/>
      <c r="X163" s="425"/>
      <c r="Y163" s="425"/>
      <c r="Z163" s="425"/>
      <c r="AA163" s="425"/>
      <c r="AB163" s="425"/>
      <c r="AC163" s="425"/>
    </row>
    <row r="164" ht="15.75" customHeight="1">
      <c r="A164" s="425"/>
      <c r="B164" s="425"/>
      <c r="C164" s="425"/>
      <c r="D164" s="511"/>
      <c r="E164" s="425"/>
      <c r="F164" s="511"/>
      <c r="G164" s="425"/>
      <c r="H164" s="511"/>
      <c r="I164" s="425"/>
      <c r="J164" s="511"/>
      <c r="K164" s="425"/>
      <c r="L164" s="511"/>
      <c r="M164" s="425"/>
      <c r="N164" s="511"/>
      <c r="O164" s="425"/>
      <c r="P164" s="511"/>
      <c r="Q164" s="425"/>
      <c r="R164" s="511"/>
      <c r="S164" s="425"/>
      <c r="T164" s="511"/>
      <c r="U164" s="425"/>
      <c r="V164" s="425"/>
      <c r="W164" s="425"/>
      <c r="X164" s="425"/>
      <c r="Y164" s="425"/>
      <c r="Z164" s="425"/>
      <c r="AA164" s="425"/>
      <c r="AB164" s="425"/>
      <c r="AC164" s="425"/>
    </row>
    <row r="165" ht="15.75" customHeight="1">
      <c r="A165" s="425"/>
      <c r="B165" s="425"/>
      <c r="C165" s="425"/>
      <c r="D165" s="511"/>
      <c r="E165" s="425"/>
      <c r="F165" s="511"/>
      <c r="G165" s="425"/>
      <c r="H165" s="511"/>
      <c r="I165" s="425"/>
      <c r="J165" s="511"/>
      <c r="K165" s="425"/>
      <c r="L165" s="511"/>
      <c r="M165" s="425"/>
      <c r="N165" s="511"/>
      <c r="O165" s="425"/>
      <c r="P165" s="511"/>
      <c r="Q165" s="425"/>
      <c r="R165" s="511"/>
      <c r="S165" s="425"/>
      <c r="T165" s="511"/>
      <c r="U165" s="425"/>
      <c r="V165" s="425"/>
      <c r="W165" s="425"/>
      <c r="X165" s="425"/>
      <c r="Y165" s="425"/>
      <c r="Z165" s="425"/>
      <c r="AA165" s="425"/>
      <c r="AB165" s="425"/>
      <c r="AC165" s="425"/>
    </row>
    <row r="166" ht="15.75" customHeight="1">
      <c r="A166" s="425"/>
      <c r="B166" s="425"/>
      <c r="C166" s="425"/>
      <c r="D166" s="511"/>
      <c r="E166" s="425"/>
      <c r="F166" s="511"/>
      <c r="G166" s="425"/>
      <c r="H166" s="511"/>
      <c r="I166" s="425"/>
      <c r="J166" s="511"/>
      <c r="K166" s="425"/>
      <c r="L166" s="511"/>
      <c r="M166" s="425"/>
      <c r="N166" s="511"/>
      <c r="O166" s="425"/>
      <c r="P166" s="511"/>
      <c r="Q166" s="425"/>
      <c r="R166" s="511"/>
      <c r="S166" s="425"/>
      <c r="T166" s="511"/>
      <c r="U166" s="425"/>
      <c r="V166" s="425"/>
      <c r="W166" s="425"/>
      <c r="X166" s="425"/>
      <c r="Y166" s="425"/>
      <c r="Z166" s="425"/>
      <c r="AA166" s="425"/>
      <c r="AB166" s="425"/>
      <c r="AC166" s="425"/>
    </row>
    <row r="167" ht="15.75" customHeight="1">
      <c r="A167" s="425"/>
      <c r="B167" s="425"/>
      <c r="C167" s="425"/>
      <c r="D167" s="511"/>
      <c r="E167" s="425"/>
      <c r="F167" s="511"/>
      <c r="G167" s="425"/>
      <c r="H167" s="511"/>
      <c r="I167" s="425"/>
      <c r="J167" s="511"/>
      <c r="K167" s="425"/>
      <c r="L167" s="511"/>
      <c r="M167" s="425"/>
      <c r="N167" s="511"/>
      <c r="O167" s="425"/>
      <c r="P167" s="511"/>
      <c r="Q167" s="425"/>
      <c r="R167" s="511"/>
      <c r="S167" s="425"/>
      <c r="T167" s="511"/>
      <c r="U167" s="425"/>
      <c r="V167" s="425"/>
      <c r="W167" s="425"/>
      <c r="X167" s="425"/>
      <c r="Y167" s="425"/>
      <c r="Z167" s="425"/>
      <c r="AA167" s="425"/>
      <c r="AB167" s="425"/>
      <c r="AC167" s="425"/>
    </row>
    <row r="168" ht="15.75" customHeight="1">
      <c r="A168" s="425"/>
      <c r="B168" s="425"/>
      <c r="C168" s="425"/>
      <c r="D168" s="511"/>
      <c r="E168" s="425"/>
      <c r="F168" s="511"/>
      <c r="G168" s="425"/>
      <c r="H168" s="511"/>
      <c r="I168" s="425"/>
      <c r="J168" s="511"/>
      <c r="K168" s="425"/>
      <c r="L168" s="511"/>
      <c r="M168" s="425"/>
      <c r="N168" s="511"/>
      <c r="O168" s="425"/>
      <c r="P168" s="511"/>
      <c r="Q168" s="425"/>
      <c r="R168" s="511"/>
      <c r="S168" s="425"/>
      <c r="T168" s="511"/>
      <c r="U168" s="425"/>
      <c r="V168" s="425"/>
      <c r="W168" s="425"/>
      <c r="X168" s="425"/>
      <c r="Y168" s="425"/>
      <c r="Z168" s="425"/>
      <c r="AA168" s="425"/>
      <c r="AB168" s="425"/>
      <c r="AC168" s="425"/>
    </row>
    <row r="169" ht="15.75" customHeight="1">
      <c r="A169" s="425"/>
      <c r="B169" s="425"/>
      <c r="C169" s="425"/>
      <c r="D169" s="511"/>
      <c r="E169" s="425"/>
      <c r="F169" s="511"/>
      <c r="G169" s="425"/>
      <c r="H169" s="511"/>
      <c r="I169" s="425"/>
      <c r="J169" s="511"/>
      <c r="K169" s="425"/>
      <c r="L169" s="511"/>
      <c r="M169" s="425"/>
      <c r="N169" s="511"/>
      <c r="O169" s="425"/>
      <c r="P169" s="511"/>
      <c r="Q169" s="425"/>
      <c r="R169" s="511"/>
      <c r="S169" s="425"/>
      <c r="T169" s="511"/>
      <c r="U169" s="425"/>
      <c r="V169" s="425"/>
      <c r="W169" s="425"/>
      <c r="X169" s="425"/>
      <c r="Y169" s="425"/>
      <c r="Z169" s="425"/>
      <c r="AA169" s="425"/>
      <c r="AB169" s="425"/>
      <c r="AC169" s="425"/>
    </row>
    <row r="170" ht="15.75" customHeight="1">
      <c r="A170" s="425"/>
      <c r="B170" s="425"/>
      <c r="C170" s="425"/>
      <c r="D170" s="511"/>
      <c r="E170" s="425"/>
      <c r="F170" s="511"/>
      <c r="G170" s="425"/>
      <c r="H170" s="511"/>
      <c r="I170" s="425"/>
      <c r="J170" s="511"/>
      <c r="K170" s="425"/>
      <c r="L170" s="511"/>
      <c r="M170" s="425"/>
      <c r="N170" s="511"/>
      <c r="O170" s="425"/>
      <c r="P170" s="511"/>
      <c r="Q170" s="425"/>
      <c r="R170" s="511"/>
      <c r="S170" s="425"/>
      <c r="T170" s="511"/>
      <c r="U170" s="425"/>
      <c r="V170" s="425"/>
      <c r="W170" s="425"/>
      <c r="X170" s="425"/>
      <c r="Y170" s="425"/>
      <c r="Z170" s="425"/>
      <c r="AA170" s="425"/>
      <c r="AB170" s="425"/>
      <c r="AC170" s="425"/>
    </row>
    <row r="171" ht="15.75" customHeight="1">
      <c r="A171" s="425"/>
      <c r="B171" s="425"/>
      <c r="C171" s="425"/>
      <c r="D171" s="511"/>
      <c r="E171" s="425"/>
      <c r="F171" s="511"/>
      <c r="G171" s="425"/>
      <c r="H171" s="511"/>
      <c r="I171" s="425"/>
      <c r="J171" s="511"/>
      <c r="K171" s="425"/>
      <c r="L171" s="511"/>
      <c r="M171" s="425"/>
      <c r="N171" s="511"/>
      <c r="O171" s="425"/>
      <c r="P171" s="511"/>
      <c r="Q171" s="425"/>
      <c r="R171" s="511"/>
      <c r="S171" s="425"/>
      <c r="T171" s="511"/>
      <c r="U171" s="425"/>
      <c r="V171" s="425"/>
      <c r="W171" s="425"/>
      <c r="X171" s="425"/>
      <c r="Y171" s="425"/>
      <c r="Z171" s="425"/>
      <c r="AA171" s="425"/>
      <c r="AB171" s="425"/>
      <c r="AC171" s="425"/>
    </row>
    <row r="172" ht="15.75" customHeight="1">
      <c r="A172" s="425"/>
      <c r="B172" s="425"/>
      <c r="C172" s="425"/>
      <c r="D172" s="511"/>
      <c r="E172" s="425"/>
      <c r="F172" s="511"/>
      <c r="G172" s="425"/>
      <c r="H172" s="511"/>
      <c r="I172" s="425"/>
      <c r="J172" s="511"/>
      <c r="K172" s="425"/>
      <c r="L172" s="511"/>
      <c r="M172" s="425"/>
      <c r="N172" s="511"/>
      <c r="O172" s="425"/>
      <c r="P172" s="511"/>
      <c r="Q172" s="425"/>
      <c r="R172" s="511"/>
      <c r="S172" s="425"/>
      <c r="T172" s="511"/>
      <c r="U172" s="425"/>
      <c r="V172" s="425"/>
      <c r="W172" s="425"/>
      <c r="X172" s="425"/>
      <c r="Y172" s="425"/>
      <c r="Z172" s="425"/>
      <c r="AA172" s="425"/>
      <c r="AB172" s="425"/>
      <c r="AC172" s="425"/>
    </row>
    <row r="173" ht="15.75" customHeight="1">
      <c r="A173" s="425"/>
      <c r="B173" s="425"/>
      <c r="C173" s="425"/>
      <c r="D173" s="425"/>
      <c r="E173" s="425"/>
      <c r="F173" s="511"/>
      <c r="G173" s="425"/>
      <c r="H173" s="511"/>
      <c r="I173" s="425"/>
      <c r="J173" s="425"/>
      <c r="K173" s="425"/>
      <c r="L173" s="511"/>
      <c r="M173" s="425"/>
      <c r="N173" s="511"/>
      <c r="O173" s="425"/>
      <c r="P173" s="425"/>
      <c r="Q173" s="425"/>
      <c r="R173" s="511"/>
      <c r="S173" s="425"/>
      <c r="T173" s="511"/>
      <c r="U173" s="425"/>
      <c r="V173" s="425"/>
      <c r="W173" s="425"/>
      <c r="X173" s="425"/>
      <c r="Y173" s="425"/>
      <c r="Z173" s="425"/>
      <c r="AA173" s="425"/>
      <c r="AB173" s="425"/>
      <c r="AC173" s="425"/>
    </row>
    <row r="174" ht="15.75" customHeight="1">
      <c r="A174" s="425"/>
      <c r="B174" s="425"/>
      <c r="C174" s="425"/>
      <c r="D174" s="425"/>
      <c r="E174" s="425"/>
      <c r="F174" s="511"/>
      <c r="G174" s="425"/>
      <c r="H174" s="511"/>
      <c r="I174" s="425"/>
      <c r="J174" s="425"/>
      <c r="K174" s="425"/>
      <c r="L174" s="511"/>
      <c r="M174" s="425"/>
      <c r="N174" s="511"/>
      <c r="O174" s="425"/>
      <c r="P174" s="425"/>
      <c r="Q174" s="425"/>
      <c r="R174" s="511"/>
      <c r="S174" s="425"/>
      <c r="T174" s="511"/>
      <c r="U174" s="425"/>
      <c r="V174" s="425"/>
      <c r="W174" s="425"/>
      <c r="X174" s="425"/>
      <c r="Y174" s="425"/>
      <c r="Z174" s="425"/>
      <c r="AA174" s="425"/>
      <c r="AB174" s="425"/>
      <c r="AC174" s="425"/>
    </row>
    <row r="175" ht="15.75" customHeight="1">
      <c r="A175" s="425"/>
      <c r="B175" s="425"/>
      <c r="C175" s="425"/>
      <c r="D175" s="425"/>
      <c r="E175" s="425"/>
      <c r="F175" s="511"/>
      <c r="G175" s="425"/>
      <c r="H175" s="511"/>
      <c r="I175" s="425"/>
      <c r="J175" s="425"/>
      <c r="K175" s="425"/>
      <c r="L175" s="511"/>
      <c r="M175" s="425"/>
      <c r="N175" s="511"/>
      <c r="O175" s="425"/>
      <c r="P175" s="425"/>
      <c r="Q175" s="425"/>
      <c r="R175" s="511"/>
      <c r="S175" s="425"/>
      <c r="T175" s="511"/>
      <c r="U175" s="425"/>
      <c r="V175" s="425"/>
      <c r="W175" s="425"/>
      <c r="X175" s="425"/>
      <c r="Y175" s="425"/>
      <c r="Z175" s="425"/>
      <c r="AA175" s="425"/>
      <c r="AB175" s="425"/>
      <c r="AC175" s="425"/>
    </row>
    <row r="176" ht="15.75" customHeight="1">
      <c r="A176" s="425"/>
      <c r="B176" s="425"/>
      <c r="C176" s="425"/>
      <c r="D176" s="425"/>
      <c r="E176" s="425"/>
      <c r="F176" s="511"/>
      <c r="G176" s="425"/>
      <c r="H176" s="511"/>
      <c r="I176" s="425"/>
      <c r="J176" s="425"/>
      <c r="K176" s="425"/>
      <c r="L176" s="511"/>
      <c r="M176" s="425"/>
      <c r="N176" s="511"/>
      <c r="O176" s="425"/>
      <c r="P176" s="425"/>
      <c r="Q176" s="425"/>
      <c r="R176" s="511"/>
      <c r="S176" s="425"/>
      <c r="T176" s="511"/>
      <c r="U176" s="425"/>
      <c r="V176" s="425"/>
      <c r="W176" s="425"/>
      <c r="X176" s="425"/>
      <c r="Y176" s="425"/>
      <c r="Z176" s="425"/>
      <c r="AA176" s="425"/>
      <c r="AB176" s="425"/>
      <c r="AC176" s="425"/>
    </row>
    <row r="177" ht="15.75" customHeight="1">
      <c r="A177" s="425"/>
      <c r="B177" s="425"/>
      <c r="C177" s="425"/>
      <c r="D177" s="425"/>
      <c r="E177" s="425"/>
      <c r="F177" s="511"/>
      <c r="G177" s="425"/>
      <c r="H177" s="511"/>
      <c r="I177" s="425"/>
      <c r="J177" s="425"/>
      <c r="K177" s="425"/>
      <c r="L177" s="511"/>
      <c r="M177" s="425"/>
      <c r="N177" s="511"/>
      <c r="O177" s="425"/>
      <c r="P177" s="425"/>
      <c r="Q177" s="425"/>
      <c r="R177" s="511"/>
      <c r="S177" s="425"/>
      <c r="T177" s="511"/>
      <c r="U177" s="425"/>
      <c r="V177" s="425"/>
      <c r="W177" s="425"/>
      <c r="X177" s="425"/>
      <c r="Y177" s="425"/>
      <c r="Z177" s="425"/>
      <c r="AA177" s="425"/>
      <c r="AB177" s="425"/>
      <c r="AC177" s="425"/>
    </row>
    <row r="178" ht="15.75" customHeight="1">
      <c r="A178" s="425"/>
      <c r="B178" s="425"/>
      <c r="C178" s="425"/>
      <c r="D178" s="425"/>
      <c r="E178" s="425"/>
      <c r="F178" s="511"/>
      <c r="G178" s="425"/>
      <c r="H178" s="511"/>
      <c r="I178" s="425"/>
      <c r="J178" s="425"/>
      <c r="K178" s="425"/>
      <c r="L178" s="511"/>
      <c r="M178" s="425"/>
      <c r="N178" s="511"/>
      <c r="O178" s="425"/>
      <c r="P178" s="425"/>
      <c r="Q178" s="425"/>
      <c r="R178" s="511"/>
      <c r="S178" s="425"/>
      <c r="T178" s="511"/>
      <c r="U178" s="425"/>
      <c r="V178" s="425"/>
      <c r="W178" s="425"/>
      <c r="X178" s="425"/>
      <c r="Y178" s="425"/>
      <c r="Z178" s="425"/>
      <c r="AA178" s="425"/>
      <c r="AB178" s="425"/>
      <c r="AC178" s="425"/>
    </row>
    <row r="179" ht="15.75" customHeight="1">
      <c r="A179" s="425"/>
      <c r="B179" s="425"/>
      <c r="C179" s="425"/>
      <c r="D179" s="425"/>
      <c r="E179" s="425"/>
      <c r="F179" s="511"/>
      <c r="G179" s="425"/>
      <c r="H179" s="511"/>
      <c r="I179" s="425"/>
      <c r="J179" s="425"/>
      <c r="K179" s="425"/>
      <c r="L179" s="511"/>
      <c r="M179" s="425"/>
      <c r="N179" s="511"/>
      <c r="O179" s="425"/>
      <c r="P179" s="425"/>
      <c r="Q179" s="425"/>
      <c r="R179" s="511"/>
      <c r="S179" s="425"/>
      <c r="T179" s="511"/>
      <c r="U179" s="425"/>
      <c r="V179" s="425"/>
      <c r="W179" s="425"/>
      <c r="X179" s="425"/>
      <c r="Y179" s="425"/>
      <c r="Z179" s="425"/>
      <c r="AA179" s="425"/>
      <c r="AB179" s="425"/>
      <c r="AC179" s="425"/>
    </row>
    <row r="180" ht="15.75" customHeight="1">
      <c r="A180" s="425"/>
      <c r="B180" s="425"/>
      <c r="C180" s="425"/>
      <c r="D180" s="425"/>
      <c r="E180" s="425"/>
      <c r="F180" s="511"/>
      <c r="G180" s="425"/>
      <c r="H180" s="511"/>
      <c r="I180" s="425"/>
      <c r="J180" s="425"/>
      <c r="K180" s="425"/>
      <c r="L180" s="511"/>
      <c r="M180" s="425"/>
      <c r="N180" s="511"/>
      <c r="O180" s="425"/>
      <c r="P180" s="425"/>
      <c r="Q180" s="425"/>
      <c r="R180" s="511"/>
      <c r="S180" s="425"/>
      <c r="T180" s="511"/>
      <c r="U180" s="425"/>
      <c r="V180" s="425"/>
      <c r="W180" s="425"/>
      <c r="X180" s="425"/>
      <c r="Y180" s="425"/>
      <c r="Z180" s="425"/>
      <c r="AA180" s="425"/>
      <c r="AB180" s="425"/>
      <c r="AC180" s="425"/>
    </row>
    <row r="181" ht="15.75" customHeight="1">
      <c r="A181" s="425"/>
      <c r="B181" s="425"/>
      <c r="C181" s="425"/>
      <c r="D181" s="425"/>
      <c r="E181" s="425"/>
      <c r="F181" s="511"/>
      <c r="G181" s="425"/>
      <c r="H181" s="511"/>
      <c r="I181" s="425"/>
      <c r="J181" s="425"/>
      <c r="K181" s="425"/>
      <c r="L181" s="511"/>
      <c r="M181" s="425"/>
      <c r="N181" s="511"/>
      <c r="O181" s="425"/>
      <c r="P181" s="425"/>
      <c r="Q181" s="425"/>
      <c r="R181" s="511"/>
      <c r="S181" s="425"/>
      <c r="T181" s="511"/>
      <c r="U181" s="425"/>
      <c r="V181" s="425"/>
      <c r="W181" s="425"/>
      <c r="X181" s="425"/>
      <c r="Y181" s="425"/>
      <c r="Z181" s="425"/>
      <c r="AA181" s="425"/>
      <c r="AB181" s="425"/>
      <c r="AC181" s="425"/>
    </row>
    <row r="182" ht="15.75" customHeight="1">
      <c r="A182" s="425"/>
      <c r="B182" s="425"/>
      <c r="C182" s="425"/>
      <c r="D182" s="425"/>
      <c r="E182" s="425"/>
      <c r="F182" s="511"/>
      <c r="G182" s="425"/>
      <c r="H182" s="511"/>
      <c r="I182" s="425"/>
      <c r="J182" s="425"/>
      <c r="K182" s="425"/>
      <c r="L182" s="511"/>
      <c r="M182" s="425"/>
      <c r="N182" s="511"/>
      <c r="O182" s="425"/>
      <c r="P182" s="425"/>
      <c r="Q182" s="425"/>
      <c r="R182" s="511"/>
      <c r="S182" s="425"/>
      <c r="T182" s="511"/>
      <c r="U182" s="425"/>
      <c r="V182" s="425"/>
      <c r="W182" s="425"/>
      <c r="X182" s="425"/>
      <c r="Y182" s="425"/>
      <c r="Z182" s="425"/>
      <c r="AA182" s="425"/>
      <c r="AB182" s="425"/>
      <c r="AC182" s="425"/>
    </row>
    <row r="183" ht="15.75" customHeight="1">
      <c r="A183" s="425"/>
      <c r="B183" s="425"/>
      <c r="C183" s="425"/>
      <c r="D183" s="425"/>
      <c r="E183" s="425"/>
      <c r="F183" s="511"/>
      <c r="G183" s="425"/>
      <c r="H183" s="511"/>
      <c r="I183" s="425"/>
      <c r="J183" s="425"/>
      <c r="K183" s="425"/>
      <c r="L183" s="511"/>
      <c r="M183" s="425"/>
      <c r="N183" s="511"/>
      <c r="O183" s="425"/>
      <c r="P183" s="425"/>
      <c r="Q183" s="425"/>
      <c r="R183" s="511"/>
      <c r="S183" s="425"/>
      <c r="T183" s="511"/>
      <c r="U183" s="425"/>
      <c r="V183" s="425"/>
      <c r="W183" s="425"/>
      <c r="X183" s="425"/>
      <c r="Y183" s="425"/>
      <c r="Z183" s="425"/>
      <c r="AA183" s="425"/>
      <c r="AB183" s="425"/>
      <c r="AC183" s="425"/>
    </row>
    <row r="184" ht="15.75" customHeight="1">
      <c r="A184" s="425"/>
      <c r="B184" s="425"/>
      <c r="C184" s="425"/>
      <c r="D184" s="425"/>
      <c r="E184" s="425"/>
      <c r="F184" s="511"/>
      <c r="G184" s="425"/>
      <c r="H184" s="511"/>
      <c r="I184" s="425"/>
      <c r="J184" s="425"/>
      <c r="K184" s="425"/>
      <c r="L184" s="511"/>
      <c r="M184" s="425"/>
      <c r="N184" s="511"/>
      <c r="O184" s="425"/>
      <c r="P184" s="425"/>
      <c r="Q184" s="425"/>
      <c r="R184" s="511"/>
      <c r="S184" s="425"/>
      <c r="T184" s="511"/>
      <c r="U184" s="425"/>
      <c r="V184" s="425"/>
      <c r="W184" s="425"/>
      <c r="X184" s="425"/>
      <c r="Y184" s="425"/>
      <c r="Z184" s="425"/>
      <c r="AA184" s="425"/>
      <c r="AB184" s="425"/>
      <c r="AC184" s="425"/>
    </row>
    <row r="185" ht="15.75" customHeight="1">
      <c r="A185" s="425"/>
      <c r="B185" s="425"/>
      <c r="C185" s="425"/>
      <c r="D185" s="425"/>
      <c r="E185" s="425"/>
      <c r="F185" s="511"/>
      <c r="G185" s="425"/>
      <c r="H185" s="511"/>
      <c r="I185" s="425"/>
      <c r="J185" s="425"/>
      <c r="K185" s="425"/>
      <c r="L185" s="511"/>
      <c r="M185" s="425"/>
      <c r="N185" s="511"/>
      <c r="O185" s="425"/>
      <c r="P185" s="425"/>
      <c r="Q185" s="425"/>
      <c r="R185" s="511"/>
      <c r="S185" s="425"/>
      <c r="T185" s="511"/>
      <c r="U185" s="425"/>
      <c r="V185" s="425"/>
      <c r="W185" s="425"/>
      <c r="X185" s="425"/>
      <c r="Y185" s="425"/>
      <c r="Z185" s="425"/>
      <c r="AA185" s="425"/>
      <c r="AB185" s="425"/>
      <c r="AC185" s="425"/>
    </row>
    <row r="186" ht="15.75" customHeight="1">
      <c r="A186" s="425"/>
      <c r="B186" s="425"/>
      <c r="C186" s="425"/>
      <c r="D186" s="425"/>
      <c r="E186" s="425"/>
      <c r="F186" s="511"/>
      <c r="G186" s="425"/>
      <c r="H186" s="511"/>
      <c r="I186" s="425"/>
      <c r="J186" s="425"/>
      <c r="K186" s="425"/>
      <c r="L186" s="511"/>
      <c r="M186" s="425"/>
      <c r="N186" s="511"/>
      <c r="O186" s="425"/>
      <c r="P186" s="425"/>
      <c r="Q186" s="425"/>
      <c r="R186" s="511"/>
      <c r="S186" s="425"/>
      <c r="T186" s="511"/>
      <c r="U186" s="425"/>
      <c r="V186" s="425"/>
      <c r="W186" s="425"/>
      <c r="X186" s="425"/>
      <c r="Y186" s="425"/>
      <c r="Z186" s="425"/>
      <c r="AA186" s="425"/>
      <c r="AB186" s="425"/>
      <c r="AC186" s="425"/>
    </row>
    <row r="187" ht="15.75" customHeight="1">
      <c r="A187" s="425"/>
      <c r="B187" s="425"/>
      <c r="C187" s="425"/>
      <c r="D187" s="425"/>
      <c r="E187" s="425"/>
      <c r="F187" s="511"/>
      <c r="G187" s="425"/>
      <c r="H187" s="511"/>
      <c r="I187" s="425"/>
      <c r="J187" s="425"/>
      <c r="K187" s="425"/>
      <c r="L187" s="511"/>
      <c r="M187" s="425"/>
      <c r="N187" s="511"/>
      <c r="O187" s="425"/>
      <c r="P187" s="425"/>
      <c r="Q187" s="425"/>
      <c r="R187" s="511"/>
      <c r="S187" s="425"/>
      <c r="T187" s="511"/>
      <c r="U187" s="425"/>
      <c r="V187" s="425"/>
      <c r="W187" s="425"/>
      <c r="X187" s="425"/>
      <c r="Y187" s="425"/>
      <c r="Z187" s="425"/>
      <c r="AA187" s="425"/>
      <c r="AB187" s="425"/>
      <c r="AC187" s="425"/>
    </row>
    <row r="188" ht="15.75" customHeight="1">
      <c r="A188" s="425"/>
      <c r="B188" s="425"/>
      <c r="C188" s="425"/>
      <c r="D188" s="425"/>
      <c r="E188" s="425"/>
      <c r="F188" s="511"/>
      <c r="G188" s="425"/>
      <c r="H188" s="511"/>
      <c r="I188" s="425"/>
      <c r="J188" s="425"/>
      <c r="K188" s="425"/>
      <c r="L188" s="511"/>
      <c r="M188" s="425"/>
      <c r="N188" s="511"/>
      <c r="O188" s="425"/>
      <c r="P188" s="425"/>
      <c r="Q188" s="425"/>
      <c r="R188" s="511"/>
      <c r="S188" s="425"/>
      <c r="T188" s="511"/>
      <c r="U188" s="425"/>
      <c r="V188" s="425"/>
      <c r="W188" s="425"/>
      <c r="X188" s="425"/>
      <c r="Y188" s="425"/>
      <c r="Z188" s="425"/>
      <c r="AA188" s="425"/>
      <c r="AB188" s="425"/>
      <c r="AC188" s="425"/>
    </row>
    <row r="189" ht="15.75" customHeight="1">
      <c r="A189" s="425"/>
      <c r="B189" s="425"/>
      <c r="C189" s="425"/>
      <c r="D189" s="425"/>
      <c r="E189" s="425"/>
      <c r="F189" s="511"/>
      <c r="G189" s="425"/>
      <c r="H189" s="511"/>
      <c r="I189" s="425"/>
      <c r="J189" s="425"/>
      <c r="K189" s="425"/>
      <c r="L189" s="511"/>
      <c r="M189" s="425"/>
      <c r="N189" s="511"/>
      <c r="O189" s="425"/>
      <c r="P189" s="425"/>
      <c r="Q189" s="425"/>
      <c r="R189" s="511"/>
      <c r="S189" s="425"/>
      <c r="T189" s="511"/>
      <c r="U189" s="425"/>
      <c r="V189" s="425"/>
      <c r="W189" s="425"/>
      <c r="X189" s="425"/>
      <c r="Y189" s="425"/>
      <c r="Z189" s="425"/>
      <c r="AA189" s="425"/>
      <c r="AB189" s="425"/>
      <c r="AC189" s="425"/>
    </row>
    <row r="190" ht="15.75" customHeight="1">
      <c r="A190" s="425"/>
      <c r="B190" s="425"/>
      <c r="C190" s="425"/>
      <c r="D190" s="425"/>
      <c r="E190" s="425"/>
      <c r="F190" s="511"/>
      <c r="G190" s="425"/>
      <c r="H190" s="511"/>
      <c r="I190" s="425"/>
      <c r="J190" s="425"/>
      <c r="K190" s="425"/>
      <c r="L190" s="511"/>
      <c r="M190" s="425"/>
      <c r="N190" s="511"/>
      <c r="O190" s="425"/>
      <c r="P190" s="425"/>
      <c r="Q190" s="425"/>
      <c r="R190" s="511"/>
      <c r="S190" s="425"/>
      <c r="T190" s="511"/>
      <c r="U190" s="425"/>
      <c r="V190" s="425"/>
      <c r="W190" s="425"/>
      <c r="X190" s="425"/>
      <c r="Y190" s="425"/>
      <c r="Z190" s="425"/>
      <c r="AA190" s="425"/>
      <c r="AB190" s="425"/>
      <c r="AC190" s="425"/>
    </row>
    <row r="191" ht="15.75" customHeight="1">
      <c r="A191" s="425"/>
      <c r="B191" s="425"/>
      <c r="C191" s="425"/>
      <c r="D191" s="425"/>
      <c r="E191" s="425"/>
      <c r="F191" s="511"/>
      <c r="G191" s="425"/>
      <c r="H191" s="511"/>
      <c r="I191" s="425"/>
      <c r="J191" s="425"/>
      <c r="K191" s="425"/>
      <c r="L191" s="511"/>
      <c r="M191" s="425"/>
      <c r="N191" s="511"/>
      <c r="O191" s="425"/>
      <c r="P191" s="425"/>
      <c r="Q191" s="425"/>
      <c r="R191" s="511"/>
      <c r="S191" s="425"/>
      <c r="T191" s="511"/>
      <c r="U191" s="425"/>
      <c r="V191" s="425"/>
      <c r="W191" s="425"/>
      <c r="X191" s="425"/>
      <c r="Y191" s="425"/>
      <c r="Z191" s="425"/>
      <c r="AA191" s="425"/>
      <c r="AB191" s="425"/>
      <c r="AC191" s="425"/>
    </row>
    <row r="192" ht="15.75" customHeight="1">
      <c r="A192" s="425"/>
      <c r="B192" s="425"/>
      <c r="C192" s="425"/>
      <c r="D192" s="425"/>
      <c r="E192" s="425"/>
      <c r="F192" s="511"/>
      <c r="G192" s="425"/>
      <c r="H192" s="511"/>
      <c r="I192" s="425"/>
      <c r="J192" s="425"/>
      <c r="K192" s="425"/>
      <c r="L192" s="511"/>
      <c r="M192" s="425"/>
      <c r="N192" s="511"/>
      <c r="O192" s="425"/>
      <c r="P192" s="425"/>
      <c r="Q192" s="425"/>
      <c r="R192" s="511"/>
      <c r="S192" s="425"/>
      <c r="T192" s="511"/>
      <c r="U192" s="425"/>
      <c r="V192" s="425"/>
      <c r="W192" s="425"/>
      <c r="X192" s="425"/>
      <c r="Y192" s="425"/>
      <c r="Z192" s="425"/>
      <c r="AA192" s="425"/>
      <c r="AB192" s="425"/>
      <c r="AC192" s="425"/>
    </row>
    <row r="193" ht="15.75" customHeight="1">
      <c r="A193" s="425"/>
      <c r="B193" s="425"/>
      <c r="C193" s="425"/>
      <c r="D193" s="425"/>
      <c r="E193" s="425"/>
      <c r="F193" s="511"/>
      <c r="G193" s="425"/>
      <c r="H193" s="511"/>
      <c r="I193" s="425"/>
      <c r="J193" s="425"/>
      <c r="K193" s="425"/>
      <c r="L193" s="511"/>
      <c r="M193" s="425"/>
      <c r="N193" s="511"/>
      <c r="O193" s="425"/>
      <c r="P193" s="425"/>
      <c r="Q193" s="425"/>
      <c r="R193" s="511"/>
      <c r="S193" s="425"/>
      <c r="T193" s="511"/>
      <c r="U193" s="425"/>
      <c r="V193" s="425"/>
      <c r="W193" s="425"/>
      <c r="X193" s="425"/>
      <c r="Y193" s="425"/>
      <c r="Z193" s="425"/>
      <c r="AA193" s="425"/>
      <c r="AB193" s="425"/>
      <c r="AC193" s="425"/>
    </row>
    <row r="194" ht="15.75" customHeight="1">
      <c r="A194" s="425"/>
      <c r="B194" s="425"/>
      <c r="C194" s="425"/>
      <c r="D194" s="425"/>
      <c r="E194" s="425"/>
      <c r="F194" s="511"/>
      <c r="G194" s="425"/>
      <c r="H194" s="511"/>
      <c r="I194" s="425"/>
      <c r="J194" s="425"/>
      <c r="K194" s="425"/>
      <c r="L194" s="511"/>
      <c r="M194" s="425"/>
      <c r="N194" s="511"/>
      <c r="O194" s="425"/>
      <c r="P194" s="425"/>
      <c r="Q194" s="425"/>
      <c r="R194" s="511"/>
      <c r="S194" s="425"/>
      <c r="T194" s="511"/>
      <c r="U194" s="425"/>
      <c r="V194" s="425"/>
      <c r="W194" s="425"/>
      <c r="X194" s="425"/>
      <c r="Y194" s="425"/>
      <c r="Z194" s="425"/>
      <c r="AA194" s="425"/>
      <c r="AB194" s="425"/>
      <c r="AC194" s="425"/>
    </row>
    <row r="195" ht="15.75" customHeight="1">
      <c r="A195" s="425"/>
      <c r="B195" s="425"/>
      <c r="C195" s="425"/>
      <c r="D195" s="425"/>
      <c r="E195" s="425"/>
      <c r="F195" s="511"/>
      <c r="G195" s="425"/>
      <c r="H195" s="511"/>
      <c r="I195" s="425"/>
      <c r="J195" s="425"/>
      <c r="K195" s="425"/>
      <c r="L195" s="511"/>
      <c r="M195" s="425"/>
      <c r="N195" s="511"/>
      <c r="O195" s="425"/>
      <c r="P195" s="425"/>
      <c r="Q195" s="425"/>
      <c r="R195" s="511"/>
      <c r="S195" s="425"/>
      <c r="T195" s="511"/>
      <c r="U195" s="425"/>
      <c r="V195" s="425"/>
      <c r="W195" s="425"/>
      <c r="X195" s="425"/>
      <c r="Y195" s="425"/>
      <c r="Z195" s="425"/>
      <c r="AA195" s="425"/>
      <c r="AB195" s="425"/>
      <c r="AC195" s="425"/>
    </row>
    <row r="196" ht="15.75" customHeight="1">
      <c r="A196" s="425"/>
      <c r="B196" s="425"/>
      <c r="C196" s="425"/>
      <c r="D196" s="425"/>
      <c r="E196" s="425"/>
      <c r="F196" s="511"/>
      <c r="G196" s="425"/>
      <c r="H196" s="511"/>
      <c r="I196" s="425"/>
      <c r="J196" s="425"/>
      <c r="K196" s="425"/>
      <c r="L196" s="511"/>
      <c r="M196" s="425"/>
      <c r="N196" s="511"/>
      <c r="O196" s="425"/>
      <c r="P196" s="425"/>
      <c r="Q196" s="425"/>
      <c r="R196" s="511"/>
      <c r="S196" s="425"/>
      <c r="T196" s="511"/>
      <c r="U196" s="425"/>
      <c r="V196" s="425"/>
      <c r="W196" s="425"/>
      <c r="X196" s="425"/>
      <c r="Y196" s="425"/>
      <c r="Z196" s="425"/>
      <c r="AA196" s="425"/>
      <c r="AB196" s="425"/>
      <c r="AC196" s="425"/>
    </row>
    <row r="197" ht="15.75" customHeight="1">
      <c r="A197" s="425"/>
      <c r="B197" s="425"/>
      <c r="C197" s="425"/>
      <c r="D197" s="425"/>
      <c r="E197" s="425"/>
      <c r="F197" s="511"/>
      <c r="G197" s="425"/>
      <c r="H197" s="511"/>
      <c r="I197" s="425"/>
      <c r="J197" s="425"/>
      <c r="K197" s="425"/>
      <c r="L197" s="511"/>
      <c r="M197" s="425"/>
      <c r="N197" s="511"/>
      <c r="O197" s="425"/>
      <c r="P197" s="425"/>
      <c r="Q197" s="425"/>
      <c r="R197" s="511"/>
      <c r="S197" s="425"/>
      <c r="T197" s="511"/>
      <c r="U197" s="425"/>
      <c r="V197" s="425"/>
      <c r="W197" s="425"/>
      <c r="X197" s="425"/>
      <c r="Y197" s="425"/>
      <c r="Z197" s="425"/>
      <c r="AA197" s="425"/>
      <c r="AB197" s="425"/>
      <c r="AC197" s="425"/>
    </row>
    <row r="198" ht="15.75" customHeight="1">
      <c r="A198" s="425"/>
      <c r="B198" s="425"/>
      <c r="C198" s="425"/>
      <c r="D198" s="425"/>
      <c r="E198" s="425"/>
      <c r="F198" s="511"/>
      <c r="G198" s="425"/>
      <c r="H198" s="511"/>
      <c r="I198" s="425"/>
      <c r="J198" s="425"/>
      <c r="K198" s="425"/>
      <c r="L198" s="511"/>
      <c r="M198" s="425"/>
      <c r="N198" s="511"/>
      <c r="O198" s="425"/>
      <c r="P198" s="425"/>
      <c r="Q198" s="425"/>
      <c r="R198" s="511"/>
      <c r="S198" s="425"/>
      <c r="T198" s="511"/>
      <c r="U198" s="425"/>
      <c r="V198" s="425"/>
      <c r="W198" s="425"/>
      <c r="X198" s="425"/>
      <c r="Y198" s="425"/>
      <c r="Z198" s="425"/>
      <c r="AA198" s="425"/>
      <c r="AB198" s="425"/>
      <c r="AC198" s="425"/>
    </row>
    <row r="199" ht="15.75" customHeight="1">
      <c r="A199" s="425"/>
      <c r="B199" s="425"/>
      <c r="C199" s="425"/>
      <c r="D199" s="425"/>
      <c r="E199" s="425"/>
      <c r="F199" s="511"/>
      <c r="G199" s="425"/>
      <c r="H199" s="511"/>
      <c r="I199" s="425"/>
      <c r="J199" s="425"/>
      <c r="K199" s="425"/>
      <c r="L199" s="511"/>
      <c r="M199" s="425"/>
      <c r="N199" s="511"/>
      <c r="O199" s="425"/>
      <c r="P199" s="425"/>
      <c r="Q199" s="425"/>
      <c r="R199" s="511"/>
      <c r="S199" s="425"/>
      <c r="T199" s="511"/>
      <c r="U199" s="425"/>
      <c r="V199" s="425"/>
      <c r="W199" s="425"/>
      <c r="X199" s="425"/>
      <c r="Y199" s="425"/>
      <c r="Z199" s="425"/>
      <c r="AA199" s="425"/>
      <c r="AB199" s="425"/>
      <c r="AC199" s="425"/>
    </row>
    <row r="200" ht="15.75" customHeight="1">
      <c r="A200" s="425"/>
      <c r="B200" s="425"/>
      <c r="C200" s="425"/>
      <c r="D200" s="425"/>
      <c r="E200" s="425"/>
      <c r="F200" s="511"/>
      <c r="G200" s="425"/>
      <c r="H200" s="511"/>
      <c r="I200" s="425"/>
      <c r="J200" s="425"/>
      <c r="K200" s="425"/>
      <c r="L200" s="511"/>
      <c r="M200" s="425"/>
      <c r="N200" s="511"/>
      <c r="O200" s="425"/>
      <c r="P200" s="425"/>
      <c r="Q200" s="425"/>
      <c r="R200" s="511"/>
      <c r="S200" s="425"/>
      <c r="T200" s="511"/>
      <c r="U200" s="425"/>
      <c r="V200" s="425"/>
      <c r="W200" s="425"/>
      <c r="X200" s="425"/>
      <c r="Y200" s="425"/>
      <c r="Z200" s="425"/>
      <c r="AA200" s="425"/>
      <c r="AB200" s="425"/>
      <c r="AC200" s="425"/>
    </row>
    <row r="201" ht="15.75" customHeight="1">
      <c r="A201" s="425"/>
      <c r="B201" s="425"/>
      <c r="C201" s="425"/>
      <c r="D201" s="425"/>
      <c r="E201" s="425"/>
      <c r="F201" s="511"/>
      <c r="G201" s="425"/>
      <c r="H201" s="511"/>
      <c r="I201" s="425"/>
      <c r="J201" s="425"/>
      <c r="K201" s="425"/>
      <c r="L201" s="511"/>
      <c r="M201" s="425"/>
      <c r="N201" s="511"/>
      <c r="O201" s="425"/>
      <c r="P201" s="425"/>
      <c r="Q201" s="425"/>
      <c r="R201" s="511"/>
      <c r="S201" s="425"/>
      <c r="T201" s="511"/>
      <c r="U201" s="425"/>
      <c r="V201" s="425"/>
      <c r="W201" s="425"/>
      <c r="X201" s="425"/>
      <c r="Y201" s="425"/>
      <c r="Z201" s="425"/>
      <c r="AA201" s="425"/>
      <c r="AB201" s="425"/>
      <c r="AC201" s="425"/>
    </row>
    <row r="202" ht="15.75" customHeight="1">
      <c r="A202" s="425"/>
      <c r="B202" s="425"/>
      <c r="C202" s="425"/>
      <c r="D202" s="425"/>
      <c r="E202" s="425"/>
      <c r="F202" s="511"/>
      <c r="G202" s="425"/>
      <c r="H202" s="511"/>
      <c r="I202" s="425"/>
      <c r="J202" s="425"/>
      <c r="K202" s="425"/>
      <c r="L202" s="511"/>
      <c r="M202" s="425"/>
      <c r="N202" s="511"/>
      <c r="O202" s="425"/>
      <c r="P202" s="425"/>
      <c r="Q202" s="425"/>
      <c r="R202" s="511"/>
      <c r="S202" s="425"/>
      <c r="T202" s="511"/>
      <c r="U202" s="425"/>
      <c r="V202" s="425"/>
      <c r="W202" s="425"/>
      <c r="X202" s="425"/>
      <c r="Y202" s="425"/>
      <c r="Z202" s="425"/>
      <c r="AA202" s="425"/>
      <c r="AB202" s="425"/>
      <c r="AC202" s="425"/>
    </row>
    <row r="203" ht="15.75" customHeight="1">
      <c r="A203" s="425"/>
      <c r="B203" s="425"/>
      <c r="C203" s="425"/>
      <c r="D203" s="425"/>
      <c r="E203" s="425"/>
      <c r="F203" s="511"/>
      <c r="G203" s="425"/>
      <c r="H203" s="511"/>
      <c r="I203" s="425"/>
      <c r="J203" s="425"/>
      <c r="K203" s="425"/>
      <c r="L203" s="511"/>
      <c r="M203" s="425"/>
      <c r="N203" s="511"/>
      <c r="O203" s="425"/>
      <c r="P203" s="425"/>
      <c r="Q203" s="425"/>
      <c r="R203" s="511"/>
      <c r="S203" s="425"/>
      <c r="T203" s="511"/>
      <c r="U203" s="425"/>
      <c r="V203" s="425"/>
      <c r="W203" s="425"/>
      <c r="X203" s="425"/>
      <c r="Y203" s="425"/>
      <c r="Z203" s="425"/>
      <c r="AA203" s="425"/>
      <c r="AB203" s="425"/>
      <c r="AC203" s="425"/>
    </row>
    <row r="204" ht="15.75" customHeight="1">
      <c r="A204" s="425"/>
      <c r="B204" s="425"/>
      <c r="C204" s="425"/>
      <c r="D204" s="425"/>
      <c r="E204" s="425"/>
      <c r="F204" s="511"/>
      <c r="G204" s="425"/>
      <c r="H204" s="511"/>
      <c r="I204" s="425"/>
      <c r="J204" s="425"/>
      <c r="K204" s="425"/>
      <c r="L204" s="511"/>
      <c r="M204" s="425"/>
      <c r="N204" s="511"/>
      <c r="O204" s="425"/>
      <c r="P204" s="425"/>
      <c r="Q204" s="425"/>
      <c r="R204" s="511"/>
      <c r="S204" s="425"/>
      <c r="T204" s="511"/>
      <c r="U204" s="425"/>
      <c r="V204" s="425"/>
      <c r="W204" s="425"/>
      <c r="X204" s="425"/>
      <c r="Y204" s="425"/>
      <c r="Z204" s="425"/>
      <c r="AA204" s="425"/>
      <c r="AB204" s="425"/>
      <c r="AC204" s="425"/>
    </row>
    <row r="205" ht="15.75" customHeight="1">
      <c r="A205" s="425"/>
      <c r="B205" s="425"/>
      <c r="C205" s="425"/>
      <c r="D205" s="425"/>
      <c r="E205" s="425"/>
      <c r="F205" s="511"/>
      <c r="G205" s="425"/>
      <c r="H205" s="511"/>
      <c r="I205" s="425"/>
      <c r="J205" s="425"/>
      <c r="K205" s="425"/>
      <c r="L205" s="511"/>
      <c r="M205" s="425"/>
      <c r="N205" s="511"/>
      <c r="O205" s="425"/>
      <c r="P205" s="425"/>
      <c r="Q205" s="425"/>
      <c r="R205" s="511"/>
      <c r="S205" s="425"/>
      <c r="T205" s="511"/>
      <c r="U205" s="425"/>
      <c r="V205" s="425"/>
      <c r="W205" s="425"/>
      <c r="X205" s="425"/>
      <c r="Y205" s="425"/>
      <c r="Z205" s="425"/>
      <c r="AA205" s="425"/>
      <c r="AB205" s="425"/>
      <c r="AC205" s="425"/>
    </row>
    <row r="206" ht="15.75" customHeight="1">
      <c r="A206" s="425"/>
      <c r="B206" s="425"/>
      <c r="C206" s="425"/>
      <c r="D206" s="425"/>
      <c r="E206" s="425"/>
      <c r="F206" s="511"/>
      <c r="G206" s="425"/>
      <c r="H206" s="511"/>
      <c r="I206" s="425"/>
      <c r="J206" s="425"/>
      <c r="K206" s="425"/>
      <c r="L206" s="511"/>
      <c r="M206" s="425"/>
      <c r="N206" s="511"/>
      <c r="O206" s="425"/>
      <c r="P206" s="425"/>
      <c r="Q206" s="425"/>
      <c r="R206" s="511"/>
      <c r="S206" s="425"/>
      <c r="T206" s="511"/>
      <c r="U206" s="425"/>
      <c r="V206" s="425"/>
      <c r="W206" s="425"/>
      <c r="X206" s="425"/>
      <c r="Y206" s="425"/>
      <c r="Z206" s="425"/>
      <c r="AA206" s="425"/>
      <c r="AB206" s="425"/>
      <c r="AC206" s="425"/>
    </row>
    <row r="207" ht="15.75" customHeight="1">
      <c r="A207" s="425"/>
      <c r="B207" s="425"/>
      <c r="C207" s="425"/>
      <c r="D207" s="425"/>
      <c r="E207" s="425"/>
      <c r="F207" s="511"/>
      <c r="G207" s="425"/>
      <c r="H207" s="511"/>
      <c r="I207" s="425"/>
      <c r="J207" s="425"/>
      <c r="K207" s="425"/>
      <c r="L207" s="511"/>
      <c r="M207" s="425"/>
      <c r="N207" s="511"/>
      <c r="O207" s="425"/>
      <c r="P207" s="425"/>
      <c r="Q207" s="425"/>
      <c r="R207" s="511"/>
      <c r="S207" s="425"/>
      <c r="T207" s="511"/>
      <c r="U207" s="425"/>
      <c r="V207" s="425"/>
      <c r="W207" s="425"/>
      <c r="X207" s="425"/>
      <c r="Y207" s="425"/>
      <c r="Z207" s="425"/>
      <c r="AA207" s="425"/>
      <c r="AB207" s="425"/>
      <c r="AC207" s="425"/>
    </row>
    <row r="208" ht="15.75" customHeight="1">
      <c r="A208" s="425"/>
      <c r="B208" s="425"/>
      <c r="C208" s="425"/>
      <c r="D208" s="425"/>
      <c r="E208" s="425"/>
      <c r="F208" s="511"/>
      <c r="G208" s="425"/>
      <c r="H208" s="511"/>
      <c r="I208" s="425"/>
      <c r="J208" s="425"/>
      <c r="K208" s="425"/>
      <c r="L208" s="511"/>
      <c r="M208" s="425"/>
      <c r="N208" s="511"/>
      <c r="O208" s="425"/>
      <c r="P208" s="425"/>
      <c r="Q208" s="425"/>
      <c r="R208" s="511"/>
      <c r="S208" s="425"/>
      <c r="T208" s="511"/>
      <c r="U208" s="425"/>
      <c r="V208" s="425"/>
      <c r="W208" s="425"/>
      <c r="X208" s="425"/>
      <c r="Y208" s="425"/>
      <c r="Z208" s="425"/>
      <c r="AA208" s="425"/>
      <c r="AB208" s="425"/>
      <c r="AC208" s="425"/>
    </row>
    <row r="209" ht="15.75" customHeight="1">
      <c r="A209" s="425"/>
      <c r="B209" s="425"/>
      <c r="C209" s="425"/>
      <c r="D209" s="425"/>
      <c r="E209" s="425"/>
      <c r="F209" s="511"/>
      <c r="G209" s="425"/>
      <c r="H209" s="511"/>
      <c r="I209" s="425"/>
      <c r="J209" s="425"/>
      <c r="K209" s="425"/>
      <c r="L209" s="511"/>
      <c r="M209" s="425"/>
      <c r="N209" s="511"/>
      <c r="O209" s="425"/>
      <c r="P209" s="425"/>
      <c r="Q209" s="425"/>
      <c r="R209" s="511"/>
      <c r="S209" s="425"/>
      <c r="T209" s="511"/>
      <c r="U209" s="425"/>
      <c r="V209" s="425"/>
      <c r="W209" s="425"/>
      <c r="X209" s="425"/>
      <c r="Y209" s="425"/>
      <c r="Z209" s="425"/>
      <c r="AA209" s="425"/>
      <c r="AB209" s="425"/>
      <c r="AC209" s="425"/>
    </row>
    <row r="210" ht="15.75" customHeight="1">
      <c r="A210" s="425"/>
      <c r="B210" s="425"/>
      <c r="C210" s="425"/>
      <c r="D210" s="425"/>
      <c r="E210" s="425"/>
      <c r="F210" s="511"/>
      <c r="G210" s="425"/>
      <c r="H210" s="511"/>
      <c r="I210" s="425"/>
      <c r="J210" s="425"/>
      <c r="K210" s="425"/>
      <c r="L210" s="511"/>
      <c r="M210" s="425"/>
      <c r="N210" s="511"/>
      <c r="O210" s="425"/>
      <c r="P210" s="425"/>
      <c r="Q210" s="425"/>
      <c r="R210" s="511"/>
      <c r="S210" s="425"/>
      <c r="T210" s="511"/>
      <c r="U210" s="425"/>
      <c r="V210" s="425"/>
      <c r="W210" s="425"/>
      <c r="X210" s="425"/>
      <c r="Y210" s="425"/>
      <c r="Z210" s="425"/>
      <c r="AA210" s="425"/>
      <c r="AB210" s="425"/>
      <c r="AC210" s="425"/>
    </row>
    <row r="211" ht="15.75" customHeight="1">
      <c r="A211" s="425"/>
      <c r="B211" s="425"/>
      <c r="C211" s="425"/>
      <c r="D211" s="425"/>
      <c r="E211" s="425"/>
      <c r="F211" s="511"/>
      <c r="G211" s="425"/>
      <c r="H211" s="511"/>
      <c r="I211" s="425"/>
      <c r="J211" s="425"/>
      <c r="K211" s="425"/>
      <c r="L211" s="511"/>
      <c r="M211" s="425"/>
      <c r="N211" s="511"/>
      <c r="O211" s="425"/>
      <c r="P211" s="425"/>
      <c r="Q211" s="425"/>
      <c r="R211" s="511"/>
      <c r="S211" s="425"/>
      <c r="T211" s="511"/>
      <c r="U211" s="425"/>
      <c r="V211" s="425"/>
      <c r="W211" s="425"/>
      <c r="X211" s="425"/>
      <c r="Y211" s="425"/>
      <c r="Z211" s="425"/>
      <c r="AA211" s="425"/>
      <c r="AB211" s="425"/>
      <c r="AC211" s="425"/>
    </row>
    <row r="212" ht="15.75" customHeight="1">
      <c r="A212" s="425"/>
      <c r="B212" s="425"/>
      <c r="C212" s="425"/>
      <c r="D212" s="425"/>
      <c r="E212" s="425"/>
      <c r="F212" s="511"/>
      <c r="G212" s="425"/>
      <c r="H212" s="511"/>
      <c r="I212" s="425"/>
      <c r="J212" s="425"/>
      <c r="K212" s="425"/>
      <c r="L212" s="511"/>
      <c r="M212" s="425"/>
      <c r="N212" s="511"/>
      <c r="O212" s="425"/>
      <c r="P212" s="425"/>
      <c r="Q212" s="425"/>
      <c r="R212" s="511"/>
      <c r="S212" s="425"/>
      <c r="T212" s="511"/>
      <c r="U212" s="425"/>
      <c r="V212" s="425"/>
      <c r="W212" s="425"/>
      <c r="X212" s="425"/>
      <c r="Y212" s="425"/>
      <c r="Z212" s="425"/>
      <c r="AA212" s="425"/>
      <c r="AB212" s="425"/>
      <c r="AC212" s="425"/>
    </row>
    <row r="213" ht="15.75" customHeight="1">
      <c r="A213" s="425"/>
      <c r="B213" s="425"/>
      <c r="C213" s="425"/>
      <c r="D213" s="425"/>
      <c r="E213" s="425"/>
      <c r="F213" s="511"/>
      <c r="G213" s="425"/>
      <c r="H213" s="511"/>
      <c r="I213" s="425"/>
      <c r="J213" s="425"/>
      <c r="K213" s="425"/>
      <c r="L213" s="511"/>
      <c r="M213" s="425"/>
      <c r="N213" s="511"/>
      <c r="O213" s="425"/>
      <c r="P213" s="425"/>
      <c r="Q213" s="425"/>
      <c r="R213" s="511"/>
      <c r="S213" s="425"/>
      <c r="T213" s="511"/>
      <c r="U213" s="425"/>
      <c r="V213" s="425"/>
      <c r="W213" s="425"/>
      <c r="X213" s="425"/>
      <c r="Y213" s="425"/>
      <c r="Z213" s="425"/>
      <c r="AA213" s="425"/>
      <c r="AB213" s="425"/>
      <c r="AC213" s="425"/>
    </row>
    <row r="214" ht="15.75" customHeight="1">
      <c r="A214" s="425"/>
      <c r="B214" s="425"/>
      <c r="C214" s="425"/>
      <c r="D214" s="425"/>
      <c r="E214" s="425"/>
      <c r="F214" s="511"/>
      <c r="G214" s="425"/>
      <c r="H214" s="511"/>
      <c r="I214" s="425"/>
      <c r="J214" s="425"/>
      <c r="K214" s="425"/>
      <c r="L214" s="511"/>
      <c r="M214" s="425"/>
      <c r="N214" s="511"/>
      <c r="O214" s="425"/>
      <c r="P214" s="425"/>
      <c r="Q214" s="425"/>
      <c r="R214" s="511"/>
      <c r="S214" s="425"/>
      <c r="T214" s="511"/>
      <c r="U214" s="425"/>
      <c r="V214" s="425"/>
      <c r="W214" s="425"/>
      <c r="X214" s="425"/>
      <c r="Y214" s="425"/>
      <c r="Z214" s="425"/>
      <c r="AA214" s="425"/>
      <c r="AB214" s="425"/>
      <c r="AC214" s="425"/>
    </row>
    <row r="215" ht="15.75" customHeight="1">
      <c r="A215" s="425"/>
      <c r="B215" s="425"/>
      <c r="C215" s="425"/>
      <c r="D215" s="425"/>
      <c r="E215" s="425"/>
      <c r="F215" s="511"/>
      <c r="G215" s="425"/>
      <c r="H215" s="511"/>
      <c r="I215" s="425"/>
      <c r="J215" s="425"/>
      <c r="K215" s="425"/>
      <c r="L215" s="511"/>
      <c r="M215" s="425"/>
      <c r="N215" s="511"/>
      <c r="O215" s="425"/>
      <c r="P215" s="425"/>
      <c r="Q215" s="425"/>
      <c r="R215" s="511"/>
      <c r="S215" s="425"/>
      <c r="T215" s="511"/>
      <c r="U215" s="425"/>
      <c r="V215" s="425"/>
      <c r="W215" s="425"/>
      <c r="X215" s="425"/>
      <c r="Y215" s="425"/>
      <c r="Z215" s="425"/>
      <c r="AA215" s="425"/>
      <c r="AB215" s="425"/>
      <c r="AC215" s="425"/>
    </row>
    <row r="216" ht="15.75" customHeight="1">
      <c r="A216" s="425"/>
      <c r="B216" s="425"/>
      <c r="C216" s="425"/>
      <c r="D216" s="425"/>
      <c r="E216" s="425"/>
      <c r="F216" s="511"/>
      <c r="G216" s="425"/>
      <c r="H216" s="511"/>
      <c r="I216" s="425"/>
      <c r="J216" s="425"/>
      <c r="K216" s="425"/>
      <c r="L216" s="511"/>
      <c r="M216" s="425"/>
      <c r="N216" s="511"/>
      <c r="O216" s="425"/>
      <c r="P216" s="425"/>
      <c r="Q216" s="425"/>
      <c r="R216" s="511"/>
      <c r="S216" s="425"/>
      <c r="T216" s="511"/>
      <c r="U216" s="425"/>
      <c r="V216" s="425"/>
      <c r="W216" s="425"/>
      <c r="X216" s="425"/>
      <c r="Y216" s="425"/>
      <c r="Z216" s="425"/>
      <c r="AA216" s="425"/>
      <c r="AB216" s="425"/>
      <c r="AC216" s="425"/>
    </row>
    <row r="217" ht="15.75" customHeight="1">
      <c r="A217" s="425"/>
      <c r="B217" s="425"/>
      <c r="C217" s="425"/>
      <c r="D217" s="425"/>
      <c r="E217" s="425"/>
      <c r="F217" s="511"/>
      <c r="G217" s="425"/>
      <c r="H217" s="511"/>
      <c r="I217" s="425"/>
      <c r="J217" s="425"/>
      <c r="K217" s="425"/>
      <c r="L217" s="511"/>
      <c r="M217" s="425"/>
      <c r="N217" s="511"/>
      <c r="O217" s="425"/>
      <c r="P217" s="425"/>
      <c r="Q217" s="425"/>
      <c r="R217" s="511"/>
      <c r="S217" s="425"/>
      <c r="T217" s="511"/>
      <c r="U217" s="425"/>
      <c r="V217" s="425"/>
      <c r="W217" s="425"/>
      <c r="X217" s="425"/>
      <c r="Y217" s="425"/>
      <c r="Z217" s="425"/>
      <c r="AA217" s="425"/>
      <c r="AB217" s="425"/>
      <c r="AC217" s="425"/>
    </row>
    <row r="218" ht="15.75" customHeight="1">
      <c r="A218" s="425"/>
      <c r="B218" s="425"/>
      <c r="C218" s="425"/>
      <c r="D218" s="425"/>
      <c r="E218" s="425"/>
      <c r="F218" s="511"/>
      <c r="G218" s="425"/>
      <c r="H218" s="511"/>
      <c r="I218" s="425"/>
      <c r="J218" s="425"/>
      <c r="K218" s="425"/>
      <c r="L218" s="511"/>
      <c r="M218" s="425"/>
      <c r="N218" s="511"/>
      <c r="O218" s="425"/>
      <c r="P218" s="425"/>
      <c r="Q218" s="425"/>
      <c r="R218" s="511"/>
      <c r="S218" s="425"/>
      <c r="T218" s="511"/>
      <c r="U218" s="425"/>
      <c r="V218" s="425"/>
      <c r="W218" s="425"/>
      <c r="X218" s="425"/>
      <c r="Y218" s="425"/>
      <c r="Z218" s="425"/>
      <c r="AA218" s="425"/>
      <c r="AB218" s="425"/>
      <c r="AC218" s="425"/>
    </row>
    <row r="219" ht="15.75" customHeight="1">
      <c r="A219" s="425"/>
      <c r="B219" s="425"/>
      <c r="C219" s="425"/>
      <c r="D219" s="425"/>
      <c r="E219" s="425"/>
      <c r="F219" s="511"/>
      <c r="G219" s="425"/>
      <c r="H219" s="511"/>
      <c r="I219" s="425"/>
      <c r="J219" s="425"/>
      <c r="K219" s="425"/>
      <c r="L219" s="511"/>
      <c r="M219" s="425"/>
      <c r="N219" s="511"/>
      <c r="O219" s="425"/>
      <c r="P219" s="425"/>
      <c r="Q219" s="425"/>
      <c r="R219" s="511"/>
      <c r="S219" s="425"/>
      <c r="T219" s="511"/>
      <c r="U219" s="425"/>
      <c r="V219" s="425"/>
      <c r="W219" s="425"/>
      <c r="X219" s="425"/>
      <c r="Y219" s="425"/>
      <c r="Z219" s="425"/>
      <c r="AA219" s="425"/>
      <c r="AB219" s="425"/>
      <c r="AC219" s="425"/>
    </row>
    <row r="220" ht="15.75" customHeight="1">
      <c r="A220" s="425"/>
      <c r="B220" s="425"/>
      <c r="C220" s="425"/>
      <c r="D220" s="425"/>
      <c r="E220" s="425"/>
      <c r="F220" s="511"/>
      <c r="G220" s="425"/>
      <c r="H220" s="511"/>
      <c r="I220" s="425"/>
      <c r="J220" s="425"/>
      <c r="K220" s="425"/>
      <c r="L220" s="511"/>
      <c r="M220" s="425"/>
      <c r="N220" s="511"/>
      <c r="O220" s="425"/>
      <c r="P220" s="425"/>
      <c r="Q220" s="425"/>
      <c r="R220" s="511"/>
      <c r="S220" s="425"/>
      <c r="T220" s="511"/>
      <c r="U220" s="425"/>
      <c r="V220" s="425"/>
      <c r="W220" s="425"/>
      <c r="X220" s="425"/>
      <c r="Y220" s="425"/>
      <c r="Z220" s="425"/>
      <c r="AA220" s="425"/>
      <c r="AB220" s="425"/>
      <c r="AC220" s="425"/>
    </row>
    <row r="221" ht="15.75" customHeight="1">
      <c r="A221" s="425"/>
      <c r="B221" s="425"/>
      <c r="C221" s="425"/>
      <c r="D221" s="425"/>
      <c r="E221" s="425"/>
      <c r="F221" s="511"/>
      <c r="G221" s="425"/>
      <c r="H221" s="511"/>
      <c r="I221" s="425"/>
      <c r="J221" s="425"/>
      <c r="K221" s="425"/>
      <c r="L221" s="511"/>
      <c r="M221" s="425"/>
      <c r="N221" s="511"/>
      <c r="O221" s="425"/>
      <c r="P221" s="425"/>
      <c r="Q221" s="425"/>
      <c r="R221" s="511"/>
      <c r="S221" s="425"/>
      <c r="T221" s="511"/>
      <c r="U221" s="425"/>
      <c r="V221" s="425"/>
      <c r="W221" s="425"/>
      <c r="X221" s="425"/>
      <c r="Y221" s="425"/>
      <c r="Z221" s="425"/>
      <c r="AA221" s="425"/>
      <c r="AB221" s="425"/>
      <c r="AC221" s="425"/>
    </row>
    <row r="222" ht="15.75" customHeight="1">
      <c r="A222" s="425"/>
      <c r="B222" s="425"/>
      <c r="C222" s="425"/>
      <c r="D222" s="425"/>
      <c r="E222" s="425"/>
      <c r="F222" s="511"/>
      <c r="G222" s="425"/>
      <c r="H222" s="511"/>
      <c r="I222" s="425"/>
      <c r="J222" s="425"/>
      <c r="K222" s="425"/>
      <c r="L222" s="511"/>
      <c r="M222" s="425"/>
      <c r="N222" s="511"/>
      <c r="O222" s="425"/>
      <c r="P222" s="425"/>
      <c r="Q222" s="425"/>
      <c r="R222" s="511"/>
      <c r="S222" s="425"/>
      <c r="T222" s="511"/>
      <c r="U222" s="425"/>
      <c r="V222" s="425"/>
      <c r="W222" s="425"/>
      <c r="X222" s="425"/>
      <c r="Y222" s="425"/>
      <c r="Z222" s="425"/>
      <c r="AA222" s="425"/>
      <c r="AB222" s="425"/>
      <c r="AC222" s="425"/>
    </row>
    <row r="223" ht="15.75" customHeight="1">
      <c r="A223" s="425"/>
      <c r="B223" s="425"/>
      <c r="C223" s="425"/>
      <c r="D223" s="425"/>
      <c r="E223" s="425"/>
      <c r="F223" s="511"/>
      <c r="G223" s="425"/>
      <c r="H223" s="511"/>
      <c r="I223" s="425"/>
      <c r="J223" s="425"/>
      <c r="K223" s="425"/>
      <c r="L223" s="511"/>
      <c r="M223" s="425"/>
      <c r="N223" s="511"/>
      <c r="O223" s="425"/>
      <c r="P223" s="425"/>
      <c r="Q223" s="425"/>
      <c r="R223" s="511"/>
      <c r="S223" s="425"/>
      <c r="T223" s="511"/>
      <c r="U223" s="425"/>
      <c r="V223" s="425"/>
      <c r="W223" s="425"/>
      <c r="X223" s="425"/>
      <c r="Y223" s="425"/>
      <c r="Z223" s="425"/>
      <c r="AA223" s="425"/>
      <c r="AB223" s="425"/>
      <c r="AC223" s="425"/>
    </row>
    <row r="224" ht="15.75" customHeight="1">
      <c r="A224" s="425"/>
      <c r="B224" s="425"/>
      <c r="C224" s="425"/>
      <c r="D224" s="425"/>
      <c r="E224" s="425"/>
      <c r="F224" s="511"/>
      <c r="G224" s="425"/>
      <c r="H224" s="511"/>
      <c r="I224" s="425"/>
      <c r="J224" s="425"/>
      <c r="K224" s="425"/>
      <c r="L224" s="511"/>
      <c r="M224" s="425"/>
      <c r="N224" s="511"/>
      <c r="O224" s="425"/>
      <c r="P224" s="425"/>
      <c r="Q224" s="425"/>
      <c r="R224" s="511"/>
      <c r="S224" s="425"/>
      <c r="T224" s="511"/>
      <c r="U224" s="425"/>
      <c r="V224" s="425"/>
      <c r="W224" s="425"/>
      <c r="X224" s="425"/>
      <c r="Y224" s="425"/>
      <c r="Z224" s="425"/>
      <c r="AA224" s="425"/>
      <c r="AB224" s="425"/>
      <c r="AC224" s="425"/>
    </row>
    <row r="225" ht="15.75" customHeight="1">
      <c r="A225" s="425"/>
      <c r="B225" s="425"/>
      <c r="C225" s="425"/>
      <c r="D225" s="425"/>
      <c r="E225" s="425"/>
      <c r="F225" s="511"/>
      <c r="G225" s="425"/>
      <c r="H225" s="511"/>
      <c r="I225" s="425"/>
      <c r="J225" s="425"/>
      <c r="K225" s="425"/>
      <c r="L225" s="511"/>
      <c r="M225" s="425"/>
      <c r="N225" s="511"/>
      <c r="O225" s="425"/>
      <c r="P225" s="425"/>
      <c r="Q225" s="425"/>
      <c r="R225" s="511"/>
      <c r="S225" s="425"/>
      <c r="T225" s="511"/>
      <c r="U225" s="425"/>
      <c r="V225" s="425"/>
      <c r="W225" s="425"/>
      <c r="X225" s="425"/>
      <c r="Y225" s="425"/>
      <c r="Z225" s="425"/>
      <c r="AA225" s="425"/>
      <c r="AB225" s="425"/>
      <c r="AC225" s="425"/>
    </row>
    <row r="226" ht="15.75" customHeight="1">
      <c r="A226" s="425"/>
      <c r="B226" s="425"/>
      <c r="C226" s="425"/>
      <c r="D226" s="425"/>
      <c r="E226" s="425"/>
      <c r="F226" s="511"/>
      <c r="G226" s="425"/>
      <c r="H226" s="511"/>
      <c r="I226" s="425"/>
      <c r="J226" s="425"/>
      <c r="K226" s="425"/>
      <c r="L226" s="511"/>
      <c r="M226" s="425"/>
      <c r="N226" s="511"/>
      <c r="O226" s="425"/>
      <c r="P226" s="425"/>
      <c r="Q226" s="425"/>
      <c r="R226" s="511"/>
      <c r="S226" s="425"/>
      <c r="T226" s="511"/>
      <c r="U226" s="425"/>
      <c r="V226" s="425"/>
      <c r="W226" s="425"/>
      <c r="X226" s="425"/>
      <c r="Y226" s="425"/>
      <c r="Z226" s="425"/>
      <c r="AA226" s="425"/>
      <c r="AB226" s="425"/>
      <c r="AC226" s="425"/>
    </row>
    <row r="227" ht="15.75" customHeight="1">
      <c r="A227" s="425"/>
      <c r="B227" s="425"/>
      <c r="C227" s="425"/>
      <c r="D227" s="425"/>
      <c r="E227" s="425"/>
      <c r="F227" s="511"/>
      <c r="G227" s="425"/>
      <c r="H227" s="511"/>
      <c r="I227" s="425"/>
      <c r="J227" s="425"/>
      <c r="K227" s="425"/>
      <c r="L227" s="511"/>
      <c r="M227" s="425"/>
      <c r="N227" s="511"/>
      <c r="O227" s="425"/>
      <c r="P227" s="425"/>
      <c r="Q227" s="425"/>
      <c r="R227" s="511"/>
      <c r="S227" s="425"/>
      <c r="T227" s="511"/>
      <c r="U227" s="425"/>
      <c r="V227" s="425"/>
      <c r="W227" s="425"/>
      <c r="X227" s="425"/>
      <c r="Y227" s="425"/>
      <c r="Z227" s="425"/>
      <c r="AA227" s="425"/>
      <c r="AB227" s="425"/>
      <c r="AC227" s="425"/>
    </row>
    <row r="228" ht="15.75" customHeight="1">
      <c r="A228" s="425"/>
      <c r="B228" s="425"/>
      <c r="C228" s="425"/>
      <c r="D228" s="425"/>
      <c r="E228" s="425"/>
      <c r="F228" s="511"/>
      <c r="G228" s="425"/>
      <c r="H228" s="511"/>
      <c r="I228" s="425"/>
      <c r="J228" s="425"/>
      <c r="K228" s="425"/>
      <c r="L228" s="511"/>
      <c r="M228" s="425"/>
      <c r="N228" s="511"/>
      <c r="O228" s="425"/>
      <c r="P228" s="425"/>
      <c r="Q228" s="425"/>
      <c r="R228" s="511"/>
      <c r="S228" s="425"/>
      <c r="T228" s="511"/>
      <c r="U228" s="425"/>
      <c r="V228" s="425"/>
      <c r="W228" s="425"/>
      <c r="X228" s="425"/>
      <c r="Y228" s="425"/>
      <c r="Z228" s="425"/>
      <c r="AA228" s="425"/>
      <c r="AB228" s="425"/>
      <c r="AC228" s="425"/>
    </row>
    <row r="229" ht="15.75" customHeight="1">
      <c r="A229" s="425"/>
      <c r="B229" s="425"/>
      <c r="C229" s="425"/>
      <c r="D229" s="425"/>
      <c r="E229" s="425"/>
      <c r="F229" s="511"/>
      <c r="G229" s="425"/>
      <c r="H229" s="511"/>
      <c r="I229" s="425"/>
      <c r="J229" s="425"/>
      <c r="K229" s="425"/>
      <c r="L229" s="511"/>
      <c r="M229" s="425"/>
      <c r="N229" s="511"/>
      <c r="O229" s="425"/>
      <c r="P229" s="425"/>
      <c r="Q229" s="425"/>
      <c r="R229" s="511"/>
      <c r="S229" s="425"/>
      <c r="T229" s="511"/>
      <c r="U229" s="425"/>
      <c r="V229" s="425"/>
      <c r="W229" s="425"/>
      <c r="X229" s="425"/>
      <c r="Y229" s="425"/>
      <c r="Z229" s="425"/>
      <c r="AA229" s="425"/>
      <c r="AB229" s="425"/>
      <c r="AC229" s="425"/>
    </row>
    <row r="230" ht="15.75" customHeight="1">
      <c r="A230" s="425"/>
      <c r="B230" s="425"/>
      <c r="C230" s="425"/>
      <c r="D230" s="425"/>
      <c r="E230" s="425"/>
      <c r="F230" s="511"/>
      <c r="G230" s="425"/>
      <c r="H230" s="511"/>
      <c r="I230" s="425"/>
      <c r="J230" s="425"/>
      <c r="K230" s="425"/>
      <c r="L230" s="511"/>
      <c r="M230" s="425"/>
      <c r="N230" s="511"/>
      <c r="O230" s="425"/>
      <c r="P230" s="425"/>
      <c r="Q230" s="425"/>
      <c r="R230" s="511"/>
      <c r="S230" s="425"/>
      <c r="T230" s="511"/>
      <c r="U230" s="425"/>
      <c r="V230" s="425"/>
      <c r="W230" s="425"/>
      <c r="X230" s="425"/>
      <c r="Y230" s="425"/>
      <c r="Z230" s="425"/>
      <c r="AA230" s="425"/>
      <c r="AB230" s="425"/>
      <c r="AC230" s="425"/>
    </row>
    <row r="231" ht="15.75" customHeight="1">
      <c r="A231" s="425"/>
      <c r="B231" s="425"/>
      <c r="C231" s="425"/>
      <c r="D231" s="425"/>
      <c r="E231" s="425"/>
      <c r="F231" s="511"/>
      <c r="G231" s="425"/>
      <c r="H231" s="511"/>
      <c r="I231" s="425"/>
      <c r="J231" s="425"/>
      <c r="K231" s="425"/>
      <c r="L231" s="511"/>
      <c r="M231" s="425"/>
      <c r="N231" s="511"/>
      <c r="O231" s="425"/>
      <c r="P231" s="425"/>
      <c r="Q231" s="425"/>
      <c r="R231" s="511"/>
      <c r="S231" s="425"/>
      <c r="T231" s="511"/>
      <c r="U231" s="425"/>
      <c r="V231" s="425"/>
      <c r="W231" s="425"/>
      <c r="X231" s="425"/>
      <c r="Y231" s="425"/>
      <c r="Z231" s="425"/>
      <c r="AA231" s="425"/>
      <c r="AB231" s="425"/>
      <c r="AC231" s="425"/>
    </row>
    <row r="232" ht="15.75" customHeight="1">
      <c r="A232" s="425"/>
      <c r="B232" s="425"/>
      <c r="C232" s="425"/>
      <c r="D232" s="425"/>
      <c r="E232" s="425"/>
      <c r="F232" s="511"/>
      <c r="G232" s="425"/>
      <c r="H232" s="511"/>
      <c r="I232" s="425"/>
      <c r="J232" s="425"/>
      <c r="K232" s="425"/>
      <c r="L232" s="511"/>
      <c r="M232" s="425"/>
      <c r="N232" s="511"/>
      <c r="O232" s="425"/>
      <c r="P232" s="425"/>
      <c r="Q232" s="425"/>
      <c r="R232" s="511"/>
      <c r="S232" s="425"/>
      <c r="T232" s="511"/>
      <c r="U232" s="425"/>
      <c r="V232" s="425"/>
      <c r="W232" s="425"/>
      <c r="X232" s="425"/>
      <c r="Y232" s="425"/>
      <c r="Z232" s="425"/>
      <c r="AA232" s="425"/>
      <c r="AB232" s="425"/>
      <c r="AC232" s="425"/>
    </row>
    <row r="233" ht="15.75" customHeight="1">
      <c r="A233" s="425"/>
      <c r="B233" s="425"/>
      <c r="C233" s="425"/>
      <c r="D233" s="425"/>
      <c r="E233" s="425"/>
      <c r="F233" s="511"/>
      <c r="G233" s="425"/>
      <c r="H233" s="511"/>
      <c r="I233" s="425"/>
      <c r="J233" s="425"/>
      <c r="K233" s="425"/>
      <c r="L233" s="511"/>
      <c r="M233" s="425"/>
      <c r="N233" s="511"/>
      <c r="O233" s="425"/>
      <c r="P233" s="425"/>
      <c r="Q233" s="425"/>
      <c r="R233" s="511"/>
      <c r="S233" s="425"/>
      <c r="T233" s="511"/>
      <c r="U233" s="425"/>
      <c r="V233" s="425"/>
      <c r="W233" s="425"/>
      <c r="X233" s="425"/>
      <c r="Y233" s="425"/>
      <c r="Z233" s="425"/>
      <c r="AA233" s="425"/>
      <c r="AB233" s="425"/>
      <c r="AC233" s="425"/>
    </row>
    <row r="234" ht="15.75" customHeight="1">
      <c r="A234" s="425"/>
      <c r="B234" s="425"/>
      <c r="C234" s="425"/>
      <c r="D234" s="425"/>
      <c r="E234" s="425"/>
      <c r="F234" s="511"/>
      <c r="G234" s="425"/>
      <c r="H234" s="511"/>
      <c r="I234" s="425"/>
      <c r="J234" s="425"/>
      <c r="K234" s="425"/>
      <c r="L234" s="511"/>
      <c r="M234" s="425"/>
      <c r="N234" s="511"/>
      <c r="O234" s="425"/>
      <c r="P234" s="425"/>
      <c r="Q234" s="425"/>
      <c r="R234" s="511"/>
      <c r="S234" s="425"/>
      <c r="T234" s="511"/>
      <c r="U234" s="425"/>
      <c r="V234" s="425"/>
      <c r="W234" s="425"/>
      <c r="X234" s="425"/>
      <c r="Y234" s="425"/>
      <c r="Z234" s="425"/>
      <c r="AA234" s="425"/>
      <c r="AB234" s="425"/>
      <c r="AC234" s="425"/>
    </row>
    <row r="235" ht="15.75" customHeight="1">
      <c r="A235" s="425"/>
      <c r="B235" s="425"/>
      <c r="C235" s="425"/>
      <c r="D235" s="425"/>
      <c r="E235" s="425"/>
      <c r="F235" s="511"/>
      <c r="G235" s="425"/>
      <c r="H235" s="511"/>
      <c r="I235" s="425"/>
      <c r="J235" s="425"/>
      <c r="K235" s="425"/>
      <c r="L235" s="511"/>
      <c r="M235" s="425"/>
      <c r="N235" s="511"/>
      <c r="O235" s="425"/>
      <c r="P235" s="425"/>
      <c r="Q235" s="425"/>
      <c r="R235" s="511"/>
      <c r="S235" s="425"/>
      <c r="T235" s="511"/>
      <c r="U235" s="425"/>
      <c r="V235" s="425"/>
      <c r="W235" s="425"/>
      <c r="X235" s="425"/>
      <c r="Y235" s="425"/>
      <c r="Z235" s="425"/>
      <c r="AA235" s="425"/>
      <c r="AB235" s="425"/>
      <c r="AC235" s="425"/>
    </row>
    <row r="236" ht="15.75" customHeight="1">
      <c r="A236" s="425"/>
      <c r="B236" s="425"/>
      <c r="C236" s="425"/>
      <c r="D236" s="425"/>
      <c r="E236" s="425"/>
      <c r="F236" s="511"/>
      <c r="G236" s="425"/>
      <c r="H236" s="511"/>
      <c r="I236" s="425"/>
      <c r="J236" s="425"/>
      <c r="K236" s="425"/>
      <c r="L236" s="511"/>
      <c r="M236" s="425"/>
      <c r="N236" s="511"/>
      <c r="O236" s="425"/>
      <c r="P236" s="425"/>
      <c r="Q236" s="425"/>
      <c r="R236" s="511"/>
      <c r="S236" s="425"/>
      <c r="T236" s="511"/>
      <c r="U236" s="425"/>
      <c r="V236" s="425"/>
      <c r="W236" s="425"/>
      <c r="X236" s="425"/>
      <c r="Y236" s="425"/>
      <c r="Z236" s="425"/>
      <c r="AA236" s="425"/>
      <c r="AB236" s="425"/>
      <c r="AC236" s="425"/>
    </row>
    <row r="237" ht="15.75" customHeight="1">
      <c r="A237" s="425"/>
      <c r="B237" s="425"/>
      <c r="C237" s="425"/>
      <c r="D237" s="425"/>
      <c r="E237" s="425"/>
      <c r="F237" s="511"/>
      <c r="G237" s="425"/>
      <c r="H237" s="511"/>
      <c r="I237" s="425"/>
      <c r="J237" s="425"/>
      <c r="K237" s="425"/>
      <c r="L237" s="511"/>
      <c r="M237" s="425"/>
      <c r="N237" s="511"/>
      <c r="O237" s="425"/>
      <c r="P237" s="425"/>
      <c r="Q237" s="425"/>
      <c r="R237" s="511"/>
      <c r="S237" s="425"/>
      <c r="T237" s="511"/>
      <c r="U237" s="425"/>
      <c r="V237" s="425"/>
      <c r="W237" s="425"/>
      <c r="X237" s="425"/>
      <c r="Y237" s="425"/>
      <c r="Z237" s="425"/>
      <c r="AA237" s="425"/>
      <c r="AB237" s="425"/>
      <c r="AC237" s="425"/>
    </row>
    <row r="238" ht="15.75" customHeight="1">
      <c r="A238" s="425"/>
      <c r="B238" s="425"/>
      <c r="C238" s="425"/>
      <c r="D238" s="425"/>
      <c r="E238" s="425"/>
      <c r="F238" s="511"/>
      <c r="G238" s="425"/>
      <c r="H238" s="511"/>
      <c r="I238" s="425"/>
      <c r="J238" s="425"/>
      <c r="K238" s="425"/>
      <c r="L238" s="511"/>
      <c r="M238" s="425"/>
      <c r="N238" s="511"/>
      <c r="O238" s="425"/>
      <c r="P238" s="425"/>
      <c r="Q238" s="425"/>
      <c r="R238" s="511"/>
      <c r="S238" s="425"/>
      <c r="T238" s="511"/>
      <c r="U238" s="425"/>
      <c r="V238" s="425"/>
      <c r="W238" s="425"/>
      <c r="X238" s="425"/>
      <c r="Y238" s="425"/>
      <c r="Z238" s="425"/>
      <c r="AA238" s="425"/>
      <c r="AB238" s="425"/>
      <c r="AC238" s="425"/>
    </row>
    <row r="239" ht="15.75" customHeight="1">
      <c r="A239" s="425"/>
      <c r="B239" s="425"/>
      <c r="C239" s="425"/>
      <c r="D239" s="425"/>
      <c r="E239" s="425"/>
      <c r="F239" s="511"/>
      <c r="G239" s="425"/>
      <c r="H239" s="511"/>
      <c r="I239" s="425"/>
      <c r="J239" s="425"/>
      <c r="K239" s="425"/>
      <c r="L239" s="511"/>
      <c r="M239" s="425"/>
      <c r="N239" s="511"/>
      <c r="O239" s="425"/>
      <c r="P239" s="425"/>
      <c r="Q239" s="425"/>
      <c r="R239" s="511"/>
      <c r="S239" s="425"/>
      <c r="T239" s="511"/>
      <c r="U239" s="425"/>
      <c r="V239" s="425"/>
      <c r="W239" s="425"/>
      <c r="X239" s="425"/>
      <c r="Y239" s="425"/>
      <c r="Z239" s="425"/>
      <c r="AA239" s="425"/>
      <c r="AB239" s="425"/>
      <c r="AC239" s="425"/>
    </row>
    <row r="240" ht="15.75" customHeight="1">
      <c r="A240" s="425"/>
      <c r="B240" s="425"/>
      <c r="C240" s="425"/>
      <c r="D240" s="425"/>
      <c r="E240" s="425"/>
      <c r="F240" s="511"/>
      <c r="G240" s="425"/>
      <c r="H240" s="511"/>
      <c r="I240" s="425"/>
      <c r="J240" s="425"/>
      <c r="K240" s="425"/>
      <c r="L240" s="511"/>
      <c r="M240" s="425"/>
      <c r="N240" s="511"/>
      <c r="O240" s="425"/>
      <c r="P240" s="425"/>
      <c r="Q240" s="425"/>
      <c r="R240" s="511"/>
      <c r="S240" s="425"/>
      <c r="T240" s="511"/>
      <c r="U240" s="425"/>
      <c r="V240" s="425"/>
      <c r="W240" s="425"/>
      <c r="X240" s="425"/>
      <c r="Y240" s="425"/>
      <c r="Z240" s="425"/>
      <c r="AA240" s="425"/>
      <c r="AB240" s="425"/>
      <c r="AC240" s="425"/>
    </row>
    <row r="241" ht="15.75" customHeight="1">
      <c r="A241" s="425"/>
      <c r="B241" s="425"/>
      <c r="C241" s="425"/>
      <c r="D241" s="425"/>
      <c r="E241" s="425"/>
      <c r="F241" s="511"/>
      <c r="G241" s="425"/>
      <c r="H241" s="511"/>
      <c r="I241" s="425"/>
      <c r="J241" s="425"/>
      <c r="K241" s="425"/>
      <c r="L241" s="511"/>
      <c r="M241" s="425"/>
      <c r="N241" s="511"/>
      <c r="O241" s="425"/>
      <c r="P241" s="425"/>
      <c r="Q241" s="425"/>
      <c r="R241" s="511"/>
      <c r="S241" s="425"/>
      <c r="T241" s="511"/>
      <c r="U241" s="425"/>
      <c r="V241" s="425"/>
      <c r="W241" s="425"/>
      <c r="X241" s="425"/>
      <c r="Y241" s="425"/>
      <c r="Z241" s="425"/>
      <c r="AA241" s="425"/>
      <c r="AB241" s="425"/>
      <c r="AC241" s="425"/>
    </row>
    <row r="242" ht="15.75" customHeight="1">
      <c r="A242" s="425"/>
      <c r="B242" s="425"/>
      <c r="C242" s="425"/>
      <c r="D242" s="425"/>
      <c r="E242" s="425"/>
      <c r="F242" s="511"/>
      <c r="G242" s="425"/>
      <c r="H242" s="511"/>
      <c r="I242" s="425"/>
      <c r="J242" s="425"/>
      <c r="K242" s="425"/>
      <c r="L242" s="511"/>
      <c r="M242" s="425"/>
      <c r="N242" s="511"/>
      <c r="O242" s="425"/>
      <c r="P242" s="425"/>
      <c r="Q242" s="425"/>
      <c r="R242" s="511"/>
      <c r="S242" s="425"/>
      <c r="T242" s="511"/>
      <c r="U242" s="425"/>
      <c r="V242" s="425"/>
      <c r="W242" s="425"/>
      <c r="X242" s="425"/>
      <c r="Y242" s="425"/>
      <c r="Z242" s="425"/>
      <c r="AA242" s="425"/>
      <c r="AB242" s="425"/>
      <c r="AC242" s="425"/>
    </row>
    <row r="243" ht="15.75" customHeight="1">
      <c r="A243" s="425"/>
      <c r="B243" s="425"/>
      <c r="C243" s="425"/>
      <c r="D243" s="425"/>
      <c r="E243" s="425"/>
      <c r="F243" s="511"/>
      <c r="G243" s="425"/>
      <c r="H243" s="511"/>
      <c r="I243" s="425"/>
      <c r="J243" s="425"/>
      <c r="K243" s="425"/>
      <c r="L243" s="511"/>
      <c r="M243" s="425"/>
      <c r="N243" s="511"/>
      <c r="O243" s="425"/>
      <c r="P243" s="425"/>
      <c r="Q243" s="425"/>
      <c r="R243" s="511"/>
      <c r="S243" s="425"/>
      <c r="T243" s="511"/>
      <c r="U243" s="425"/>
      <c r="V243" s="425"/>
      <c r="W243" s="425"/>
      <c r="X243" s="425"/>
      <c r="Y243" s="425"/>
      <c r="Z243" s="425"/>
      <c r="AA243" s="425"/>
      <c r="AB243" s="425"/>
      <c r="AC243" s="425"/>
    </row>
    <row r="244" ht="15.75" customHeight="1">
      <c r="A244" s="425"/>
      <c r="B244" s="425"/>
      <c r="C244" s="425"/>
      <c r="D244" s="425"/>
      <c r="E244" s="425"/>
      <c r="F244" s="511"/>
      <c r="G244" s="425"/>
      <c r="H244" s="511"/>
      <c r="I244" s="425"/>
      <c r="J244" s="425"/>
      <c r="K244" s="425"/>
      <c r="L244" s="511"/>
      <c r="M244" s="425"/>
      <c r="N244" s="511"/>
      <c r="O244" s="425"/>
      <c r="P244" s="425"/>
      <c r="Q244" s="425"/>
      <c r="R244" s="511"/>
      <c r="S244" s="425"/>
      <c r="T244" s="511"/>
      <c r="U244" s="425"/>
      <c r="V244" s="425"/>
      <c r="W244" s="425"/>
      <c r="X244" s="425"/>
      <c r="Y244" s="425"/>
      <c r="Z244" s="425"/>
      <c r="AA244" s="425"/>
      <c r="AB244" s="425"/>
      <c r="AC244" s="425"/>
    </row>
    <row r="245" ht="15.75" customHeight="1">
      <c r="A245" s="425"/>
      <c r="B245" s="425"/>
      <c r="C245" s="425"/>
      <c r="D245" s="425"/>
      <c r="E245" s="425"/>
      <c r="F245" s="511"/>
      <c r="G245" s="425"/>
      <c r="H245" s="511"/>
      <c r="I245" s="425"/>
      <c r="J245" s="425"/>
      <c r="K245" s="425"/>
      <c r="L245" s="511"/>
      <c r="M245" s="425"/>
      <c r="N245" s="511"/>
      <c r="O245" s="425"/>
      <c r="P245" s="425"/>
      <c r="Q245" s="425"/>
      <c r="R245" s="511"/>
      <c r="S245" s="425"/>
      <c r="T245" s="511"/>
      <c r="U245" s="425"/>
      <c r="V245" s="425"/>
      <c r="W245" s="425"/>
      <c r="X245" s="425"/>
      <c r="Y245" s="425"/>
      <c r="Z245" s="425"/>
      <c r="AA245" s="425"/>
      <c r="AB245" s="425"/>
      <c r="AC245" s="425"/>
    </row>
    <row r="246" ht="15.75" customHeight="1">
      <c r="A246" s="425"/>
      <c r="B246" s="425"/>
      <c r="C246" s="425"/>
      <c r="D246" s="425"/>
      <c r="E246" s="425"/>
      <c r="F246" s="511"/>
      <c r="G246" s="425"/>
      <c r="H246" s="511"/>
      <c r="I246" s="425"/>
      <c r="J246" s="425"/>
      <c r="K246" s="425"/>
      <c r="L246" s="511"/>
      <c r="M246" s="425"/>
      <c r="N246" s="511"/>
      <c r="O246" s="425"/>
      <c r="P246" s="425"/>
      <c r="Q246" s="425"/>
      <c r="R246" s="511"/>
      <c r="S246" s="425"/>
      <c r="T246" s="511"/>
      <c r="U246" s="425"/>
      <c r="V246" s="425"/>
      <c r="W246" s="425"/>
      <c r="X246" s="425"/>
      <c r="Y246" s="425"/>
      <c r="Z246" s="425"/>
      <c r="AA246" s="425"/>
      <c r="AB246" s="425"/>
      <c r="AC246" s="425"/>
    </row>
    <row r="247" ht="15.75" customHeight="1">
      <c r="A247" s="425"/>
      <c r="B247" s="425"/>
      <c r="C247" s="425"/>
      <c r="D247" s="425"/>
      <c r="E247" s="425"/>
      <c r="F247" s="511"/>
      <c r="G247" s="425"/>
      <c r="H247" s="511"/>
      <c r="I247" s="425"/>
      <c r="J247" s="425"/>
      <c r="K247" s="425"/>
      <c r="L247" s="511"/>
      <c r="M247" s="425"/>
      <c r="N247" s="511"/>
      <c r="O247" s="425"/>
      <c r="P247" s="425"/>
      <c r="Q247" s="425"/>
      <c r="R247" s="511"/>
      <c r="S247" s="425"/>
      <c r="T247" s="511"/>
      <c r="U247" s="425"/>
      <c r="V247" s="425"/>
      <c r="W247" s="425"/>
      <c r="X247" s="425"/>
      <c r="Y247" s="425"/>
      <c r="Z247" s="425"/>
      <c r="AA247" s="425"/>
      <c r="AB247" s="425"/>
      <c r="AC247" s="425"/>
    </row>
    <row r="248" ht="15.75" customHeight="1">
      <c r="A248" s="425"/>
      <c r="B248" s="425"/>
      <c r="C248" s="425"/>
      <c r="D248" s="425"/>
      <c r="E248" s="425"/>
      <c r="F248" s="511"/>
      <c r="G248" s="425"/>
      <c r="H248" s="511"/>
      <c r="I248" s="425"/>
      <c r="J248" s="425"/>
      <c r="K248" s="425"/>
      <c r="L248" s="511"/>
      <c r="M248" s="425"/>
      <c r="N248" s="511"/>
      <c r="O248" s="425"/>
      <c r="P248" s="425"/>
      <c r="Q248" s="425"/>
      <c r="R248" s="511"/>
      <c r="S248" s="425"/>
      <c r="T248" s="511"/>
      <c r="U248" s="425"/>
      <c r="V248" s="425"/>
      <c r="W248" s="425"/>
      <c r="X248" s="425"/>
      <c r="Y248" s="425"/>
      <c r="Z248" s="425"/>
      <c r="AA248" s="425"/>
      <c r="AB248" s="425"/>
      <c r="AC248" s="425"/>
    </row>
    <row r="249" ht="15.75" customHeight="1">
      <c r="A249" s="425"/>
      <c r="B249" s="425"/>
      <c r="C249" s="425"/>
      <c r="D249" s="425"/>
      <c r="E249" s="425"/>
      <c r="F249" s="511"/>
      <c r="G249" s="425"/>
      <c r="H249" s="511"/>
      <c r="I249" s="425"/>
      <c r="J249" s="425"/>
      <c r="K249" s="425"/>
      <c r="L249" s="511"/>
      <c r="M249" s="425"/>
      <c r="N249" s="511"/>
      <c r="O249" s="425"/>
      <c r="P249" s="425"/>
      <c r="Q249" s="425"/>
      <c r="R249" s="511"/>
      <c r="S249" s="425"/>
      <c r="T249" s="511"/>
      <c r="U249" s="425"/>
      <c r="V249" s="425"/>
      <c r="W249" s="425"/>
      <c r="X249" s="425"/>
      <c r="Y249" s="425"/>
      <c r="Z249" s="425"/>
      <c r="AA249" s="425"/>
      <c r="AB249" s="425"/>
      <c r="AC249" s="425"/>
    </row>
    <row r="250" ht="15.75" customHeight="1">
      <c r="A250" s="425"/>
      <c r="B250" s="425"/>
      <c r="C250" s="425"/>
      <c r="D250" s="425"/>
      <c r="E250" s="425"/>
      <c r="F250" s="511"/>
      <c r="G250" s="425"/>
      <c r="H250" s="511"/>
      <c r="I250" s="425"/>
      <c r="J250" s="425"/>
      <c r="K250" s="425"/>
      <c r="L250" s="511"/>
      <c r="M250" s="425"/>
      <c r="N250" s="511"/>
      <c r="O250" s="425"/>
      <c r="P250" s="425"/>
      <c r="Q250" s="425"/>
      <c r="R250" s="511"/>
      <c r="S250" s="425"/>
      <c r="T250" s="511"/>
      <c r="U250" s="425"/>
      <c r="V250" s="425"/>
      <c r="W250" s="425"/>
      <c r="X250" s="425"/>
      <c r="Y250" s="425"/>
      <c r="Z250" s="425"/>
      <c r="AA250" s="425"/>
      <c r="AB250" s="425"/>
      <c r="AC250" s="425"/>
    </row>
    <row r="251" ht="15.75" customHeight="1">
      <c r="A251" s="425"/>
      <c r="B251" s="425"/>
      <c r="C251" s="425"/>
      <c r="D251" s="425"/>
      <c r="E251" s="425"/>
      <c r="F251" s="511"/>
      <c r="G251" s="425"/>
      <c r="H251" s="511"/>
      <c r="I251" s="425"/>
      <c r="J251" s="425"/>
      <c r="K251" s="425"/>
      <c r="L251" s="511"/>
      <c r="M251" s="425"/>
      <c r="N251" s="511"/>
      <c r="O251" s="425"/>
      <c r="P251" s="425"/>
      <c r="Q251" s="425"/>
      <c r="R251" s="511"/>
      <c r="S251" s="425"/>
      <c r="T251" s="511"/>
      <c r="U251" s="425"/>
      <c r="V251" s="425"/>
      <c r="W251" s="425"/>
      <c r="X251" s="425"/>
      <c r="Y251" s="425"/>
      <c r="Z251" s="425"/>
      <c r="AA251" s="425"/>
      <c r="AB251" s="425"/>
      <c r="AC251" s="425"/>
    </row>
    <row r="252" ht="15.75" customHeight="1">
      <c r="A252" s="425"/>
      <c r="B252" s="425"/>
      <c r="C252" s="425"/>
      <c r="D252" s="425"/>
      <c r="E252" s="425"/>
      <c r="F252" s="511"/>
      <c r="G252" s="425"/>
      <c r="H252" s="511"/>
      <c r="I252" s="425"/>
      <c r="J252" s="425"/>
      <c r="K252" s="425"/>
      <c r="L252" s="511"/>
      <c r="M252" s="425"/>
      <c r="N252" s="511"/>
      <c r="O252" s="425"/>
      <c r="P252" s="425"/>
      <c r="Q252" s="425"/>
      <c r="R252" s="511"/>
      <c r="S252" s="425"/>
      <c r="T252" s="511"/>
      <c r="U252" s="425"/>
      <c r="V252" s="425"/>
      <c r="W252" s="425"/>
      <c r="X252" s="425"/>
      <c r="Y252" s="425"/>
      <c r="Z252" s="425"/>
      <c r="AA252" s="425"/>
      <c r="AB252" s="425"/>
      <c r="AC252" s="425"/>
    </row>
    <row r="253" ht="15.75" customHeight="1">
      <c r="A253" s="425"/>
      <c r="B253" s="425"/>
      <c r="C253" s="425"/>
      <c r="D253" s="425"/>
      <c r="E253" s="425"/>
      <c r="F253" s="511"/>
      <c r="G253" s="425"/>
      <c r="H253" s="511"/>
      <c r="I253" s="425"/>
      <c r="J253" s="425"/>
      <c r="K253" s="425"/>
      <c r="L253" s="511"/>
      <c r="M253" s="425"/>
      <c r="N253" s="511"/>
      <c r="O253" s="425"/>
      <c r="P253" s="425"/>
      <c r="Q253" s="425"/>
      <c r="R253" s="511"/>
      <c r="S253" s="425"/>
      <c r="T253" s="511"/>
      <c r="U253" s="425"/>
      <c r="V253" s="425"/>
      <c r="W253" s="425"/>
      <c r="X253" s="425"/>
      <c r="Y253" s="425"/>
      <c r="Z253" s="425"/>
      <c r="AA253" s="425"/>
      <c r="AB253" s="425"/>
      <c r="AC253" s="425"/>
    </row>
    <row r="254" ht="15.75" customHeight="1">
      <c r="A254" s="425"/>
      <c r="B254" s="425"/>
      <c r="C254" s="425"/>
      <c r="D254" s="425"/>
      <c r="E254" s="425"/>
      <c r="F254" s="511"/>
      <c r="G254" s="425"/>
      <c r="H254" s="511"/>
      <c r="I254" s="425"/>
      <c r="J254" s="425"/>
      <c r="K254" s="425"/>
      <c r="L254" s="511"/>
      <c r="M254" s="425"/>
      <c r="N254" s="511"/>
      <c r="O254" s="425"/>
      <c r="P254" s="425"/>
      <c r="Q254" s="425"/>
      <c r="R254" s="511"/>
      <c r="S254" s="425"/>
      <c r="T254" s="511"/>
      <c r="U254" s="425"/>
      <c r="V254" s="425"/>
      <c r="W254" s="425"/>
      <c r="X254" s="425"/>
      <c r="Y254" s="425"/>
      <c r="Z254" s="425"/>
      <c r="AA254" s="425"/>
      <c r="AB254" s="425"/>
      <c r="AC254" s="425"/>
    </row>
    <row r="255" ht="15.75" customHeight="1">
      <c r="A255" s="425"/>
      <c r="B255" s="425"/>
      <c r="C255" s="425"/>
      <c r="D255" s="425"/>
      <c r="E255" s="425"/>
      <c r="F255" s="511"/>
      <c r="G255" s="425"/>
      <c r="H255" s="511"/>
      <c r="I255" s="425"/>
      <c r="J255" s="425"/>
      <c r="K255" s="425"/>
      <c r="L255" s="511"/>
      <c r="M255" s="425"/>
      <c r="N255" s="511"/>
      <c r="O255" s="425"/>
      <c r="P255" s="425"/>
      <c r="Q255" s="425"/>
      <c r="R255" s="511"/>
      <c r="S255" s="425"/>
      <c r="T255" s="511"/>
      <c r="U255" s="425"/>
      <c r="V255" s="425"/>
      <c r="W255" s="425"/>
      <c r="X255" s="425"/>
      <c r="Y255" s="425"/>
      <c r="Z255" s="425"/>
      <c r="AA255" s="425"/>
      <c r="AB255" s="425"/>
      <c r="AC255" s="425"/>
    </row>
    <row r="256" ht="15.75" customHeight="1">
      <c r="A256" s="425"/>
      <c r="B256" s="425"/>
      <c r="C256" s="425"/>
      <c r="D256" s="425"/>
      <c r="E256" s="425"/>
      <c r="F256" s="511"/>
      <c r="G256" s="425"/>
      <c r="H256" s="511"/>
      <c r="I256" s="425"/>
      <c r="J256" s="425"/>
      <c r="K256" s="425"/>
      <c r="L256" s="511"/>
      <c r="M256" s="425"/>
      <c r="N256" s="511"/>
      <c r="O256" s="425"/>
      <c r="P256" s="425"/>
      <c r="Q256" s="425"/>
      <c r="R256" s="511"/>
      <c r="S256" s="425"/>
      <c r="T256" s="511"/>
      <c r="U256" s="425"/>
      <c r="V256" s="425"/>
      <c r="W256" s="425"/>
      <c r="X256" s="425"/>
      <c r="Y256" s="425"/>
      <c r="Z256" s="425"/>
      <c r="AA256" s="425"/>
      <c r="AB256" s="425"/>
      <c r="AC256" s="425"/>
    </row>
    <row r="257" ht="15.75" customHeight="1">
      <c r="A257" s="425"/>
      <c r="B257" s="425"/>
      <c r="C257" s="425"/>
      <c r="D257" s="425"/>
      <c r="E257" s="425"/>
      <c r="F257" s="511"/>
      <c r="G257" s="425"/>
      <c r="H257" s="511"/>
      <c r="I257" s="425"/>
      <c r="J257" s="425"/>
      <c r="K257" s="425"/>
      <c r="L257" s="511"/>
      <c r="M257" s="425"/>
      <c r="N257" s="511"/>
      <c r="O257" s="425"/>
      <c r="P257" s="425"/>
      <c r="Q257" s="425"/>
      <c r="R257" s="511"/>
      <c r="S257" s="425"/>
      <c r="T257" s="511"/>
      <c r="U257" s="425"/>
      <c r="V257" s="425"/>
      <c r="W257" s="425"/>
      <c r="X257" s="425"/>
      <c r="Y257" s="425"/>
      <c r="Z257" s="425"/>
      <c r="AA257" s="425"/>
      <c r="AB257" s="425"/>
      <c r="AC257" s="425"/>
    </row>
    <row r="258" ht="15.75" customHeight="1">
      <c r="A258" s="425"/>
      <c r="B258" s="425"/>
      <c r="C258" s="425"/>
      <c r="D258" s="425"/>
      <c r="E258" s="425"/>
      <c r="F258" s="511"/>
      <c r="G258" s="425"/>
      <c r="H258" s="511"/>
      <c r="I258" s="425"/>
      <c r="J258" s="425"/>
      <c r="K258" s="425"/>
      <c r="L258" s="511"/>
      <c r="M258" s="425"/>
      <c r="N258" s="511"/>
      <c r="O258" s="425"/>
      <c r="P258" s="425"/>
      <c r="Q258" s="425"/>
      <c r="R258" s="511"/>
      <c r="S258" s="425"/>
      <c r="T258" s="511"/>
      <c r="U258" s="425"/>
      <c r="V258" s="425"/>
      <c r="W258" s="425"/>
      <c r="X258" s="425"/>
      <c r="Y258" s="425"/>
      <c r="Z258" s="425"/>
      <c r="AA258" s="425"/>
      <c r="AB258" s="425"/>
      <c r="AC258" s="425"/>
    </row>
    <row r="259" ht="15.75" customHeight="1">
      <c r="A259" s="425"/>
      <c r="B259" s="425"/>
      <c r="C259" s="425"/>
      <c r="D259" s="425"/>
      <c r="E259" s="425"/>
      <c r="F259" s="511"/>
      <c r="G259" s="425"/>
      <c r="H259" s="511"/>
      <c r="I259" s="425"/>
      <c r="J259" s="425"/>
      <c r="K259" s="425"/>
      <c r="L259" s="511"/>
      <c r="M259" s="425"/>
      <c r="N259" s="511"/>
      <c r="O259" s="425"/>
      <c r="P259" s="425"/>
      <c r="Q259" s="425"/>
      <c r="R259" s="511"/>
      <c r="S259" s="425"/>
      <c r="T259" s="511"/>
      <c r="U259" s="425"/>
      <c r="V259" s="425"/>
      <c r="W259" s="425"/>
      <c r="X259" s="425"/>
      <c r="Y259" s="425"/>
      <c r="Z259" s="425"/>
      <c r="AA259" s="425"/>
      <c r="AB259" s="425"/>
      <c r="AC259" s="425"/>
    </row>
    <row r="260" ht="15.75" customHeight="1">
      <c r="A260" s="425"/>
      <c r="B260" s="425"/>
      <c r="C260" s="425"/>
      <c r="D260" s="425"/>
      <c r="E260" s="425"/>
      <c r="F260" s="511"/>
      <c r="G260" s="425"/>
      <c r="H260" s="511"/>
      <c r="I260" s="425"/>
      <c r="J260" s="425"/>
      <c r="K260" s="425"/>
      <c r="L260" s="511"/>
      <c r="M260" s="425"/>
      <c r="N260" s="511"/>
      <c r="O260" s="425"/>
      <c r="P260" s="425"/>
      <c r="Q260" s="425"/>
      <c r="R260" s="511"/>
      <c r="S260" s="425"/>
      <c r="T260" s="511"/>
      <c r="U260" s="425"/>
      <c r="V260" s="425"/>
      <c r="W260" s="425"/>
      <c r="X260" s="425"/>
      <c r="Y260" s="425"/>
      <c r="Z260" s="425"/>
      <c r="AA260" s="425"/>
      <c r="AB260" s="425"/>
      <c r="AC260" s="425"/>
    </row>
    <row r="261" ht="15.75" customHeight="1">
      <c r="A261" s="425"/>
      <c r="B261" s="425"/>
      <c r="C261" s="425"/>
      <c r="D261" s="425"/>
      <c r="E261" s="425"/>
      <c r="F261" s="511"/>
      <c r="G261" s="425"/>
      <c r="H261" s="511"/>
      <c r="I261" s="425"/>
      <c r="J261" s="425"/>
      <c r="K261" s="425"/>
      <c r="L261" s="511"/>
      <c r="M261" s="425"/>
      <c r="N261" s="511"/>
      <c r="O261" s="425"/>
      <c r="P261" s="425"/>
      <c r="Q261" s="425"/>
      <c r="R261" s="511"/>
      <c r="S261" s="425"/>
      <c r="T261" s="511"/>
      <c r="U261" s="425"/>
      <c r="V261" s="425"/>
      <c r="W261" s="425"/>
      <c r="X261" s="425"/>
      <c r="Y261" s="425"/>
      <c r="Z261" s="425"/>
      <c r="AA261" s="425"/>
      <c r="AB261" s="425"/>
      <c r="AC261" s="425"/>
    </row>
    <row r="262" ht="15.75" customHeight="1">
      <c r="A262" s="425"/>
      <c r="B262" s="425"/>
      <c r="C262" s="425"/>
      <c r="D262" s="425"/>
      <c r="E262" s="425"/>
      <c r="F262" s="511"/>
      <c r="G262" s="425"/>
      <c r="H262" s="511"/>
      <c r="I262" s="425"/>
      <c r="J262" s="425"/>
      <c r="K262" s="425"/>
      <c r="L262" s="511"/>
      <c r="M262" s="425"/>
      <c r="N262" s="511"/>
      <c r="O262" s="425"/>
      <c r="P262" s="425"/>
      <c r="Q262" s="425"/>
      <c r="R262" s="511"/>
      <c r="S262" s="425"/>
      <c r="T262" s="511"/>
      <c r="U262" s="425"/>
      <c r="V262" s="425"/>
      <c r="W262" s="425"/>
      <c r="X262" s="425"/>
      <c r="Y262" s="425"/>
      <c r="Z262" s="425"/>
      <c r="AA262" s="425"/>
      <c r="AB262" s="425"/>
      <c r="AC262" s="425"/>
    </row>
    <row r="263" ht="15.75" customHeight="1">
      <c r="A263" s="425"/>
      <c r="B263" s="425"/>
      <c r="C263" s="425"/>
      <c r="D263" s="425"/>
      <c r="E263" s="425"/>
      <c r="F263" s="511"/>
      <c r="G263" s="425"/>
      <c r="H263" s="511"/>
      <c r="I263" s="425"/>
      <c r="J263" s="425"/>
      <c r="K263" s="425"/>
      <c r="L263" s="511"/>
      <c r="M263" s="425"/>
      <c r="N263" s="511"/>
      <c r="O263" s="425"/>
      <c r="P263" s="425"/>
      <c r="Q263" s="425"/>
      <c r="R263" s="511"/>
      <c r="S263" s="425"/>
      <c r="T263" s="511"/>
      <c r="U263" s="425"/>
      <c r="V263" s="425"/>
      <c r="W263" s="425"/>
      <c r="X263" s="425"/>
      <c r="Y263" s="425"/>
      <c r="Z263" s="425"/>
      <c r="AA263" s="425"/>
      <c r="AB263" s="425"/>
      <c r="AC263" s="425"/>
    </row>
    <row r="264" ht="15.75" customHeight="1">
      <c r="A264" s="425"/>
      <c r="B264" s="425"/>
      <c r="C264" s="425"/>
      <c r="D264" s="425"/>
      <c r="E264" s="425"/>
      <c r="F264" s="511"/>
      <c r="G264" s="425"/>
      <c r="H264" s="511"/>
      <c r="I264" s="425"/>
      <c r="J264" s="425"/>
      <c r="K264" s="425"/>
      <c r="L264" s="511"/>
      <c r="M264" s="425"/>
      <c r="N264" s="511"/>
      <c r="O264" s="425"/>
      <c r="P264" s="425"/>
      <c r="Q264" s="425"/>
      <c r="R264" s="511"/>
      <c r="S264" s="425"/>
      <c r="T264" s="511"/>
      <c r="U264" s="425"/>
      <c r="V264" s="425"/>
      <c r="W264" s="425"/>
      <c r="X264" s="425"/>
      <c r="Y264" s="425"/>
      <c r="Z264" s="425"/>
      <c r="AA264" s="425"/>
      <c r="AB264" s="425"/>
      <c r="AC264" s="425"/>
    </row>
    <row r="265" ht="15.75" customHeight="1">
      <c r="A265" s="425"/>
      <c r="B265" s="425"/>
      <c r="C265" s="425"/>
      <c r="D265" s="425"/>
      <c r="E265" s="425"/>
      <c r="F265" s="511"/>
      <c r="G265" s="425"/>
      <c r="H265" s="511"/>
      <c r="I265" s="425"/>
      <c r="J265" s="425"/>
      <c r="K265" s="425"/>
      <c r="L265" s="511"/>
      <c r="M265" s="425"/>
      <c r="N265" s="511"/>
      <c r="O265" s="425"/>
      <c r="P265" s="425"/>
      <c r="Q265" s="425"/>
      <c r="R265" s="511"/>
      <c r="S265" s="425"/>
      <c r="T265" s="511"/>
      <c r="U265" s="425"/>
      <c r="V265" s="425"/>
      <c r="W265" s="425"/>
      <c r="X265" s="425"/>
      <c r="Y265" s="425"/>
      <c r="Z265" s="425"/>
      <c r="AA265" s="425"/>
      <c r="AB265" s="425"/>
      <c r="AC265" s="425"/>
    </row>
    <row r="266" ht="15.75" customHeight="1">
      <c r="A266" s="425"/>
      <c r="B266" s="425"/>
      <c r="C266" s="425"/>
      <c r="D266" s="425"/>
      <c r="E266" s="425"/>
      <c r="F266" s="511"/>
      <c r="G266" s="425"/>
      <c r="H266" s="511"/>
      <c r="I266" s="425"/>
      <c r="J266" s="425"/>
      <c r="K266" s="425"/>
      <c r="L266" s="511"/>
      <c r="M266" s="425"/>
      <c r="N266" s="511"/>
      <c r="O266" s="425"/>
      <c r="P266" s="425"/>
      <c r="Q266" s="425"/>
      <c r="R266" s="511"/>
      <c r="S266" s="425"/>
      <c r="T266" s="511"/>
      <c r="U266" s="425"/>
      <c r="V266" s="425"/>
      <c r="W266" s="425"/>
      <c r="X266" s="425"/>
      <c r="Y266" s="425"/>
      <c r="Z266" s="425"/>
      <c r="AA266" s="425"/>
      <c r="AB266" s="425"/>
      <c r="AC266" s="425"/>
    </row>
    <row r="267" ht="15.75" customHeight="1">
      <c r="A267" s="425"/>
      <c r="B267" s="425"/>
      <c r="C267" s="425"/>
      <c r="D267" s="425"/>
      <c r="E267" s="425"/>
      <c r="F267" s="511"/>
      <c r="G267" s="425"/>
      <c r="H267" s="511"/>
      <c r="I267" s="425"/>
      <c r="J267" s="425"/>
      <c r="K267" s="425"/>
      <c r="L267" s="511"/>
      <c r="M267" s="425"/>
      <c r="N267" s="511"/>
      <c r="O267" s="425"/>
      <c r="P267" s="425"/>
      <c r="Q267" s="425"/>
      <c r="R267" s="511"/>
      <c r="S267" s="425"/>
      <c r="T267" s="511"/>
      <c r="U267" s="425"/>
      <c r="V267" s="425"/>
      <c r="W267" s="425"/>
      <c r="X267" s="425"/>
      <c r="Y267" s="425"/>
      <c r="Z267" s="425"/>
      <c r="AA267" s="425"/>
      <c r="AB267" s="425"/>
      <c r="AC267" s="425"/>
    </row>
    <row r="268" ht="15.75" customHeight="1">
      <c r="A268" s="425"/>
      <c r="B268" s="425"/>
      <c r="C268" s="425"/>
      <c r="D268" s="425"/>
      <c r="E268" s="425"/>
      <c r="F268" s="511"/>
      <c r="G268" s="425"/>
      <c r="H268" s="511"/>
      <c r="I268" s="425"/>
      <c r="J268" s="425"/>
      <c r="K268" s="425"/>
      <c r="L268" s="511"/>
      <c r="M268" s="425"/>
      <c r="N268" s="511"/>
      <c r="O268" s="425"/>
      <c r="P268" s="425"/>
      <c r="Q268" s="425"/>
      <c r="R268" s="511"/>
      <c r="S268" s="425"/>
      <c r="T268" s="511"/>
      <c r="U268" s="425"/>
      <c r="V268" s="425"/>
      <c r="W268" s="425"/>
      <c r="X268" s="425"/>
      <c r="Y268" s="425"/>
      <c r="Z268" s="425"/>
      <c r="AA268" s="425"/>
      <c r="AB268" s="425"/>
      <c r="AC268" s="425"/>
    </row>
    <row r="269" ht="15.75" customHeight="1">
      <c r="A269" s="425"/>
      <c r="B269" s="425"/>
      <c r="C269" s="425"/>
      <c r="D269" s="425"/>
      <c r="E269" s="425"/>
      <c r="F269" s="511"/>
      <c r="G269" s="425"/>
      <c r="H269" s="511"/>
      <c r="I269" s="425"/>
      <c r="J269" s="425"/>
      <c r="K269" s="425"/>
      <c r="L269" s="511"/>
      <c r="M269" s="425"/>
      <c r="N269" s="511"/>
      <c r="O269" s="425"/>
      <c r="P269" s="425"/>
      <c r="Q269" s="425"/>
      <c r="R269" s="511"/>
      <c r="S269" s="425"/>
      <c r="T269" s="511"/>
      <c r="U269" s="425"/>
      <c r="V269" s="425"/>
      <c r="W269" s="425"/>
      <c r="X269" s="425"/>
      <c r="Y269" s="425"/>
      <c r="Z269" s="425"/>
      <c r="AA269" s="425"/>
      <c r="AB269" s="425"/>
      <c r="AC269" s="425"/>
    </row>
    <row r="270" ht="15.75" customHeight="1">
      <c r="A270" s="425"/>
      <c r="B270" s="425"/>
      <c r="C270" s="425"/>
      <c r="D270" s="425"/>
      <c r="E270" s="425"/>
      <c r="F270" s="511"/>
      <c r="G270" s="425"/>
      <c r="H270" s="511"/>
      <c r="I270" s="425"/>
      <c r="J270" s="425"/>
      <c r="K270" s="425"/>
      <c r="L270" s="511"/>
      <c r="M270" s="425"/>
      <c r="N270" s="511"/>
      <c r="O270" s="425"/>
      <c r="P270" s="425"/>
      <c r="Q270" s="425"/>
      <c r="R270" s="511"/>
      <c r="S270" s="425"/>
      <c r="T270" s="511"/>
      <c r="U270" s="425"/>
      <c r="V270" s="425"/>
      <c r="W270" s="425"/>
      <c r="X270" s="425"/>
      <c r="Y270" s="425"/>
      <c r="Z270" s="425"/>
      <c r="AA270" s="425"/>
      <c r="AB270" s="425"/>
      <c r="AC270" s="425"/>
    </row>
    <row r="271" ht="15.75" customHeight="1">
      <c r="A271" s="425"/>
      <c r="B271" s="425"/>
      <c r="C271" s="425"/>
      <c r="D271" s="425"/>
      <c r="E271" s="425"/>
      <c r="F271" s="511"/>
      <c r="G271" s="425"/>
      <c r="H271" s="511"/>
      <c r="I271" s="425"/>
      <c r="J271" s="425"/>
      <c r="K271" s="425"/>
      <c r="L271" s="511"/>
      <c r="M271" s="425"/>
      <c r="N271" s="511"/>
      <c r="O271" s="425"/>
      <c r="P271" s="425"/>
      <c r="Q271" s="425"/>
      <c r="R271" s="511"/>
      <c r="S271" s="425"/>
      <c r="T271" s="511"/>
      <c r="U271" s="425"/>
      <c r="V271" s="425"/>
      <c r="W271" s="425"/>
      <c r="X271" s="425"/>
      <c r="Y271" s="425"/>
      <c r="Z271" s="425"/>
      <c r="AA271" s="425"/>
      <c r="AB271" s="425"/>
      <c r="AC271" s="425"/>
    </row>
    <row r="272" ht="15.75" customHeight="1">
      <c r="A272" s="425"/>
      <c r="B272" s="425"/>
      <c r="C272" s="425"/>
      <c r="D272" s="425"/>
      <c r="E272" s="425"/>
      <c r="F272" s="511"/>
      <c r="G272" s="425"/>
      <c r="H272" s="511"/>
      <c r="I272" s="425"/>
      <c r="J272" s="425"/>
      <c r="K272" s="425"/>
      <c r="L272" s="511"/>
      <c r="M272" s="425"/>
      <c r="N272" s="511"/>
      <c r="O272" s="425"/>
      <c r="P272" s="425"/>
      <c r="Q272" s="425"/>
      <c r="R272" s="511"/>
      <c r="S272" s="425"/>
      <c r="T272" s="511"/>
      <c r="U272" s="425"/>
      <c r="V272" s="425"/>
      <c r="W272" s="425"/>
      <c r="X272" s="425"/>
      <c r="Y272" s="425"/>
      <c r="Z272" s="425"/>
      <c r="AA272" s="425"/>
      <c r="AB272" s="425"/>
      <c r="AC272" s="425"/>
    </row>
    <row r="273" ht="15.75" customHeight="1">
      <c r="A273" s="425"/>
      <c r="B273" s="425"/>
      <c r="C273" s="425"/>
      <c r="D273" s="425"/>
      <c r="E273" s="425"/>
      <c r="F273" s="511"/>
      <c r="G273" s="425"/>
      <c r="H273" s="511"/>
      <c r="I273" s="425"/>
      <c r="J273" s="425"/>
      <c r="K273" s="425"/>
      <c r="L273" s="511"/>
      <c r="M273" s="425"/>
      <c r="N273" s="511"/>
      <c r="O273" s="425"/>
      <c r="P273" s="425"/>
      <c r="Q273" s="425"/>
      <c r="R273" s="511"/>
      <c r="S273" s="425"/>
      <c r="T273" s="511"/>
      <c r="U273" s="425"/>
      <c r="V273" s="425"/>
      <c r="W273" s="425"/>
      <c r="X273" s="425"/>
      <c r="Y273" s="425"/>
      <c r="Z273" s="425"/>
      <c r="AA273" s="425"/>
      <c r="AB273" s="425"/>
      <c r="AC273" s="425"/>
    </row>
    <row r="274" ht="15.75" customHeight="1">
      <c r="A274" s="425"/>
      <c r="B274" s="425"/>
      <c r="C274" s="425"/>
      <c r="D274" s="425"/>
      <c r="E274" s="425"/>
      <c r="F274" s="511"/>
      <c r="G274" s="425"/>
      <c r="H274" s="511"/>
      <c r="I274" s="425"/>
      <c r="J274" s="425"/>
      <c r="K274" s="425"/>
      <c r="L274" s="511"/>
      <c r="M274" s="425"/>
      <c r="N274" s="511"/>
      <c r="O274" s="425"/>
      <c r="P274" s="425"/>
      <c r="Q274" s="425"/>
      <c r="R274" s="511"/>
      <c r="S274" s="425"/>
      <c r="T274" s="511"/>
      <c r="U274" s="425"/>
      <c r="V274" s="425"/>
      <c r="W274" s="425"/>
      <c r="X274" s="425"/>
      <c r="Y274" s="425"/>
      <c r="Z274" s="425"/>
      <c r="AA274" s="425"/>
      <c r="AB274" s="425"/>
      <c r="AC274" s="425"/>
    </row>
    <row r="275" ht="15.75" customHeight="1">
      <c r="A275" s="425"/>
      <c r="B275" s="425"/>
      <c r="C275" s="425"/>
      <c r="D275" s="425"/>
      <c r="E275" s="425"/>
      <c r="F275" s="511"/>
      <c r="G275" s="425"/>
      <c r="H275" s="511"/>
      <c r="I275" s="425"/>
      <c r="J275" s="425"/>
      <c r="K275" s="425"/>
      <c r="L275" s="511"/>
      <c r="M275" s="425"/>
      <c r="N275" s="511"/>
      <c r="O275" s="425"/>
      <c r="P275" s="425"/>
      <c r="Q275" s="425"/>
      <c r="R275" s="511"/>
      <c r="S275" s="425"/>
      <c r="T275" s="511"/>
      <c r="U275" s="425"/>
      <c r="V275" s="425"/>
      <c r="W275" s="425"/>
      <c r="X275" s="425"/>
      <c r="Y275" s="425"/>
      <c r="Z275" s="425"/>
      <c r="AA275" s="425"/>
      <c r="AB275" s="425"/>
      <c r="AC275" s="425"/>
    </row>
    <row r="276" ht="15.75" customHeight="1">
      <c r="A276" s="425"/>
      <c r="B276" s="425"/>
      <c r="C276" s="425"/>
      <c r="D276" s="425"/>
      <c r="E276" s="425"/>
      <c r="F276" s="511"/>
      <c r="G276" s="425"/>
      <c r="H276" s="511"/>
      <c r="I276" s="425"/>
      <c r="J276" s="425"/>
      <c r="K276" s="425"/>
      <c r="L276" s="511"/>
      <c r="M276" s="425"/>
      <c r="N276" s="511"/>
      <c r="O276" s="425"/>
      <c r="P276" s="425"/>
      <c r="Q276" s="425"/>
      <c r="R276" s="511"/>
      <c r="S276" s="425"/>
      <c r="T276" s="511"/>
      <c r="U276" s="425"/>
      <c r="V276" s="425"/>
      <c r="W276" s="425"/>
      <c r="X276" s="425"/>
      <c r="Y276" s="425"/>
      <c r="Z276" s="425"/>
      <c r="AA276" s="425"/>
      <c r="AB276" s="425"/>
      <c r="AC276" s="425"/>
    </row>
    <row r="277" ht="15.75" customHeight="1">
      <c r="A277" s="425"/>
      <c r="B277" s="425"/>
      <c r="C277" s="425"/>
      <c r="D277" s="425"/>
      <c r="E277" s="425"/>
      <c r="F277" s="511"/>
      <c r="G277" s="425"/>
      <c r="H277" s="511"/>
      <c r="I277" s="425"/>
      <c r="J277" s="425"/>
      <c r="K277" s="425"/>
      <c r="L277" s="511"/>
      <c r="M277" s="425"/>
      <c r="N277" s="511"/>
      <c r="O277" s="425"/>
      <c r="P277" s="425"/>
      <c r="Q277" s="425"/>
      <c r="R277" s="511"/>
      <c r="S277" s="425"/>
      <c r="T277" s="511"/>
      <c r="U277" s="425"/>
      <c r="V277" s="425"/>
      <c r="W277" s="425"/>
      <c r="X277" s="425"/>
      <c r="Y277" s="425"/>
      <c r="Z277" s="425"/>
      <c r="AA277" s="425"/>
      <c r="AB277" s="425"/>
      <c r="AC277" s="425"/>
    </row>
    <row r="278" ht="15.75" customHeight="1">
      <c r="A278" s="425"/>
      <c r="B278" s="425"/>
      <c r="C278" s="425"/>
      <c r="D278" s="425"/>
      <c r="E278" s="425"/>
      <c r="F278" s="511"/>
      <c r="G278" s="425"/>
      <c r="H278" s="511"/>
      <c r="I278" s="425"/>
      <c r="J278" s="425"/>
      <c r="K278" s="425"/>
      <c r="L278" s="511"/>
      <c r="M278" s="425"/>
      <c r="N278" s="511"/>
      <c r="O278" s="425"/>
      <c r="P278" s="425"/>
      <c r="Q278" s="425"/>
      <c r="R278" s="511"/>
      <c r="S278" s="425"/>
      <c r="T278" s="511"/>
      <c r="U278" s="425"/>
      <c r="V278" s="425"/>
      <c r="W278" s="425"/>
      <c r="X278" s="425"/>
      <c r="Y278" s="425"/>
      <c r="Z278" s="425"/>
      <c r="AA278" s="425"/>
      <c r="AB278" s="425"/>
      <c r="AC278" s="425"/>
    </row>
    <row r="279" ht="15.75" customHeight="1">
      <c r="A279" s="425"/>
      <c r="B279" s="425"/>
      <c r="C279" s="425"/>
      <c r="D279" s="425"/>
      <c r="E279" s="425"/>
      <c r="F279" s="511"/>
      <c r="G279" s="425"/>
      <c r="H279" s="511"/>
      <c r="I279" s="425"/>
      <c r="J279" s="425"/>
      <c r="K279" s="425"/>
      <c r="L279" s="511"/>
      <c r="M279" s="425"/>
      <c r="N279" s="511"/>
      <c r="O279" s="425"/>
      <c r="P279" s="425"/>
      <c r="Q279" s="425"/>
      <c r="R279" s="511"/>
      <c r="S279" s="425"/>
      <c r="T279" s="511"/>
      <c r="U279" s="425"/>
      <c r="V279" s="425"/>
      <c r="W279" s="425"/>
      <c r="X279" s="425"/>
      <c r="Y279" s="425"/>
      <c r="Z279" s="425"/>
      <c r="AA279" s="425"/>
      <c r="AB279" s="425"/>
      <c r="AC279" s="425"/>
    </row>
    <row r="280" ht="15.75" customHeight="1">
      <c r="A280" s="425"/>
      <c r="B280" s="425"/>
      <c r="C280" s="425"/>
      <c r="D280" s="425"/>
      <c r="E280" s="425"/>
      <c r="F280" s="511"/>
      <c r="G280" s="425"/>
      <c r="H280" s="511"/>
      <c r="I280" s="425"/>
      <c r="J280" s="425"/>
      <c r="K280" s="425"/>
      <c r="L280" s="511"/>
      <c r="M280" s="425"/>
      <c r="N280" s="511"/>
      <c r="O280" s="425"/>
      <c r="P280" s="425"/>
      <c r="Q280" s="425"/>
      <c r="R280" s="511"/>
      <c r="S280" s="425"/>
      <c r="T280" s="511"/>
      <c r="U280" s="425"/>
      <c r="V280" s="425"/>
      <c r="W280" s="425"/>
      <c r="X280" s="425"/>
      <c r="Y280" s="425"/>
      <c r="Z280" s="425"/>
      <c r="AA280" s="425"/>
      <c r="AB280" s="425"/>
      <c r="AC280" s="425"/>
    </row>
    <row r="281" ht="15.75" customHeight="1">
      <c r="A281" s="425"/>
      <c r="B281" s="425"/>
      <c r="C281" s="425"/>
      <c r="D281" s="425"/>
      <c r="E281" s="425"/>
      <c r="F281" s="511"/>
      <c r="G281" s="425"/>
      <c r="H281" s="511"/>
      <c r="I281" s="425"/>
      <c r="J281" s="425"/>
      <c r="K281" s="425"/>
      <c r="L281" s="511"/>
      <c r="M281" s="425"/>
      <c r="N281" s="511"/>
      <c r="O281" s="425"/>
      <c r="P281" s="425"/>
      <c r="Q281" s="425"/>
      <c r="R281" s="511"/>
      <c r="S281" s="425"/>
      <c r="T281" s="511"/>
      <c r="U281" s="425"/>
      <c r="V281" s="425"/>
      <c r="W281" s="425"/>
      <c r="X281" s="425"/>
      <c r="Y281" s="425"/>
      <c r="Z281" s="425"/>
      <c r="AA281" s="425"/>
      <c r="AB281" s="425"/>
      <c r="AC281" s="425"/>
    </row>
    <row r="282" ht="15.75" customHeight="1">
      <c r="A282" s="425"/>
      <c r="B282" s="425"/>
      <c r="C282" s="425"/>
      <c r="D282" s="425"/>
      <c r="E282" s="425"/>
      <c r="F282" s="511"/>
      <c r="G282" s="425"/>
      <c r="H282" s="511"/>
      <c r="I282" s="425"/>
      <c r="J282" s="425"/>
      <c r="K282" s="425"/>
      <c r="L282" s="511"/>
      <c r="M282" s="425"/>
      <c r="N282" s="511"/>
      <c r="O282" s="425"/>
      <c r="P282" s="425"/>
      <c r="Q282" s="425"/>
      <c r="R282" s="511"/>
      <c r="S282" s="425"/>
      <c r="T282" s="511"/>
      <c r="U282" s="425"/>
      <c r="V282" s="425"/>
      <c r="W282" s="425"/>
      <c r="X282" s="425"/>
      <c r="Y282" s="425"/>
      <c r="Z282" s="425"/>
      <c r="AA282" s="425"/>
      <c r="AB282" s="425"/>
      <c r="AC282" s="425"/>
    </row>
    <row r="283" ht="15.75" customHeight="1">
      <c r="A283" s="425"/>
      <c r="B283" s="425"/>
      <c r="C283" s="425"/>
      <c r="D283" s="425"/>
      <c r="E283" s="425"/>
      <c r="F283" s="511"/>
      <c r="G283" s="425"/>
      <c r="H283" s="511"/>
      <c r="I283" s="425"/>
      <c r="J283" s="425"/>
      <c r="K283" s="425"/>
      <c r="L283" s="511"/>
      <c r="M283" s="425"/>
      <c r="N283" s="511"/>
      <c r="O283" s="425"/>
      <c r="P283" s="425"/>
      <c r="Q283" s="425"/>
      <c r="R283" s="511"/>
      <c r="S283" s="425"/>
      <c r="T283" s="511"/>
      <c r="U283" s="425"/>
      <c r="V283" s="425"/>
      <c r="W283" s="425"/>
      <c r="X283" s="425"/>
      <c r="Y283" s="425"/>
      <c r="Z283" s="425"/>
      <c r="AA283" s="425"/>
      <c r="AB283" s="425"/>
      <c r="AC283" s="425"/>
    </row>
    <row r="284" ht="15.75" customHeight="1">
      <c r="A284" s="425"/>
      <c r="B284" s="425"/>
      <c r="C284" s="425"/>
      <c r="D284" s="425"/>
      <c r="E284" s="425"/>
      <c r="F284" s="511"/>
      <c r="G284" s="425"/>
      <c r="H284" s="511"/>
      <c r="I284" s="425"/>
      <c r="J284" s="425"/>
      <c r="K284" s="425"/>
      <c r="L284" s="511"/>
      <c r="M284" s="425"/>
      <c r="N284" s="511"/>
      <c r="O284" s="425"/>
      <c r="P284" s="425"/>
      <c r="Q284" s="425"/>
      <c r="R284" s="511"/>
      <c r="S284" s="425"/>
      <c r="T284" s="511"/>
      <c r="U284" s="425"/>
      <c r="V284" s="425"/>
      <c r="W284" s="425"/>
      <c r="X284" s="425"/>
      <c r="Y284" s="425"/>
      <c r="Z284" s="425"/>
      <c r="AA284" s="425"/>
      <c r="AB284" s="425"/>
      <c r="AC284" s="425"/>
    </row>
    <row r="285" ht="15.75" customHeight="1">
      <c r="A285" s="425"/>
      <c r="B285" s="425"/>
      <c r="C285" s="425"/>
      <c r="D285" s="425"/>
      <c r="E285" s="425"/>
      <c r="F285" s="511"/>
      <c r="G285" s="425"/>
      <c r="H285" s="511"/>
      <c r="I285" s="425"/>
      <c r="J285" s="425"/>
      <c r="K285" s="425"/>
      <c r="L285" s="511"/>
      <c r="M285" s="425"/>
      <c r="N285" s="511"/>
      <c r="O285" s="425"/>
      <c r="P285" s="425"/>
      <c r="Q285" s="425"/>
      <c r="R285" s="511"/>
      <c r="S285" s="425"/>
      <c r="T285" s="511"/>
      <c r="U285" s="425"/>
      <c r="V285" s="425"/>
      <c r="W285" s="425"/>
      <c r="X285" s="425"/>
      <c r="Y285" s="425"/>
      <c r="Z285" s="425"/>
      <c r="AA285" s="425"/>
      <c r="AB285" s="425"/>
      <c r="AC285" s="425"/>
    </row>
    <row r="286" ht="15.75" customHeight="1">
      <c r="A286" s="425"/>
      <c r="B286" s="425"/>
      <c r="C286" s="425"/>
      <c r="D286" s="425"/>
      <c r="E286" s="425"/>
      <c r="F286" s="511"/>
      <c r="G286" s="425"/>
      <c r="H286" s="511"/>
      <c r="I286" s="425"/>
      <c r="J286" s="425"/>
      <c r="K286" s="425"/>
      <c r="L286" s="511"/>
      <c r="M286" s="425"/>
      <c r="N286" s="511"/>
      <c r="O286" s="425"/>
      <c r="P286" s="425"/>
      <c r="Q286" s="425"/>
      <c r="R286" s="511"/>
      <c r="S286" s="425"/>
      <c r="T286" s="511"/>
      <c r="U286" s="425"/>
      <c r="V286" s="425"/>
      <c r="W286" s="425"/>
      <c r="X286" s="425"/>
      <c r="Y286" s="425"/>
      <c r="Z286" s="425"/>
      <c r="AA286" s="425"/>
      <c r="AB286" s="425"/>
      <c r="AC286" s="425"/>
    </row>
    <row r="287" ht="15.75" customHeight="1">
      <c r="A287" s="425"/>
      <c r="B287" s="425"/>
      <c r="C287" s="425"/>
      <c r="D287" s="425"/>
      <c r="E287" s="425"/>
      <c r="F287" s="511"/>
      <c r="G287" s="425"/>
      <c r="H287" s="511"/>
      <c r="I287" s="425"/>
      <c r="J287" s="425"/>
      <c r="K287" s="425"/>
      <c r="L287" s="511"/>
      <c r="M287" s="425"/>
      <c r="N287" s="511"/>
      <c r="O287" s="425"/>
      <c r="P287" s="425"/>
      <c r="Q287" s="425"/>
      <c r="R287" s="511"/>
      <c r="S287" s="425"/>
      <c r="T287" s="511"/>
      <c r="U287" s="425"/>
      <c r="V287" s="425"/>
      <c r="W287" s="425"/>
      <c r="X287" s="425"/>
      <c r="Y287" s="425"/>
      <c r="Z287" s="425"/>
      <c r="AA287" s="425"/>
      <c r="AB287" s="425"/>
      <c r="AC287" s="425"/>
    </row>
    <row r="288" ht="15.75" customHeight="1">
      <c r="A288" s="425"/>
      <c r="B288" s="425"/>
      <c r="C288" s="425"/>
      <c r="D288" s="425"/>
      <c r="E288" s="425"/>
      <c r="F288" s="511"/>
      <c r="G288" s="425"/>
      <c r="H288" s="511"/>
      <c r="I288" s="425"/>
      <c r="J288" s="425"/>
      <c r="K288" s="425"/>
      <c r="L288" s="511"/>
      <c r="M288" s="425"/>
      <c r="N288" s="511"/>
      <c r="O288" s="425"/>
      <c r="P288" s="425"/>
      <c r="Q288" s="425"/>
      <c r="R288" s="511"/>
      <c r="S288" s="425"/>
      <c r="T288" s="511"/>
      <c r="U288" s="425"/>
      <c r="V288" s="425"/>
      <c r="W288" s="425"/>
      <c r="X288" s="425"/>
      <c r="Y288" s="425"/>
      <c r="Z288" s="425"/>
      <c r="AA288" s="425"/>
      <c r="AB288" s="425"/>
      <c r="AC288" s="425"/>
    </row>
    <row r="289" ht="15.75" customHeight="1">
      <c r="A289" s="425"/>
      <c r="B289" s="425"/>
      <c r="C289" s="425"/>
      <c r="D289" s="425"/>
      <c r="E289" s="425"/>
      <c r="F289" s="511"/>
      <c r="G289" s="425"/>
      <c r="H289" s="511"/>
      <c r="I289" s="425"/>
      <c r="J289" s="425"/>
      <c r="K289" s="425"/>
      <c r="L289" s="511"/>
      <c r="M289" s="425"/>
      <c r="N289" s="511"/>
      <c r="O289" s="425"/>
      <c r="P289" s="425"/>
      <c r="Q289" s="425"/>
      <c r="R289" s="511"/>
      <c r="S289" s="425"/>
      <c r="T289" s="511"/>
      <c r="U289" s="425"/>
      <c r="V289" s="425"/>
      <c r="W289" s="425"/>
      <c r="X289" s="425"/>
      <c r="Y289" s="425"/>
      <c r="Z289" s="425"/>
      <c r="AA289" s="425"/>
      <c r="AB289" s="425"/>
      <c r="AC289" s="425"/>
    </row>
    <row r="290" ht="15.75" customHeight="1">
      <c r="A290" s="425"/>
      <c r="B290" s="425"/>
      <c r="C290" s="425"/>
      <c r="D290" s="425"/>
      <c r="E290" s="425"/>
      <c r="F290" s="511"/>
      <c r="G290" s="425"/>
      <c r="H290" s="511"/>
      <c r="I290" s="425"/>
      <c r="J290" s="425"/>
      <c r="K290" s="425"/>
      <c r="L290" s="511"/>
      <c r="M290" s="425"/>
      <c r="N290" s="511"/>
      <c r="O290" s="425"/>
      <c r="P290" s="425"/>
      <c r="Q290" s="425"/>
      <c r="R290" s="511"/>
      <c r="S290" s="425"/>
      <c r="T290" s="511"/>
      <c r="U290" s="425"/>
      <c r="V290" s="425"/>
      <c r="W290" s="425"/>
      <c r="X290" s="425"/>
      <c r="Y290" s="425"/>
      <c r="Z290" s="425"/>
      <c r="AA290" s="425"/>
      <c r="AB290" s="425"/>
      <c r="AC290" s="425"/>
    </row>
    <row r="291" ht="15.75" customHeight="1">
      <c r="A291" s="425"/>
      <c r="B291" s="425"/>
      <c r="C291" s="425"/>
      <c r="D291" s="425"/>
      <c r="E291" s="425"/>
      <c r="F291" s="511"/>
      <c r="G291" s="425"/>
      <c r="H291" s="511"/>
      <c r="I291" s="425"/>
      <c r="J291" s="425"/>
      <c r="K291" s="425"/>
      <c r="L291" s="511"/>
      <c r="M291" s="425"/>
      <c r="N291" s="511"/>
      <c r="O291" s="425"/>
      <c r="P291" s="425"/>
      <c r="Q291" s="425"/>
      <c r="R291" s="511"/>
      <c r="S291" s="425"/>
      <c r="T291" s="511"/>
      <c r="U291" s="425"/>
      <c r="V291" s="425"/>
      <c r="W291" s="425"/>
      <c r="X291" s="425"/>
      <c r="Y291" s="425"/>
      <c r="Z291" s="425"/>
      <c r="AA291" s="425"/>
      <c r="AB291" s="425"/>
      <c r="AC291" s="425"/>
    </row>
    <row r="292" ht="15.75" customHeight="1">
      <c r="A292" s="425"/>
      <c r="B292" s="425"/>
      <c r="C292" s="425"/>
      <c r="D292" s="425"/>
      <c r="E292" s="425"/>
      <c r="F292" s="511"/>
      <c r="G292" s="425"/>
      <c r="H292" s="511"/>
      <c r="I292" s="425"/>
      <c r="J292" s="425"/>
      <c r="K292" s="425"/>
      <c r="L292" s="511"/>
      <c r="M292" s="425"/>
      <c r="N292" s="511"/>
      <c r="O292" s="425"/>
      <c r="P292" s="425"/>
      <c r="Q292" s="425"/>
      <c r="R292" s="511"/>
      <c r="S292" s="425"/>
      <c r="T292" s="511"/>
      <c r="U292" s="425"/>
      <c r="V292" s="425"/>
      <c r="W292" s="425"/>
      <c r="X292" s="425"/>
      <c r="Y292" s="425"/>
      <c r="Z292" s="425"/>
      <c r="AA292" s="425"/>
      <c r="AB292" s="425"/>
      <c r="AC292" s="425"/>
    </row>
    <row r="293" ht="15.75" customHeight="1">
      <c r="A293" s="425"/>
      <c r="B293" s="425"/>
      <c r="C293" s="425"/>
      <c r="D293" s="425"/>
      <c r="E293" s="425"/>
      <c r="F293" s="511"/>
      <c r="G293" s="425"/>
      <c r="H293" s="511"/>
      <c r="I293" s="425"/>
      <c r="J293" s="425"/>
      <c r="K293" s="425"/>
      <c r="L293" s="511"/>
      <c r="M293" s="425"/>
      <c r="N293" s="511"/>
      <c r="O293" s="425"/>
      <c r="P293" s="425"/>
      <c r="Q293" s="425"/>
      <c r="R293" s="511"/>
      <c r="S293" s="425"/>
      <c r="T293" s="511"/>
      <c r="U293" s="425"/>
      <c r="V293" s="425"/>
      <c r="W293" s="425"/>
      <c r="X293" s="425"/>
      <c r="Y293" s="425"/>
      <c r="Z293" s="425"/>
      <c r="AA293" s="425"/>
      <c r="AB293" s="425"/>
      <c r="AC293" s="425"/>
    </row>
    <row r="294" ht="15.75" customHeight="1">
      <c r="A294" s="425"/>
      <c r="B294" s="425"/>
      <c r="C294" s="425"/>
      <c r="D294" s="425"/>
      <c r="E294" s="425"/>
      <c r="F294" s="511"/>
      <c r="G294" s="425"/>
      <c r="H294" s="511"/>
      <c r="I294" s="425"/>
      <c r="J294" s="425"/>
      <c r="K294" s="425"/>
      <c r="L294" s="511"/>
      <c r="M294" s="425"/>
      <c r="N294" s="511"/>
      <c r="O294" s="425"/>
      <c r="P294" s="425"/>
      <c r="Q294" s="425"/>
      <c r="R294" s="511"/>
      <c r="S294" s="425"/>
      <c r="T294" s="511"/>
      <c r="U294" s="425"/>
      <c r="V294" s="425"/>
      <c r="W294" s="425"/>
      <c r="X294" s="425"/>
      <c r="Y294" s="425"/>
      <c r="Z294" s="425"/>
      <c r="AA294" s="425"/>
      <c r="AB294" s="425"/>
      <c r="AC294" s="425"/>
    </row>
    <row r="295" ht="15.75" customHeight="1">
      <c r="A295" s="425"/>
      <c r="B295" s="425"/>
      <c r="C295" s="425"/>
      <c r="D295" s="425"/>
      <c r="E295" s="425"/>
      <c r="F295" s="511"/>
      <c r="G295" s="425"/>
      <c r="H295" s="511"/>
      <c r="I295" s="425"/>
      <c r="J295" s="425"/>
      <c r="K295" s="425"/>
      <c r="L295" s="511"/>
      <c r="M295" s="425"/>
      <c r="N295" s="511"/>
      <c r="O295" s="425"/>
      <c r="P295" s="425"/>
      <c r="Q295" s="425"/>
      <c r="R295" s="511"/>
      <c r="S295" s="425"/>
      <c r="T295" s="511"/>
      <c r="U295" s="425"/>
      <c r="V295" s="425"/>
      <c r="W295" s="425"/>
      <c r="X295" s="425"/>
      <c r="Y295" s="425"/>
      <c r="Z295" s="425"/>
      <c r="AA295" s="425"/>
      <c r="AB295" s="425"/>
      <c r="AC295" s="425"/>
    </row>
    <row r="296" ht="15.75" customHeight="1">
      <c r="A296" s="425"/>
      <c r="B296" s="425"/>
      <c r="C296" s="425"/>
      <c r="D296" s="425"/>
      <c r="E296" s="425"/>
      <c r="F296" s="511"/>
      <c r="G296" s="425"/>
      <c r="H296" s="511"/>
      <c r="I296" s="425"/>
      <c r="J296" s="425"/>
      <c r="K296" s="425"/>
      <c r="L296" s="511"/>
      <c r="M296" s="425"/>
      <c r="N296" s="511"/>
      <c r="O296" s="425"/>
      <c r="P296" s="425"/>
      <c r="Q296" s="425"/>
      <c r="R296" s="511"/>
      <c r="S296" s="425"/>
      <c r="T296" s="511"/>
      <c r="U296" s="425"/>
      <c r="V296" s="425"/>
      <c r="W296" s="425"/>
      <c r="X296" s="425"/>
      <c r="Y296" s="425"/>
      <c r="Z296" s="425"/>
      <c r="AA296" s="425"/>
      <c r="AB296" s="425"/>
      <c r="AC296" s="425"/>
    </row>
    <row r="297" ht="15.75" customHeight="1">
      <c r="A297" s="425"/>
      <c r="B297" s="425"/>
      <c r="C297" s="425"/>
      <c r="D297" s="425"/>
      <c r="E297" s="425"/>
      <c r="F297" s="511"/>
      <c r="G297" s="425"/>
      <c r="H297" s="511"/>
      <c r="I297" s="425"/>
      <c r="J297" s="425"/>
      <c r="K297" s="425"/>
      <c r="L297" s="511"/>
      <c r="M297" s="425"/>
      <c r="N297" s="511"/>
      <c r="O297" s="425"/>
      <c r="P297" s="425"/>
      <c r="Q297" s="425"/>
      <c r="R297" s="511"/>
      <c r="S297" s="425"/>
      <c r="T297" s="511"/>
      <c r="U297" s="425"/>
      <c r="V297" s="425"/>
      <c r="W297" s="425"/>
      <c r="X297" s="425"/>
      <c r="Y297" s="425"/>
      <c r="Z297" s="425"/>
      <c r="AA297" s="425"/>
      <c r="AB297" s="425"/>
      <c r="AC297" s="425"/>
    </row>
    <row r="298" ht="15.75" customHeight="1">
      <c r="A298" s="425"/>
      <c r="B298" s="425"/>
      <c r="C298" s="425"/>
      <c r="D298" s="425"/>
      <c r="E298" s="425"/>
      <c r="F298" s="511"/>
      <c r="G298" s="425"/>
      <c r="H298" s="511"/>
      <c r="I298" s="425"/>
      <c r="J298" s="425"/>
      <c r="K298" s="425"/>
      <c r="L298" s="511"/>
      <c r="M298" s="425"/>
      <c r="N298" s="511"/>
      <c r="O298" s="425"/>
      <c r="P298" s="425"/>
      <c r="Q298" s="425"/>
      <c r="R298" s="511"/>
      <c r="S298" s="425"/>
      <c r="T298" s="511"/>
      <c r="U298" s="425"/>
      <c r="V298" s="425"/>
      <c r="W298" s="425"/>
      <c r="X298" s="425"/>
      <c r="Y298" s="425"/>
      <c r="Z298" s="425"/>
      <c r="AA298" s="425"/>
      <c r="AB298" s="425"/>
      <c r="AC298" s="425"/>
    </row>
    <row r="299" ht="15.75" customHeight="1">
      <c r="A299" s="425"/>
      <c r="B299" s="425"/>
      <c r="C299" s="425"/>
      <c r="D299" s="425"/>
      <c r="E299" s="425"/>
      <c r="F299" s="511"/>
      <c r="G299" s="425"/>
      <c r="H299" s="511"/>
      <c r="I299" s="425"/>
      <c r="J299" s="425"/>
      <c r="K299" s="425"/>
      <c r="L299" s="511"/>
      <c r="M299" s="425"/>
      <c r="N299" s="511"/>
      <c r="O299" s="425"/>
      <c r="P299" s="425"/>
      <c r="Q299" s="425"/>
      <c r="R299" s="511"/>
      <c r="S299" s="425"/>
      <c r="T299" s="511"/>
      <c r="U299" s="425"/>
      <c r="V299" s="425"/>
      <c r="W299" s="425"/>
      <c r="X299" s="425"/>
      <c r="Y299" s="425"/>
      <c r="Z299" s="425"/>
      <c r="AA299" s="425"/>
      <c r="AB299" s="425"/>
      <c r="AC299" s="425"/>
    </row>
    <row r="300" ht="15.75" customHeight="1">
      <c r="A300" s="425"/>
      <c r="B300" s="425"/>
      <c r="C300" s="425"/>
      <c r="D300" s="425"/>
      <c r="E300" s="425"/>
      <c r="F300" s="511"/>
      <c r="G300" s="425"/>
      <c r="H300" s="511"/>
      <c r="I300" s="425"/>
      <c r="J300" s="425"/>
      <c r="K300" s="425"/>
      <c r="L300" s="511"/>
      <c r="M300" s="425"/>
      <c r="N300" s="511"/>
      <c r="O300" s="425"/>
      <c r="P300" s="425"/>
      <c r="Q300" s="425"/>
      <c r="R300" s="511"/>
      <c r="S300" s="425"/>
      <c r="T300" s="511"/>
      <c r="U300" s="425"/>
      <c r="V300" s="425"/>
      <c r="W300" s="425"/>
      <c r="X300" s="425"/>
      <c r="Y300" s="425"/>
      <c r="Z300" s="425"/>
      <c r="AA300" s="425"/>
      <c r="AB300" s="425"/>
      <c r="AC300" s="425"/>
    </row>
    <row r="301" ht="15.75" customHeight="1">
      <c r="A301" s="425"/>
      <c r="B301" s="425"/>
      <c r="C301" s="425"/>
      <c r="D301" s="425"/>
      <c r="E301" s="425"/>
      <c r="F301" s="511"/>
      <c r="G301" s="425"/>
      <c r="H301" s="511"/>
      <c r="I301" s="425"/>
      <c r="J301" s="425"/>
      <c r="K301" s="425"/>
      <c r="L301" s="511"/>
      <c r="M301" s="425"/>
      <c r="N301" s="511"/>
      <c r="O301" s="425"/>
      <c r="P301" s="425"/>
      <c r="Q301" s="425"/>
      <c r="R301" s="511"/>
      <c r="S301" s="425"/>
      <c r="T301" s="511"/>
      <c r="U301" s="425"/>
      <c r="V301" s="425"/>
      <c r="W301" s="425"/>
      <c r="X301" s="425"/>
      <c r="Y301" s="425"/>
      <c r="Z301" s="425"/>
      <c r="AA301" s="425"/>
      <c r="AB301" s="425"/>
      <c r="AC301" s="425"/>
    </row>
    <row r="302" ht="15.75" customHeight="1">
      <c r="A302" s="425"/>
      <c r="B302" s="425"/>
      <c r="C302" s="425"/>
      <c r="D302" s="425"/>
      <c r="E302" s="425"/>
      <c r="F302" s="511"/>
      <c r="G302" s="425"/>
      <c r="H302" s="511"/>
      <c r="I302" s="425"/>
      <c r="J302" s="425"/>
      <c r="K302" s="425"/>
      <c r="L302" s="511"/>
      <c r="M302" s="425"/>
      <c r="N302" s="511"/>
      <c r="O302" s="425"/>
      <c r="P302" s="425"/>
      <c r="Q302" s="425"/>
      <c r="R302" s="511"/>
      <c r="S302" s="425"/>
      <c r="T302" s="511"/>
      <c r="U302" s="425"/>
      <c r="V302" s="425"/>
      <c r="W302" s="425"/>
      <c r="X302" s="425"/>
      <c r="Y302" s="425"/>
      <c r="Z302" s="425"/>
      <c r="AA302" s="425"/>
      <c r="AB302" s="425"/>
      <c r="AC302" s="425"/>
    </row>
    <row r="303" ht="15.75" customHeight="1">
      <c r="A303" s="425"/>
      <c r="B303" s="425"/>
      <c r="C303" s="425"/>
      <c r="D303" s="425"/>
      <c r="E303" s="425"/>
      <c r="F303" s="511"/>
      <c r="G303" s="425"/>
      <c r="H303" s="511"/>
      <c r="I303" s="425"/>
      <c r="J303" s="425"/>
      <c r="K303" s="425"/>
      <c r="L303" s="511"/>
      <c r="M303" s="425"/>
      <c r="N303" s="511"/>
      <c r="O303" s="425"/>
      <c r="P303" s="425"/>
      <c r="Q303" s="425"/>
      <c r="R303" s="511"/>
      <c r="S303" s="425"/>
      <c r="T303" s="511"/>
      <c r="U303" s="425"/>
      <c r="V303" s="425"/>
      <c r="W303" s="425"/>
      <c r="X303" s="425"/>
      <c r="Y303" s="425"/>
      <c r="Z303" s="425"/>
      <c r="AA303" s="425"/>
      <c r="AB303" s="425"/>
      <c r="AC303" s="425"/>
    </row>
    <row r="304" ht="15.75" customHeight="1">
      <c r="A304" s="425"/>
      <c r="B304" s="425"/>
      <c r="C304" s="425"/>
      <c r="D304" s="425"/>
      <c r="E304" s="425"/>
      <c r="F304" s="511"/>
      <c r="G304" s="425"/>
      <c r="H304" s="511"/>
      <c r="I304" s="425"/>
      <c r="J304" s="425"/>
      <c r="K304" s="425"/>
      <c r="L304" s="511"/>
      <c r="M304" s="425"/>
      <c r="N304" s="511"/>
      <c r="O304" s="425"/>
      <c r="P304" s="425"/>
      <c r="Q304" s="425"/>
      <c r="R304" s="511"/>
      <c r="S304" s="425"/>
      <c r="T304" s="511"/>
      <c r="U304" s="425"/>
      <c r="V304" s="425"/>
      <c r="W304" s="425"/>
      <c r="X304" s="425"/>
      <c r="Y304" s="425"/>
      <c r="Z304" s="425"/>
      <c r="AA304" s="425"/>
      <c r="AB304" s="425"/>
      <c r="AC304" s="425"/>
    </row>
    <row r="305" ht="15.75" customHeight="1">
      <c r="A305" s="425"/>
      <c r="B305" s="425"/>
      <c r="C305" s="425"/>
      <c r="D305" s="425"/>
      <c r="E305" s="425"/>
      <c r="F305" s="511"/>
      <c r="G305" s="425"/>
      <c r="H305" s="511"/>
      <c r="I305" s="425"/>
      <c r="J305" s="425"/>
      <c r="K305" s="425"/>
      <c r="L305" s="511"/>
      <c r="M305" s="425"/>
      <c r="N305" s="511"/>
      <c r="O305" s="425"/>
      <c r="P305" s="425"/>
      <c r="Q305" s="425"/>
      <c r="R305" s="511"/>
      <c r="S305" s="425"/>
      <c r="T305" s="511"/>
      <c r="U305" s="425"/>
      <c r="V305" s="425"/>
      <c r="W305" s="425"/>
      <c r="X305" s="425"/>
      <c r="Y305" s="425"/>
      <c r="Z305" s="425"/>
      <c r="AA305" s="425"/>
      <c r="AB305" s="425"/>
      <c r="AC305" s="425"/>
    </row>
    <row r="306" ht="15.75" customHeight="1">
      <c r="A306" s="425"/>
      <c r="B306" s="425"/>
      <c r="C306" s="425"/>
      <c r="D306" s="425"/>
      <c r="E306" s="425"/>
      <c r="F306" s="511"/>
      <c r="G306" s="425"/>
      <c r="H306" s="511"/>
      <c r="I306" s="425"/>
      <c r="J306" s="425"/>
      <c r="K306" s="425"/>
      <c r="L306" s="511"/>
      <c r="M306" s="425"/>
      <c r="N306" s="511"/>
      <c r="O306" s="425"/>
      <c r="P306" s="425"/>
      <c r="Q306" s="425"/>
      <c r="R306" s="511"/>
      <c r="S306" s="425"/>
      <c r="T306" s="511"/>
      <c r="U306" s="425"/>
      <c r="V306" s="425"/>
      <c r="W306" s="425"/>
      <c r="X306" s="425"/>
      <c r="Y306" s="425"/>
      <c r="Z306" s="425"/>
      <c r="AA306" s="425"/>
      <c r="AB306" s="425"/>
      <c r="AC306" s="425"/>
    </row>
    <row r="307" ht="15.75" customHeight="1">
      <c r="A307" s="425"/>
      <c r="B307" s="425"/>
      <c r="C307" s="425"/>
      <c r="D307" s="425"/>
      <c r="E307" s="425"/>
      <c r="F307" s="511"/>
      <c r="G307" s="425"/>
      <c r="H307" s="511"/>
      <c r="I307" s="425"/>
      <c r="J307" s="425"/>
      <c r="K307" s="425"/>
      <c r="L307" s="511"/>
      <c r="M307" s="425"/>
      <c r="N307" s="511"/>
      <c r="O307" s="425"/>
      <c r="P307" s="425"/>
      <c r="Q307" s="425"/>
      <c r="R307" s="511"/>
      <c r="S307" s="425"/>
      <c r="T307" s="511"/>
      <c r="U307" s="425"/>
      <c r="V307" s="425"/>
      <c r="W307" s="425"/>
      <c r="X307" s="425"/>
      <c r="Y307" s="425"/>
      <c r="Z307" s="425"/>
      <c r="AA307" s="425"/>
      <c r="AB307" s="425"/>
      <c r="AC307" s="425"/>
    </row>
    <row r="308" ht="15.75" customHeight="1">
      <c r="A308" s="425"/>
      <c r="B308" s="425"/>
      <c r="C308" s="425"/>
      <c r="D308" s="425"/>
      <c r="E308" s="425"/>
      <c r="F308" s="511"/>
      <c r="G308" s="425"/>
      <c r="H308" s="511"/>
      <c r="I308" s="425"/>
      <c r="J308" s="425"/>
      <c r="K308" s="425"/>
      <c r="L308" s="511"/>
      <c r="M308" s="425"/>
      <c r="N308" s="511"/>
      <c r="O308" s="425"/>
      <c r="P308" s="425"/>
      <c r="Q308" s="425"/>
      <c r="R308" s="511"/>
      <c r="S308" s="425"/>
      <c r="T308" s="511"/>
      <c r="U308" s="425"/>
      <c r="V308" s="425"/>
      <c r="W308" s="425"/>
      <c r="X308" s="425"/>
      <c r="Y308" s="425"/>
      <c r="Z308" s="425"/>
      <c r="AA308" s="425"/>
      <c r="AB308" s="425"/>
      <c r="AC308" s="425"/>
    </row>
    <row r="309" ht="15.75" customHeight="1">
      <c r="A309" s="425"/>
      <c r="B309" s="425"/>
      <c r="C309" s="425"/>
      <c r="D309" s="425"/>
      <c r="E309" s="425"/>
      <c r="F309" s="511"/>
      <c r="G309" s="425"/>
      <c r="H309" s="511"/>
      <c r="I309" s="425"/>
      <c r="J309" s="425"/>
      <c r="K309" s="425"/>
      <c r="L309" s="511"/>
      <c r="M309" s="425"/>
      <c r="N309" s="511"/>
      <c r="O309" s="425"/>
      <c r="P309" s="425"/>
      <c r="Q309" s="425"/>
      <c r="R309" s="511"/>
      <c r="S309" s="425"/>
      <c r="T309" s="511"/>
      <c r="U309" s="425"/>
      <c r="V309" s="425"/>
      <c r="W309" s="425"/>
      <c r="X309" s="425"/>
      <c r="Y309" s="425"/>
      <c r="Z309" s="425"/>
      <c r="AA309" s="425"/>
      <c r="AB309" s="425"/>
      <c r="AC309" s="425"/>
    </row>
    <row r="310" ht="15.75" customHeight="1">
      <c r="A310" s="425"/>
      <c r="B310" s="425"/>
      <c r="C310" s="425"/>
      <c r="D310" s="425"/>
      <c r="E310" s="425"/>
      <c r="F310" s="511"/>
      <c r="G310" s="425"/>
      <c r="H310" s="511"/>
      <c r="I310" s="425"/>
      <c r="J310" s="425"/>
      <c r="K310" s="425"/>
      <c r="L310" s="511"/>
      <c r="M310" s="425"/>
      <c r="N310" s="511"/>
      <c r="O310" s="425"/>
      <c r="P310" s="425"/>
      <c r="Q310" s="425"/>
      <c r="R310" s="511"/>
      <c r="S310" s="425"/>
      <c r="T310" s="511"/>
      <c r="U310" s="425"/>
      <c r="V310" s="425"/>
      <c r="W310" s="425"/>
      <c r="X310" s="425"/>
      <c r="Y310" s="425"/>
      <c r="Z310" s="425"/>
      <c r="AA310" s="425"/>
      <c r="AB310" s="425"/>
      <c r="AC310" s="425"/>
    </row>
    <row r="311" ht="15.75" customHeight="1">
      <c r="A311" s="425"/>
      <c r="B311" s="425"/>
      <c r="C311" s="425"/>
      <c r="D311" s="425"/>
      <c r="E311" s="425"/>
      <c r="F311" s="511"/>
      <c r="G311" s="425"/>
      <c r="H311" s="511"/>
      <c r="I311" s="425"/>
      <c r="J311" s="425"/>
      <c r="K311" s="425"/>
      <c r="L311" s="511"/>
      <c r="M311" s="425"/>
      <c r="N311" s="511"/>
      <c r="O311" s="425"/>
      <c r="P311" s="425"/>
      <c r="Q311" s="425"/>
      <c r="R311" s="511"/>
      <c r="S311" s="425"/>
      <c r="T311" s="511"/>
      <c r="U311" s="425"/>
      <c r="V311" s="425"/>
      <c r="W311" s="425"/>
      <c r="X311" s="425"/>
      <c r="Y311" s="425"/>
      <c r="Z311" s="425"/>
      <c r="AA311" s="425"/>
      <c r="AB311" s="425"/>
      <c r="AC311" s="425"/>
    </row>
    <row r="312" ht="15.75" customHeight="1">
      <c r="A312" s="425"/>
      <c r="B312" s="425"/>
      <c r="C312" s="425"/>
      <c r="D312" s="425"/>
      <c r="E312" s="425"/>
      <c r="F312" s="511"/>
      <c r="G312" s="425"/>
      <c r="H312" s="511"/>
      <c r="I312" s="425"/>
      <c r="J312" s="425"/>
      <c r="K312" s="425"/>
      <c r="L312" s="511"/>
      <c r="M312" s="425"/>
      <c r="N312" s="511"/>
      <c r="O312" s="425"/>
      <c r="P312" s="425"/>
      <c r="Q312" s="425"/>
      <c r="R312" s="511"/>
      <c r="S312" s="425"/>
      <c r="T312" s="511"/>
      <c r="U312" s="425"/>
      <c r="V312" s="425"/>
      <c r="W312" s="425"/>
      <c r="X312" s="425"/>
      <c r="Y312" s="425"/>
      <c r="Z312" s="425"/>
      <c r="AA312" s="425"/>
      <c r="AB312" s="425"/>
      <c r="AC312" s="425"/>
    </row>
    <row r="313" ht="15.75" customHeight="1">
      <c r="A313" s="425"/>
      <c r="B313" s="425"/>
      <c r="C313" s="425"/>
      <c r="D313" s="425"/>
      <c r="E313" s="425"/>
      <c r="F313" s="511"/>
      <c r="G313" s="425"/>
      <c r="H313" s="511"/>
      <c r="I313" s="425"/>
      <c r="J313" s="425"/>
      <c r="K313" s="425"/>
      <c r="L313" s="511"/>
      <c r="M313" s="425"/>
      <c r="N313" s="511"/>
      <c r="O313" s="425"/>
      <c r="P313" s="425"/>
      <c r="Q313" s="425"/>
      <c r="R313" s="511"/>
      <c r="S313" s="425"/>
      <c r="T313" s="511"/>
      <c r="U313" s="425"/>
      <c r="V313" s="425"/>
      <c r="W313" s="425"/>
      <c r="X313" s="425"/>
      <c r="Y313" s="425"/>
      <c r="Z313" s="425"/>
      <c r="AA313" s="425"/>
      <c r="AB313" s="425"/>
      <c r="AC313" s="425"/>
    </row>
    <row r="314" ht="15.75" customHeight="1">
      <c r="A314" s="425"/>
      <c r="B314" s="425"/>
      <c r="C314" s="425"/>
      <c r="D314" s="425"/>
      <c r="E314" s="425"/>
      <c r="F314" s="511"/>
      <c r="G314" s="425"/>
      <c r="H314" s="511"/>
      <c r="I314" s="425"/>
      <c r="J314" s="425"/>
      <c r="K314" s="425"/>
      <c r="L314" s="511"/>
      <c r="M314" s="425"/>
      <c r="N314" s="511"/>
      <c r="O314" s="425"/>
      <c r="P314" s="425"/>
      <c r="Q314" s="425"/>
      <c r="R314" s="511"/>
      <c r="S314" s="425"/>
      <c r="T314" s="511"/>
      <c r="U314" s="425"/>
      <c r="V314" s="425"/>
      <c r="W314" s="425"/>
      <c r="X314" s="425"/>
      <c r="Y314" s="425"/>
      <c r="Z314" s="425"/>
      <c r="AA314" s="425"/>
      <c r="AB314" s="425"/>
      <c r="AC314" s="425"/>
    </row>
    <row r="315" ht="15.75" customHeight="1">
      <c r="A315" s="425"/>
      <c r="B315" s="425"/>
      <c r="C315" s="425"/>
      <c r="D315" s="425"/>
      <c r="E315" s="425"/>
      <c r="F315" s="511"/>
      <c r="G315" s="425"/>
      <c r="H315" s="511"/>
      <c r="I315" s="425"/>
      <c r="J315" s="425"/>
      <c r="K315" s="425"/>
      <c r="L315" s="511"/>
      <c r="M315" s="425"/>
      <c r="N315" s="511"/>
      <c r="O315" s="425"/>
      <c r="P315" s="425"/>
      <c r="Q315" s="425"/>
      <c r="R315" s="511"/>
      <c r="S315" s="425"/>
      <c r="T315" s="511"/>
      <c r="U315" s="425"/>
      <c r="V315" s="425"/>
      <c r="W315" s="425"/>
      <c r="X315" s="425"/>
      <c r="Y315" s="425"/>
      <c r="Z315" s="425"/>
      <c r="AA315" s="425"/>
      <c r="AB315" s="425"/>
      <c r="AC315" s="425"/>
    </row>
    <row r="316" ht="15.75" customHeight="1">
      <c r="A316" s="425"/>
      <c r="B316" s="425"/>
      <c r="C316" s="425"/>
      <c r="D316" s="425"/>
      <c r="E316" s="425"/>
      <c r="F316" s="511"/>
      <c r="G316" s="425"/>
      <c r="H316" s="511"/>
      <c r="I316" s="425"/>
      <c r="J316" s="425"/>
      <c r="K316" s="425"/>
      <c r="L316" s="511"/>
      <c r="M316" s="425"/>
      <c r="N316" s="511"/>
      <c r="O316" s="425"/>
      <c r="P316" s="425"/>
      <c r="Q316" s="425"/>
      <c r="R316" s="511"/>
      <c r="S316" s="425"/>
      <c r="T316" s="511"/>
      <c r="U316" s="425"/>
      <c r="V316" s="425"/>
      <c r="W316" s="425"/>
      <c r="X316" s="425"/>
      <c r="Y316" s="425"/>
      <c r="Z316" s="425"/>
      <c r="AA316" s="425"/>
      <c r="AB316" s="425"/>
      <c r="AC316" s="425"/>
    </row>
    <row r="317" ht="15.75" customHeight="1">
      <c r="A317" s="425"/>
      <c r="B317" s="425"/>
      <c r="C317" s="425"/>
      <c r="D317" s="425"/>
      <c r="E317" s="425"/>
      <c r="F317" s="511"/>
      <c r="G317" s="425"/>
      <c r="H317" s="511"/>
      <c r="I317" s="425"/>
      <c r="J317" s="425"/>
      <c r="K317" s="425"/>
      <c r="L317" s="511"/>
      <c r="M317" s="425"/>
      <c r="N317" s="511"/>
      <c r="O317" s="425"/>
      <c r="P317" s="425"/>
      <c r="Q317" s="425"/>
      <c r="R317" s="511"/>
      <c r="S317" s="425"/>
      <c r="T317" s="511"/>
      <c r="U317" s="425"/>
      <c r="V317" s="425"/>
      <c r="W317" s="425"/>
      <c r="X317" s="425"/>
      <c r="Y317" s="425"/>
      <c r="Z317" s="425"/>
      <c r="AA317" s="425"/>
      <c r="AB317" s="425"/>
      <c r="AC317" s="425"/>
    </row>
    <row r="318" ht="15.75" customHeight="1">
      <c r="A318" s="425"/>
      <c r="B318" s="425"/>
      <c r="C318" s="425"/>
      <c r="D318" s="425"/>
      <c r="E318" s="425"/>
      <c r="F318" s="511"/>
      <c r="G318" s="425"/>
      <c r="H318" s="511"/>
      <c r="I318" s="425"/>
      <c r="J318" s="425"/>
      <c r="K318" s="425"/>
      <c r="L318" s="511"/>
      <c r="M318" s="425"/>
      <c r="N318" s="511"/>
      <c r="O318" s="425"/>
      <c r="P318" s="425"/>
      <c r="Q318" s="425"/>
      <c r="R318" s="511"/>
      <c r="S318" s="425"/>
      <c r="T318" s="511"/>
      <c r="U318" s="425"/>
      <c r="V318" s="425"/>
      <c r="W318" s="425"/>
      <c r="X318" s="425"/>
      <c r="Y318" s="425"/>
      <c r="Z318" s="425"/>
      <c r="AA318" s="425"/>
      <c r="AB318" s="425"/>
      <c r="AC318" s="425"/>
    </row>
    <row r="319" ht="15.75" customHeight="1">
      <c r="A319" s="425"/>
      <c r="B319" s="425"/>
      <c r="C319" s="425"/>
      <c r="D319" s="425"/>
      <c r="E319" s="425"/>
      <c r="F319" s="511"/>
      <c r="G319" s="425"/>
      <c r="H319" s="511"/>
      <c r="I319" s="425"/>
      <c r="J319" s="425"/>
      <c r="K319" s="425"/>
      <c r="L319" s="511"/>
      <c r="M319" s="425"/>
      <c r="N319" s="511"/>
      <c r="O319" s="425"/>
      <c r="P319" s="425"/>
      <c r="Q319" s="425"/>
      <c r="R319" s="511"/>
      <c r="S319" s="425"/>
      <c r="T319" s="511"/>
      <c r="U319" s="425"/>
      <c r="V319" s="425"/>
      <c r="W319" s="425"/>
      <c r="X319" s="425"/>
      <c r="Y319" s="425"/>
      <c r="Z319" s="425"/>
      <c r="AA319" s="425"/>
      <c r="AB319" s="425"/>
      <c r="AC319" s="425"/>
    </row>
    <row r="320" ht="15.75" customHeight="1">
      <c r="A320" s="425"/>
      <c r="B320" s="425"/>
      <c r="C320" s="425"/>
      <c r="D320" s="425"/>
      <c r="E320" s="425"/>
      <c r="F320" s="511"/>
      <c r="G320" s="425"/>
      <c r="H320" s="511"/>
      <c r="I320" s="425"/>
      <c r="J320" s="425"/>
      <c r="K320" s="425"/>
      <c r="L320" s="511"/>
      <c r="M320" s="425"/>
      <c r="N320" s="511"/>
      <c r="O320" s="425"/>
      <c r="P320" s="425"/>
      <c r="Q320" s="425"/>
      <c r="R320" s="511"/>
      <c r="S320" s="425"/>
      <c r="T320" s="511"/>
      <c r="U320" s="425"/>
      <c r="V320" s="425"/>
      <c r="W320" s="425"/>
      <c r="X320" s="425"/>
      <c r="Y320" s="425"/>
      <c r="Z320" s="425"/>
      <c r="AA320" s="425"/>
      <c r="AB320" s="425"/>
      <c r="AC320" s="425"/>
    </row>
    <row r="321" ht="15.75" customHeight="1">
      <c r="A321" s="425"/>
      <c r="B321" s="425"/>
      <c r="C321" s="425"/>
      <c r="D321" s="425"/>
      <c r="E321" s="425"/>
      <c r="F321" s="511"/>
      <c r="G321" s="425"/>
      <c r="H321" s="511"/>
      <c r="I321" s="425"/>
      <c r="J321" s="425"/>
      <c r="K321" s="425"/>
      <c r="L321" s="511"/>
      <c r="M321" s="425"/>
      <c r="N321" s="511"/>
      <c r="O321" s="425"/>
      <c r="P321" s="425"/>
      <c r="Q321" s="425"/>
      <c r="R321" s="511"/>
      <c r="S321" s="425"/>
      <c r="T321" s="511"/>
      <c r="U321" s="425"/>
      <c r="V321" s="425"/>
      <c r="W321" s="425"/>
      <c r="X321" s="425"/>
      <c r="Y321" s="425"/>
      <c r="Z321" s="425"/>
      <c r="AA321" s="425"/>
      <c r="AB321" s="425"/>
      <c r="AC321" s="425"/>
    </row>
    <row r="322" ht="15.75" customHeight="1">
      <c r="A322" s="425"/>
      <c r="B322" s="425"/>
      <c r="C322" s="425"/>
      <c r="D322" s="425"/>
      <c r="E322" s="425"/>
      <c r="F322" s="511"/>
      <c r="G322" s="425"/>
      <c r="H322" s="511"/>
      <c r="I322" s="425"/>
      <c r="J322" s="425"/>
      <c r="K322" s="425"/>
      <c r="L322" s="511"/>
      <c r="M322" s="425"/>
      <c r="N322" s="511"/>
      <c r="O322" s="425"/>
      <c r="P322" s="425"/>
      <c r="Q322" s="425"/>
      <c r="R322" s="511"/>
      <c r="S322" s="425"/>
      <c r="T322" s="511"/>
      <c r="U322" s="425"/>
      <c r="V322" s="425"/>
      <c r="W322" s="425"/>
      <c r="X322" s="425"/>
      <c r="Y322" s="425"/>
      <c r="Z322" s="425"/>
      <c r="AA322" s="425"/>
      <c r="AB322" s="425"/>
      <c r="AC322" s="425"/>
    </row>
    <row r="323" ht="15.75" customHeight="1">
      <c r="A323" s="425"/>
      <c r="B323" s="425"/>
      <c r="C323" s="425"/>
      <c r="D323" s="425"/>
      <c r="E323" s="425"/>
      <c r="F323" s="511"/>
      <c r="G323" s="425"/>
      <c r="H323" s="511"/>
      <c r="I323" s="425"/>
      <c r="J323" s="425"/>
      <c r="K323" s="425"/>
      <c r="L323" s="511"/>
      <c r="M323" s="425"/>
      <c r="N323" s="511"/>
      <c r="O323" s="425"/>
      <c r="P323" s="425"/>
      <c r="Q323" s="425"/>
      <c r="R323" s="511"/>
      <c r="S323" s="425"/>
      <c r="T323" s="511"/>
      <c r="U323" s="425"/>
      <c r="V323" s="425"/>
      <c r="W323" s="425"/>
      <c r="X323" s="425"/>
      <c r="Y323" s="425"/>
      <c r="Z323" s="425"/>
      <c r="AA323" s="425"/>
      <c r="AB323" s="425"/>
      <c r="AC323" s="425"/>
    </row>
    <row r="324" ht="15.75" customHeight="1">
      <c r="A324" s="425"/>
      <c r="B324" s="425"/>
      <c r="C324" s="425"/>
      <c r="D324" s="425"/>
      <c r="E324" s="425"/>
      <c r="F324" s="511"/>
      <c r="G324" s="425"/>
      <c r="H324" s="511"/>
      <c r="I324" s="425"/>
      <c r="J324" s="425"/>
      <c r="K324" s="425"/>
      <c r="L324" s="511"/>
      <c r="M324" s="425"/>
      <c r="N324" s="511"/>
      <c r="O324" s="425"/>
      <c r="P324" s="425"/>
      <c r="Q324" s="425"/>
      <c r="R324" s="511"/>
      <c r="S324" s="425"/>
      <c r="T324" s="511"/>
      <c r="U324" s="425"/>
      <c r="V324" s="425"/>
      <c r="W324" s="425"/>
      <c r="X324" s="425"/>
      <c r="Y324" s="425"/>
      <c r="Z324" s="425"/>
      <c r="AA324" s="425"/>
      <c r="AB324" s="425"/>
      <c r="AC324" s="425"/>
    </row>
    <row r="325" ht="15.75" customHeight="1">
      <c r="A325" s="425"/>
      <c r="B325" s="425"/>
      <c r="C325" s="425"/>
      <c r="D325" s="425"/>
      <c r="E325" s="425"/>
      <c r="F325" s="511"/>
      <c r="G325" s="425"/>
      <c r="H325" s="511"/>
      <c r="I325" s="425"/>
      <c r="J325" s="425"/>
      <c r="K325" s="425"/>
      <c r="L325" s="511"/>
      <c r="M325" s="425"/>
      <c r="N325" s="511"/>
      <c r="O325" s="425"/>
      <c r="P325" s="425"/>
      <c r="Q325" s="425"/>
      <c r="R325" s="511"/>
      <c r="S325" s="425"/>
      <c r="T325" s="511"/>
      <c r="U325" s="425"/>
      <c r="V325" s="425"/>
      <c r="W325" s="425"/>
      <c r="X325" s="425"/>
      <c r="Y325" s="425"/>
      <c r="Z325" s="425"/>
      <c r="AA325" s="425"/>
      <c r="AB325" s="425"/>
      <c r="AC325" s="425"/>
    </row>
    <row r="326" ht="15.75" customHeight="1">
      <c r="A326" s="425"/>
      <c r="B326" s="425"/>
      <c r="C326" s="425"/>
      <c r="D326" s="425"/>
      <c r="E326" s="425"/>
      <c r="F326" s="511"/>
      <c r="G326" s="425"/>
      <c r="H326" s="511"/>
      <c r="I326" s="425"/>
      <c r="J326" s="425"/>
      <c r="K326" s="425"/>
      <c r="L326" s="511"/>
      <c r="M326" s="425"/>
      <c r="N326" s="511"/>
      <c r="O326" s="425"/>
      <c r="P326" s="425"/>
      <c r="Q326" s="425"/>
      <c r="R326" s="511"/>
      <c r="S326" s="425"/>
      <c r="T326" s="511"/>
      <c r="U326" s="425"/>
      <c r="V326" s="425"/>
      <c r="W326" s="425"/>
      <c r="X326" s="425"/>
      <c r="Y326" s="425"/>
      <c r="Z326" s="425"/>
      <c r="AA326" s="425"/>
      <c r="AB326" s="425"/>
      <c r="AC326" s="425"/>
    </row>
    <row r="327" ht="15.75" customHeight="1">
      <c r="A327" s="425"/>
      <c r="B327" s="425"/>
      <c r="C327" s="425"/>
      <c r="D327" s="425"/>
      <c r="E327" s="425"/>
      <c r="F327" s="511"/>
      <c r="G327" s="425"/>
      <c r="H327" s="511"/>
      <c r="I327" s="425"/>
      <c r="J327" s="425"/>
      <c r="K327" s="425"/>
      <c r="L327" s="511"/>
      <c r="M327" s="425"/>
      <c r="N327" s="511"/>
      <c r="O327" s="425"/>
      <c r="P327" s="425"/>
      <c r="Q327" s="425"/>
      <c r="R327" s="511"/>
      <c r="S327" s="425"/>
      <c r="T327" s="511"/>
      <c r="U327" s="425"/>
      <c r="V327" s="425"/>
      <c r="W327" s="425"/>
      <c r="X327" s="425"/>
      <c r="Y327" s="425"/>
      <c r="Z327" s="425"/>
      <c r="AA327" s="425"/>
      <c r="AB327" s="425"/>
      <c r="AC327" s="425"/>
    </row>
    <row r="328" ht="15.75" customHeight="1">
      <c r="A328" s="425"/>
      <c r="B328" s="425"/>
      <c r="C328" s="425"/>
      <c r="D328" s="425"/>
      <c r="E328" s="425"/>
      <c r="F328" s="511"/>
      <c r="G328" s="425"/>
      <c r="H328" s="511"/>
      <c r="I328" s="425"/>
      <c r="J328" s="425"/>
      <c r="K328" s="425"/>
      <c r="L328" s="511"/>
      <c r="M328" s="425"/>
      <c r="N328" s="511"/>
      <c r="O328" s="425"/>
      <c r="P328" s="425"/>
      <c r="Q328" s="425"/>
      <c r="R328" s="511"/>
      <c r="S328" s="425"/>
      <c r="T328" s="511"/>
      <c r="U328" s="425"/>
      <c r="V328" s="425"/>
      <c r="W328" s="425"/>
      <c r="X328" s="425"/>
      <c r="Y328" s="425"/>
      <c r="Z328" s="425"/>
      <c r="AA328" s="425"/>
      <c r="AB328" s="425"/>
      <c r="AC328" s="425"/>
    </row>
    <row r="329" ht="15.75" customHeight="1">
      <c r="A329" s="425"/>
      <c r="B329" s="425"/>
      <c r="C329" s="425"/>
      <c r="D329" s="425"/>
      <c r="E329" s="425"/>
      <c r="F329" s="511"/>
      <c r="G329" s="425"/>
      <c r="H329" s="511"/>
      <c r="I329" s="425"/>
      <c r="J329" s="425"/>
      <c r="K329" s="425"/>
      <c r="L329" s="511"/>
      <c r="M329" s="425"/>
      <c r="N329" s="511"/>
      <c r="O329" s="425"/>
      <c r="P329" s="425"/>
      <c r="Q329" s="425"/>
      <c r="R329" s="511"/>
      <c r="S329" s="425"/>
      <c r="T329" s="511"/>
      <c r="U329" s="425"/>
      <c r="V329" s="425"/>
      <c r="W329" s="425"/>
      <c r="X329" s="425"/>
      <c r="Y329" s="425"/>
      <c r="Z329" s="425"/>
      <c r="AA329" s="425"/>
      <c r="AB329" s="425"/>
      <c r="AC329" s="425"/>
    </row>
    <row r="330" ht="15.75" customHeight="1">
      <c r="A330" s="425"/>
      <c r="B330" s="425"/>
      <c r="C330" s="425"/>
      <c r="D330" s="425"/>
      <c r="E330" s="425"/>
      <c r="F330" s="511"/>
      <c r="G330" s="425"/>
      <c r="H330" s="511"/>
      <c r="I330" s="425"/>
      <c r="J330" s="425"/>
      <c r="K330" s="425"/>
      <c r="L330" s="511"/>
      <c r="M330" s="425"/>
      <c r="N330" s="511"/>
      <c r="O330" s="425"/>
      <c r="P330" s="425"/>
      <c r="Q330" s="425"/>
      <c r="R330" s="511"/>
      <c r="S330" s="425"/>
      <c r="T330" s="511"/>
      <c r="U330" s="425"/>
      <c r="V330" s="425"/>
      <c r="W330" s="425"/>
      <c r="X330" s="425"/>
      <c r="Y330" s="425"/>
      <c r="Z330" s="425"/>
      <c r="AA330" s="425"/>
      <c r="AB330" s="425"/>
      <c r="AC330" s="425"/>
    </row>
    <row r="331" ht="15.75" customHeight="1">
      <c r="A331" s="425"/>
      <c r="B331" s="425"/>
      <c r="C331" s="425"/>
      <c r="D331" s="425"/>
      <c r="E331" s="425"/>
      <c r="F331" s="511"/>
      <c r="G331" s="425"/>
      <c r="H331" s="511"/>
      <c r="I331" s="425"/>
      <c r="J331" s="425"/>
      <c r="K331" s="425"/>
      <c r="L331" s="511"/>
      <c r="M331" s="425"/>
      <c r="N331" s="511"/>
      <c r="O331" s="425"/>
      <c r="P331" s="425"/>
      <c r="Q331" s="425"/>
      <c r="R331" s="511"/>
      <c r="S331" s="425"/>
      <c r="T331" s="511"/>
      <c r="U331" s="425"/>
      <c r="V331" s="425"/>
      <c r="W331" s="425"/>
      <c r="X331" s="425"/>
      <c r="Y331" s="425"/>
      <c r="Z331" s="425"/>
      <c r="AA331" s="425"/>
      <c r="AB331" s="425"/>
      <c r="AC331" s="425"/>
    </row>
    <row r="332" ht="15.75" customHeight="1">
      <c r="A332" s="425"/>
      <c r="B332" s="425"/>
      <c r="C332" s="425"/>
      <c r="D332" s="425"/>
      <c r="E332" s="425"/>
      <c r="F332" s="511"/>
      <c r="G332" s="425"/>
      <c r="H332" s="511"/>
      <c r="I332" s="425"/>
      <c r="J332" s="425"/>
      <c r="K332" s="425"/>
      <c r="L332" s="511"/>
      <c r="M332" s="425"/>
      <c r="N332" s="511"/>
      <c r="O332" s="425"/>
      <c r="P332" s="425"/>
      <c r="Q332" s="425"/>
      <c r="R332" s="511"/>
      <c r="S332" s="425"/>
      <c r="T332" s="511"/>
      <c r="U332" s="425"/>
      <c r="V332" s="425"/>
      <c r="W332" s="425"/>
      <c r="X332" s="425"/>
      <c r="Y332" s="425"/>
      <c r="Z332" s="425"/>
      <c r="AA332" s="425"/>
      <c r="AB332" s="425"/>
      <c r="AC332" s="425"/>
    </row>
    <row r="333" ht="15.75" customHeight="1">
      <c r="A333" s="425"/>
      <c r="B333" s="425"/>
      <c r="C333" s="425"/>
      <c r="D333" s="425"/>
      <c r="E333" s="425"/>
      <c r="F333" s="511"/>
      <c r="G333" s="425"/>
      <c r="H333" s="511"/>
      <c r="I333" s="425"/>
      <c r="J333" s="425"/>
      <c r="K333" s="425"/>
      <c r="L333" s="511"/>
      <c r="M333" s="425"/>
      <c r="N333" s="511"/>
      <c r="O333" s="425"/>
      <c r="P333" s="425"/>
      <c r="Q333" s="425"/>
      <c r="R333" s="511"/>
      <c r="S333" s="425"/>
      <c r="T333" s="511"/>
      <c r="U333" s="425"/>
      <c r="V333" s="425"/>
      <c r="W333" s="425"/>
      <c r="X333" s="425"/>
      <c r="Y333" s="425"/>
      <c r="Z333" s="425"/>
      <c r="AA333" s="425"/>
      <c r="AB333" s="425"/>
      <c r="AC333" s="425"/>
    </row>
    <row r="334" ht="15.75" customHeight="1">
      <c r="A334" s="425"/>
      <c r="B334" s="425"/>
      <c r="C334" s="425"/>
      <c r="D334" s="425"/>
      <c r="E334" s="425"/>
      <c r="F334" s="511"/>
      <c r="G334" s="425"/>
      <c r="H334" s="511"/>
      <c r="I334" s="425"/>
      <c r="J334" s="425"/>
      <c r="K334" s="425"/>
      <c r="L334" s="511"/>
      <c r="M334" s="425"/>
      <c r="N334" s="511"/>
      <c r="O334" s="425"/>
      <c r="P334" s="425"/>
      <c r="Q334" s="425"/>
      <c r="R334" s="511"/>
      <c r="S334" s="425"/>
      <c r="T334" s="511"/>
      <c r="U334" s="425"/>
      <c r="V334" s="425"/>
      <c r="W334" s="425"/>
      <c r="X334" s="425"/>
      <c r="Y334" s="425"/>
      <c r="Z334" s="425"/>
      <c r="AA334" s="425"/>
      <c r="AB334" s="425"/>
      <c r="AC334" s="425"/>
    </row>
    <row r="335" ht="15.75" customHeight="1">
      <c r="A335" s="425"/>
      <c r="B335" s="425"/>
      <c r="C335" s="425"/>
      <c r="D335" s="425"/>
      <c r="E335" s="425"/>
      <c r="F335" s="511"/>
      <c r="G335" s="425"/>
      <c r="H335" s="511"/>
      <c r="I335" s="425"/>
      <c r="J335" s="425"/>
      <c r="K335" s="425"/>
      <c r="L335" s="511"/>
      <c r="M335" s="425"/>
      <c r="N335" s="511"/>
      <c r="O335" s="425"/>
      <c r="P335" s="425"/>
      <c r="Q335" s="425"/>
      <c r="R335" s="511"/>
      <c r="S335" s="425"/>
      <c r="T335" s="511"/>
      <c r="U335" s="425"/>
      <c r="V335" s="425"/>
      <c r="W335" s="425"/>
      <c r="X335" s="425"/>
      <c r="Y335" s="425"/>
      <c r="Z335" s="425"/>
      <c r="AA335" s="425"/>
      <c r="AB335" s="425"/>
      <c r="AC335" s="425"/>
    </row>
    <row r="336" ht="15.75" customHeight="1">
      <c r="A336" s="425"/>
      <c r="B336" s="425"/>
      <c r="C336" s="425"/>
      <c r="D336" s="425"/>
      <c r="E336" s="425"/>
      <c r="F336" s="511"/>
      <c r="G336" s="425"/>
      <c r="H336" s="511"/>
      <c r="I336" s="425"/>
      <c r="J336" s="425"/>
      <c r="K336" s="425"/>
      <c r="L336" s="511"/>
      <c r="M336" s="425"/>
      <c r="N336" s="511"/>
      <c r="O336" s="425"/>
      <c r="P336" s="425"/>
      <c r="Q336" s="425"/>
      <c r="R336" s="511"/>
      <c r="S336" s="425"/>
      <c r="T336" s="511"/>
      <c r="U336" s="425"/>
      <c r="V336" s="425"/>
      <c r="W336" s="425"/>
      <c r="X336" s="425"/>
      <c r="Y336" s="425"/>
      <c r="Z336" s="425"/>
      <c r="AA336" s="425"/>
      <c r="AB336" s="425"/>
      <c r="AC336" s="425"/>
    </row>
    <row r="337" ht="15.75" customHeight="1">
      <c r="A337" s="425"/>
      <c r="B337" s="425"/>
      <c r="C337" s="425"/>
      <c r="D337" s="425"/>
      <c r="E337" s="425"/>
      <c r="F337" s="511"/>
      <c r="G337" s="425"/>
      <c r="H337" s="511"/>
      <c r="I337" s="425"/>
      <c r="J337" s="425"/>
      <c r="K337" s="425"/>
      <c r="L337" s="511"/>
      <c r="M337" s="425"/>
      <c r="N337" s="511"/>
      <c r="O337" s="425"/>
      <c r="P337" s="425"/>
      <c r="Q337" s="425"/>
      <c r="R337" s="511"/>
      <c r="S337" s="425"/>
      <c r="T337" s="511"/>
      <c r="U337" s="425"/>
      <c r="V337" s="425"/>
      <c r="W337" s="425"/>
      <c r="X337" s="425"/>
      <c r="Y337" s="425"/>
      <c r="Z337" s="425"/>
      <c r="AA337" s="425"/>
      <c r="AB337" s="425"/>
      <c r="AC337" s="425"/>
    </row>
    <row r="338" ht="15.75" customHeight="1">
      <c r="A338" s="425"/>
      <c r="B338" s="425"/>
      <c r="C338" s="425"/>
      <c r="D338" s="425"/>
      <c r="E338" s="425"/>
      <c r="F338" s="511"/>
      <c r="G338" s="425"/>
      <c r="H338" s="511"/>
      <c r="I338" s="425"/>
      <c r="J338" s="425"/>
      <c r="K338" s="425"/>
      <c r="L338" s="511"/>
      <c r="M338" s="425"/>
      <c r="N338" s="511"/>
      <c r="O338" s="425"/>
      <c r="P338" s="425"/>
      <c r="Q338" s="425"/>
      <c r="R338" s="511"/>
      <c r="S338" s="425"/>
      <c r="T338" s="511"/>
      <c r="U338" s="425"/>
      <c r="V338" s="425"/>
      <c r="W338" s="425"/>
      <c r="X338" s="425"/>
      <c r="Y338" s="425"/>
      <c r="Z338" s="425"/>
      <c r="AA338" s="425"/>
      <c r="AB338" s="425"/>
      <c r="AC338" s="425"/>
    </row>
    <row r="339" ht="15.75" customHeight="1">
      <c r="A339" s="425"/>
      <c r="B339" s="425"/>
      <c r="C339" s="425"/>
      <c r="D339" s="425"/>
      <c r="E339" s="425"/>
      <c r="F339" s="511"/>
      <c r="G339" s="425"/>
      <c r="H339" s="511"/>
      <c r="I339" s="425"/>
      <c r="J339" s="425"/>
      <c r="K339" s="425"/>
      <c r="L339" s="511"/>
      <c r="M339" s="425"/>
      <c r="N339" s="511"/>
      <c r="O339" s="425"/>
      <c r="P339" s="425"/>
      <c r="Q339" s="425"/>
      <c r="R339" s="511"/>
      <c r="S339" s="425"/>
      <c r="T339" s="511"/>
      <c r="U339" s="425"/>
      <c r="V339" s="425"/>
      <c r="W339" s="425"/>
      <c r="X339" s="425"/>
      <c r="Y339" s="425"/>
      <c r="Z339" s="425"/>
      <c r="AA339" s="425"/>
      <c r="AB339" s="425"/>
      <c r="AC339" s="425"/>
    </row>
    <row r="340" ht="15.75" customHeight="1">
      <c r="A340" s="425"/>
      <c r="B340" s="425"/>
      <c r="C340" s="425"/>
      <c r="D340" s="425"/>
      <c r="E340" s="425"/>
      <c r="F340" s="511"/>
      <c r="G340" s="425"/>
      <c r="H340" s="511"/>
      <c r="I340" s="425"/>
      <c r="J340" s="425"/>
      <c r="K340" s="425"/>
      <c r="L340" s="511"/>
      <c r="M340" s="425"/>
      <c r="N340" s="511"/>
      <c r="O340" s="425"/>
      <c r="P340" s="425"/>
      <c r="Q340" s="425"/>
      <c r="R340" s="511"/>
      <c r="S340" s="425"/>
      <c r="T340" s="511"/>
      <c r="U340" s="425"/>
      <c r="V340" s="425"/>
      <c r="W340" s="425"/>
      <c r="X340" s="425"/>
      <c r="Y340" s="425"/>
      <c r="Z340" s="425"/>
      <c r="AA340" s="425"/>
      <c r="AB340" s="425"/>
      <c r="AC340" s="425"/>
    </row>
    <row r="341" ht="15.75" customHeight="1">
      <c r="A341" s="425"/>
      <c r="B341" s="425"/>
      <c r="C341" s="425"/>
      <c r="D341" s="425"/>
      <c r="E341" s="425"/>
      <c r="F341" s="511"/>
      <c r="G341" s="425"/>
      <c r="H341" s="511"/>
      <c r="I341" s="425"/>
      <c r="J341" s="425"/>
      <c r="K341" s="425"/>
      <c r="L341" s="511"/>
      <c r="M341" s="425"/>
      <c r="N341" s="511"/>
      <c r="O341" s="425"/>
      <c r="P341" s="425"/>
      <c r="Q341" s="425"/>
      <c r="R341" s="511"/>
      <c r="S341" s="425"/>
      <c r="T341" s="511"/>
      <c r="U341" s="425"/>
      <c r="V341" s="425"/>
      <c r="W341" s="425"/>
      <c r="X341" s="425"/>
      <c r="Y341" s="425"/>
      <c r="Z341" s="425"/>
      <c r="AA341" s="425"/>
      <c r="AB341" s="425"/>
      <c r="AC341" s="425"/>
    </row>
    <row r="342" ht="15.75" customHeight="1">
      <c r="A342" s="425"/>
      <c r="B342" s="425"/>
      <c r="C342" s="425"/>
      <c r="D342" s="425"/>
      <c r="E342" s="425"/>
      <c r="F342" s="511"/>
      <c r="G342" s="425"/>
      <c r="H342" s="511"/>
      <c r="I342" s="425"/>
      <c r="J342" s="425"/>
      <c r="K342" s="425"/>
      <c r="L342" s="511"/>
      <c r="M342" s="425"/>
      <c r="N342" s="511"/>
      <c r="O342" s="425"/>
      <c r="P342" s="425"/>
      <c r="Q342" s="425"/>
      <c r="R342" s="511"/>
      <c r="S342" s="425"/>
      <c r="T342" s="511"/>
      <c r="U342" s="425"/>
      <c r="V342" s="425"/>
      <c r="W342" s="425"/>
      <c r="X342" s="425"/>
      <c r="Y342" s="425"/>
      <c r="Z342" s="425"/>
      <c r="AA342" s="425"/>
      <c r="AB342" s="425"/>
      <c r="AC342" s="425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9:C69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9.7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0.75"/>
    <col customWidth="1" hidden="1" min="17" max="21" width="12.63"/>
    <col customWidth="1" min="22" max="29" width="12.63"/>
  </cols>
  <sheetData>
    <row r="1" ht="15.75" customHeight="1">
      <c r="A1" s="2"/>
      <c r="B1" s="1" t="s">
        <v>0</v>
      </c>
      <c r="C1" s="2"/>
      <c r="D1" s="770"/>
      <c r="E1" s="2"/>
      <c r="F1" s="770"/>
      <c r="G1" s="2"/>
      <c r="H1" s="2"/>
      <c r="I1" s="2"/>
      <c r="J1" s="770"/>
      <c r="K1" s="2"/>
      <c r="L1" s="770"/>
      <c r="M1" s="2"/>
      <c r="N1" s="2"/>
      <c r="O1" s="2"/>
      <c r="P1" s="770"/>
      <c r="Q1" s="2"/>
      <c r="R1" s="770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2"/>
      <c r="B2" s="771" t="s">
        <v>321</v>
      </c>
      <c r="C2" s="772"/>
      <c r="D2" s="770"/>
      <c r="E2" s="2"/>
      <c r="F2" s="770"/>
      <c r="G2" s="2"/>
      <c r="H2" s="2"/>
      <c r="I2" s="2"/>
      <c r="J2" s="770"/>
      <c r="K2" s="2"/>
      <c r="L2" s="770"/>
      <c r="M2" s="2"/>
      <c r="N2" s="2"/>
      <c r="O2" s="2"/>
      <c r="P2" s="770"/>
      <c r="Q2" s="2"/>
      <c r="R2" s="770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2"/>
      <c r="B3" s="2"/>
      <c r="C3" s="2"/>
      <c r="D3" s="770"/>
      <c r="E3" s="2"/>
      <c r="F3" s="770"/>
      <c r="G3" s="2"/>
      <c r="H3" s="2"/>
      <c r="I3" s="2"/>
      <c r="J3" s="770"/>
      <c r="K3" s="2"/>
      <c r="L3" s="770"/>
      <c r="M3" s="2"/>
      <c r="N3" s="2"/>
      <c r="O3" s="2"/>
      <c r="P3" s="770"/>
      <c r="Q3" s="2"/>
      <c r="R3" s="770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"/>
      <c r="B4" s="773" t="s">
        <v>165</v>
      </c>
      <c r="C4" s="773" t="s">
        <v>166</v>
      </c>
      <c r="D4" s="774" t="s">
        <v>167</v>
      </c>
      <c r="E4" s="10"/>
      <c r="F4" s="10"/>
      <c r="G4" s="10"/>
      <c r="H4" s="10"/>
      <c r="I4" s="12"/>
      <c r="J4" s="774" t="s">
        <v>168</v>
      </c>
      <c r="K4" s="10"/>
      <c r="L4" s="10"/>
      <c r="M4" s="10"/>
      <c r="N4" s="10"/>
      <c r="O4" s="12"/>
      <c r="P4" s="775" t="s">
        <v>169</v>
      </c>
      <c r="Q4" s="10"/>
      <c r="R4" s="10"/>
      <c r="S4" s="10"/>
      <c r="T4" s="10"/>
      <c r="U4" s="12"/>
      <c r="V4" s="776"/>
      <c r="W4" s="776"/>
      <c r="X4" s="776"/>
      <c r="Y4" s="776"/>
      <c r="Z4" s="776"/>
      <c r="AA4" s="776"/>
      <c r="AB4" s="776"/>
      <c r="AC4" s="776"/>
    </row>
    <row r="5" ht="15.75" customHeight="1">
      <c r="A5" s="777"/>
      <c r="B5" s="433"/>
      <c r="C5" s="433"/>
      <c r="D5" s="778" t="s">
        <v>170</v>
      </c>
      <c r="E5" s="779" t="s">
        <v>18</v>
      </c>
      <c r="F5" s="778" t="s">
        <v>171</v>
      </c>
      <c r="G5" s="779" t="s">
        <v>18</v>
      </c>
      <c r="H5" s="779" t="s">
        <v>172</v>
      </c>
      <c r="I5" s="779" t="s">
        <v>260</v>
      </c>
      <c r="J5" s="778" t="s">
        <v>170</v>
      </c>
      <c r="K5" s="779" t="s">
        <v>18</v>
      </c>
      <c r="L5" s="778" t="s">
        <v>171</v>
      </c>
      <c r="M5" s="779" t="s">
        <v>18</v>
      </c>
      <c r="N5" s="779" t="s">
        <v>172</v>
      </c>
      <c r="O5" s="779" t="s">
        <v>260</v>
      </c>
      <c r="P5" s="778" t="s">
        <v>170</v>
      </c>
      <c r="Q5" s="779" t="s">
        <v>18</v>
      </c>
      <c r="R5" s="778" t="s">
        <v>171</v>
      </c>
      <c r="S5" s="779" t="s">
        <v>18</v>
      </c>
      <c r="T5" s="779" t="s">
        <v>172</v>
      </c>
      <c r="U5" s="779" t="s">
        <v>260</v>
      </c>
      <c r="V5" s="780"/>
      <c r="W5" s="780"/>
      <c r="X5" s="780"/>
      <c r="Y5" s="780"/>
      <c r="Z5" s="780"/>
      <c r="AA5" s="780"/>
      <c r="AB5" s="780"/>
      <c r="AC5" s="780"/>
    </row>
    <row r="6" ht="15.75" hidden="1" customHeight="1">
      <c r="A6" s="2"/>
      <c r="B6" s="781"/>
      <c r="C6" s="782" t="s">
        <v>76</v>
      </c>
      <c r="D6" s="783">
        <v>0.0</v>
      </c>
      <c r="E6" s="781"/>
      <c r="F6" s="784"/>
      <c r="G6" s="781"/>
      <c r="H6" s="785"/>
      <c r="I6" s="781"/>
      <c r="J6" s="784">
        <v>0.0</v>
      </c>
      <c r="K6" s="781"/>
      <c r="L6" s="784"/>
      <c r="M6" s="781"/>
      <c r="N6" s="785"/>
      <c r="O6" s="781"/>
      <c r="P6" s="784">
        <v>0.0</v>
      </c>
      <c r="Q6" s="781"/>
      <c r="R6" s="784"/>
      <c r="S6" s="781"/>
      <c r="T6" s="785"/>
      <c r="U6" s="786"/>
      <c r="V6" s="2"/>
      <c r="W6" s="2"/>
      <c r="X6" s="2"/>
      <c r="Y6" s="2"/>
      <c r="Z6" s="2"/>
      <c r="AA6" s="2"/>
      <c r="AB6" s="2"/>
      <c r="AC6" s="2"/>
    </row>
    <row r="7" ht="15.75" hidden="1" customHeight="1">
      <c r="A7" s="2"/>
      <c r="B7" s="787"/>
      <c r="C7" s="788" t="s">
        <v>83</v>
      </c>
      <c r="D7" s="789">
        <v>0.0</v>
      </c>
      <c r="E7" s="787"/>
      <c r="F7" s="790"/>
      <c r="G7" s="787"/>
      <c r="H7" s="791"/>
      <c r="I7" s="787"/>
      <c r="J7" s="790">
        <v>0.0</v>
      </c>
      <c r="K7" s="787"/>
      <c r="L7" s="790"/>
      <c r="M7" s="787"/>
      <c r="N7" s="791"/>
      <c r="O7" s="787"/>
      <c r="P7" s="790">
        <v>0.0</v>
      </c>
      <c r="Q7" s="787"/>
      <c r="R7" s="790"/>
      <c r="S7" s="787"/>
      <c r="T7" s="791"/>
      <c r="U7" s="792"/>
      <c r="V7" s="2"/>
      <c r="W7" s="2"/>
      <c r="X7" s="2"/>
      <c r="Y7" s="2"/>
      <c r="Z7" s="2"/>
      <c r="AA7" s="2"/>
      <c r="AB7" s="2"/>
      <c r="AC7" s="2"/>
    </row>
    <row r="8" ht="15.75" hidden="1" customHeight="1">
      <c r="A8" s="2"/>
      <c r="B8" s="787"/>
      <c r="C8" s="788" t="s">
        <v>90</v>
      </c>
      <c r="D8" s="789">
        <f>D29</f>
        <v>0</v>
      </c>
      <c r="E8" s="787"/>
      <c r="F8" s="790"/>
      <c r="G8" s="787"/>
      <c r="H8" s="791"/>
      <c r="I8" s="787"/>
      <c r="J8" s="790">
        <f>J29</f>
        <v>0</v>
      </c>
      <c r="K8" s="787"/>
      <c r="L8" s="790"/>
      <c r="M8" s="787"/>
      <c r="N8" s="791"/>
      <c r="O8" s="787"/>
      <c r="P8" s="790">
        <f>P29</f>
        <v>0</v>
      </c>
      <c r="Q8" s="787"/>
      <c r="R8" s="790"/>
      <c r="S8" s="787"/>
      <c r="T8" s="791"/>
      <c r="U8" s="792"/>
      <c r="V8" s="2"/>
      <c r="W8" s="2"/>
      <c r="X8" s="2"/>
      <c r="Y8" s="2"/>
      <c r="Z8" s="2"/>
      <c r="AA8" s="2"/>
      <c r="AB8" s="2"/>
      <c r="AC8" s="2"/>
    </row>
    <row r="9" ht="15.75" hidden="1" customHeight="1">
      <c r="A9" s="2"/>
      <c r="B9" s="787"/>
      <c r="C9" s="788" t="s">
        <v>97</v>
      </c>
      <c r="D9" s="789" t="str">
        <f>D18+D21+#REF!+D22</f>
        <v>#REF!</v>
      </c>
      <c r="E9" s="787"/>
      <c r="F9" s="790"/>
      <c r="G9" s="787"/>
      <c r="H9" s="791"/>
      <c r="I9" s="787"/>
      <c r="J9" s="790" t="str">
        <f>J18+J21+#REF!+J22</f>
        <v>#REF!</v>
      </c>
      <c r="K9" s="787"/>
      <c r="L9" s="790"/>
      <c r="M9" s="787"/>
      <c r="N9" s="791"/>
      <c r="O9" s="787"/>
      <c r="P9" s="790" t="str">
        <f>P18+P21+#REF!+P22</f>
        <v>#REF!</v>
      </c>
      <c r="Q9" s="787"/>
      <c r="R9" s="790"/>
      <c r="S9" s="787"/>
      <c r="T9" s="791"/>
      <c r="U9" s="792"/>
      <c r="V9" s="2"/>
      <c r="W9" s="2"/>
      <c r="X9" s="2"/>
      <c r="Y9" s="2"/>
      <c r="Z9" s="2"/>
      <c r="AA9" s="2"/>
      <c r="AB9" s="2"/>
      <c r="AC9" s="2"/>
    </row>
    <row r="10" ht="15.75" hidden="1" customHeight="1">
      <c r="A10" s="2"/>
      <c r="B10" s="787"/>
      <c r="C10" s="788" t="s">
        <v>104</v>
      </c>
      <c r="D10" s="789"/>
      <c r="E10" s="787"/>
      <c r="F10" s="790"/>
      <c r="G10" s="787"/>
      <c r="H10" s="791"/>
      <c r="I10" s="787"/>
      <c r="J10" s="790"/>
      <c r="K10" s="787"/>
      <c r="L10" s="790"/>
      <c r="M10" s="787"/>
      <c r="N10" s="791"/>
      <c r="O10" s="787"/>
      <c r="P10" s="790"/>
      <c r="Q10" s="787"/>
      <c r="R10" s="790"/>
      <c r="S10" s="787"/>
      <c r="T10" s="791"/>
      <c r="U10" s="792"/>
      <c r="V10" s="2"/>
      <c r="W10" s="2"/>
      <c r="X10" s="2"/>
      <c r="Y10" s="2"/>
      <c r="Z10" s="2"/>
      <c r="AA10" s="2"/>
      <c r="AB10" s="2"/>
      <c r="AC10" s="2"/>
    </row>
    <row r="11" ht="15.75" hidden="1" customHeight="1">
      <c r="A11" s="2"/>
      <c r="B11" s="787"/>
      <c r="C11" s="788" t="s">
        <v>111</v>
      </c>
      <c r="D11" s="789"/>
      <c r="E11" s="787"/>
      <c r="F11" s="790"/>
      <c r="G11" s="787"/>
      <c r="H11" s="791"/>
      <c r="I11" s="787"/>
      <c r="J11" s="790"/>
      <c r="K11" s="787"/>
      <c r="L11" s="790"/>
      <c r="M11" s="787"/>
      <c r="N11" s="791"/>
      <c r="O11" s="787"/>
      <c r="P11" s="790"/>
      <c r="Q11" s="787"/>
      <c r="R11" s="790"/>
      <c r="S11" s="787"/>
      <c r="T11" s="791"/>
      <c r="U11" s="792"/>
      <c r="V11" s="2"/>
      <c r="W11" s="2"/>
      <c r="X11" s="2"/>
      <c r="Y11" s="2"/>
      <c r="Z11" s="2"/>
      <c r="AA11" s="2"/>
      <c r="AB11" s="2"/>
      <c r="AC11" s="2"/>
    </row>
    <row r="12" ht="15.75" hidden="1" customHeight="1">
      <c r="A12" s="2"/>
      <c r="B12" s="787"/>
      <c r="C12" s="788" t="s">
        <v>118</v>
      </c>
      <c r="D12" s="789"/>
      <c r="E12" s="787"/>
      <c r="F12" s="790"/>
      <c r="G12" s="787"/>
      <c r="H12" s="791"/>
      <c r="I12" s="787"/>
      <c r="J12" s="790"/>
      <c r="K12" s="787"/>
      <c r="L12" s="790"/>
      <c r="M12" s="787"/>
      <c r="N12" s="791"/>
      <c r="O12" s="787"/>
      <c r="P12" s="790"/>
      <c r="Q12" s="787"/>
      <c r="R12" s="790"/>
      <c r="S12" s="787"/>
      <c r="T12" s="791"/>
      <c r="U12" s="792"/>
      <c r="V12" s="2"/>
      <c r="W12" s="2"/>
      <c r="X12" s="2"/>
      <c r="Y12" s="2"/>
      <c r="Z12" s="2"/>
      <c r="AA12" s="2"/>
      <c r="AB12" s="2"/>
      <c r="AC12" s="2"/>
    </row>
    <row r="13" ht="15.75" hidden="1" customHeight="1">
      <c r="A13" s="2"/>
      <c r="B13" s="787"/>
      <c r="C13" s="788"/>
      <c r="D13" s="789"/>
      <c r="E13" s="788"/>
      <c r="F13" s="790"/>
      <c r="G13" s="788"/>
      <c r="H13" s="791"/>
      <c r="I13" s="788"/>
      <c r="J13" s="790"/>
      <c r="K13" s="788"/>
      <c r="L13" s="790"/>
      <c r="M13" s="788"/>
      <c r="N13" s="791"/>
      <c r="O13" s="788"/>
      <c r="P13" s="790"/>
      <c r="Q13" s="788"/>
      <c r="R13" s="790"/>
      <c r="S13" s="788"/>
      <c r="T13" s="791"/>
      <c r="U13" s="793"/>
      <c r="V13" s="2"/>
      <c r="W13" s="2"/>
      <c r="X13" s="2"/>
      <c r="Y13" s="2"/>
      <c r="Z13" s="2"/>
      <c r="AA13" s="2"/>
      <c r="AB13" s="2"/>
      <c r="AC13" s="2"/>
    </row>
    <row r="14" ht="15.75" hidden="1" customHeight="1">
      <c r="A14" s="2"/>
      <c r="B14" s="794"/>
      <c r="C14" s="795"/>
      <c r="D14" s="796"/>
      <c r="E14" s="795"/>
      <c r="F14" s="797"/>
      <c r="G14" s="795"/>
      <c r="H14" s="798"/>
      <c r="I14" s="795"/>
      <c r="J14" s="797"/>
      <c r="K14" s="795"/>
      <c r="L14" s="797"/>
      <c r="M14" s="795"/>
      <c r="N14" s="798"/>
      <c r="O14" s="795"/>
      <c r="P14" s="797"/>
      <c r="Q14" s="788"/>
      <c r="R14" s="790"/>
      <c r="S14" s="788"/>
      <c r="T14" s="791"/>
      <c r="U14" s="793"/>
      <c r="V14" s="2"/>
      <c r="W14" s="2"/>
      <c r="X14" s="2"/>
      <c r="Y14" s="2"/>
      <c r="Z14" s="2"/>
      <c r="AA14" s="2"/>
      <c r="AB14" s="2"/>
      <c r="AC14" s="2"/>
    </row>
    <row r="15" ht="15.75" customHeight="1">
      <c r="A15" s="2"/>
      <c r="B15" s="799" t="s">
        <v>173</v>
      </c>
      <c r="C15" s="800" t="s">
        <v>322</v>
      </c>
      <c r="D15" s="801">
        <f>SUM(D16:D20)</f>
        <v>0</v>
      </c>
      <c r="E15" s="800"/>
      <c r="F15" s="801">
        <f>SUM(F16:F20)</f>
        <v>0</v>
      </c>
      <c r="G15" s="800"/>
      <c r="H15" s="802">
        <f>SUM(H16:H20)</f>
        <v>0</v>
      </c>
      <c r="I15" s="800"/>
      <c r="J15" s="801">
        <f>SUM(J16:J20)</f>
        <v>0</v>
      </c>
      <c r="K15" s="800"/>
      <c r="L15" s="801">
        <f>SUM(L16:L20)</f>
        <v>0</v>
      </c>
      <c r="M15" s="800"/>
      <c r="N15" s="802">
        <f>SUM(N16:N20)</f>
        <v>0</v>
      </c>
      <c r="O15" s="800"/>
      <c r="P15" s="801">
        <f>SUM(P16:P20)</f>
        <v>0</v>
      </c>
      <c r="Q15" s="788"/>
      <c r="R15" s="790"/>
      <c r="S15" s="788"/>
      <c r="T15" s="791"/>
      <c r="U15" s="793"/>
      <c r="V15" s="2"/>
      <c r="W15" s="2"/>
      <c r="X15" s="2"/>
      <c r="Y15" s="2"/>
      <c r="Z15" s="2"/>
      <c r="AA15" s="2"/>
      <c r="AB15" s="2"/>
      <c r="AC15" s="2"/>
    </row>
    <row r="16" ht="15.75" customHeight="1">
      <c r="A16" s="2"/>
      <c r="B16" s="803"/>
      <c r="C16" s="804"/>
      <c r="D16" s="805"/>
      <c r="E16" s="804"/>
      <c r="F16" s="806"/>
      <c r="G16" s="804"/>
      <c r="H16" s="807"/>
      <c r="I16" s="804"/>
      <c r="J16" s="806"/>
      <c r="K16" s="804"/>
      <c r="L16" s="806"/>
      <c r="M16" s="804"/>
      <c r="N16" s="807"/>
      <c r="O16" s="804"/>
      <c r="P16" s="806"/>
      <c r="Q16" s="808"/>
      <c r="R16" s="809">
        <f>SUM(R17:R21)</f>
        <v>0</v>
      </c>
      <c r="S16" s="808"/>
      <c r="T16" s="810">
        <f>SUM(T17:T21)</f>
        <v>0</v>
      </c>
      <c r="U16" s="811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2"/>
      <c r="B17" s="787" t="s">
        <v>23</v>
      </c>
      <c r="C17" s="450" t="s">
        <v>175</v>
      </c>
      <c r="D17" s="789"/>
      <c r="E17" s="788"/>
      <c r="F17" s="790"/>
      <c r="G17" s="788"/>
      <c r="H17" s="791"/>
      <c r="I17" s="788"/>
      <c r="J17" s="790"/>
      <c r="K17" s="788"/>
      <c r="L17" s="790"/>
      <c r="M17" s="788"/>
      <c r="N17" s="791"/>
      <c r="O17" s="788"/>
      <c r="P17" s="790"/>
      <c r="Q17" s="788"/>
      <c r="R17" s="790"/>
      <c r="S17" s="788"/>
      <c r="T17" s="791"/>
      <c r="U17" s="793"/>
      <c r="V17" s="2"/>
      <c r="W17" s="2"/>
      <c r="X17" s="2"/>
      <c r="Y17" s="2"/>
      <c r="Z17" s="2"/>
      <c r="AA17" s="2"/>
      <c r="AB17" s="2"/>
      <c r="AC17" s="2"/>
    </row>
    <row r="18" ht="15.75" customHeight="1">
      <c r="A18" s="2"/>
      <c r="B18" s="788"/>
      <c r="C18" s="450" t="s">
        <v>176</v>
      </c>
      <c r="D18" s="789"/>
      <c r="E18" s="788"/>
      <c r="F18" s="790"/>
      <c r="G18" s="788"/>
      <c r="H18" s="791"/>
      <c r="I18" s="788"/>
      <c r="J18" s="790"/>
      <c r="K18" s="788"/>
      <c r="L18" s="790"/>
      <c r="M18" s="788"/>
      <c r="N18" s="791"/>
      <c r="O18" s="788"/>
      <c r="P18" s="790"/>
      <c r="Q18" s="788"/>
      <c r="R18" s="790"/>
      <c r="S18" s="788"/>
      <c r="T18" s="791"/>
      <c r="U18" s="793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2"/>
      <c r="B19" s="788"/>
      <c r="C19" s="450" t="s">
        <v>177</v>
      </c>
      <c r="D19" s="789"/>
      <c r="E19" s="788"/>
      <c r="F19" s="790"/>
      <c r="G19" s="788"/>
      <c r="H19" s="791"/>
      <c r="I19" s="788"/>
      <c r="J19" s="790"/>
      <c r="K19" s="788"/>
      <c r="L19" s="790"/>
      <c r="M19" s="788"/>
      <c r="N19" s="791"/>
      <c r="O19" s="788"/>
      <c r="P19" s="790"/>
      <c r="Q19" s="788"/>
      <c r="R19" s="790"/>
      <c r="S19" s="788"/>
      <c r="T19" s="791"/>
      <c r="U19" s="793"/>
      <c r="V19" s="2"/>
      <c r="W19" s="2"/>
      <c r="X19" s="2"/>
      <c r="Y19" s="2"/>
      <c r="Z19" s="2"/>
      <c r="AA19" s="2"/>
      <c r="AB19" s="2"/>
      <c r="AC19" s="2"/>
    </row>
    <row r="20" ht="15.75" customHeight="1">
      <c r="A20" s="2"/>
      <c r="B20" s="788"/>
      <c r="C20" s="450" t="s">
        <v>178</v>
      </c>
      <c r="D20" s="789"/>
      <c r="E20" s="788"/>
      <c r="F20" s="790"/>
      <c r="G20" s="788"/>
      <c r="H20" s="791"/>
      <c r="I20" s="788"/>
      <c r="J20" s="790"/>
      <c r="K20" s="788"/>
      <c r="L20" s="790"/>
      <c r="M20" s="788"/>
      <c r="N20" s="791"/>
      <c r="O20" s="788"/>
      <c r="P20" s="790"/>
      <c r="Q20" s="788"/>
      <c r="R20" s="790"/>
      <c r="S20" s="788"/>
      <c r="T20" s="791"/>
      <c r="U20" s="793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812"/>
      <c r="C21" s="450" t="s">
        <v>179</v>
      </c>
      <c r="D21" s="789"/>
      <c r="E21" s="788"/>
      <c r="F21" s="790"/>
      <c r="G21" s="788"/>
      <c r="H21" s="791"/>
      <c r="I21" s="788"/>
      <c r="J21" s="790"/>
      <c r="K21" s="788"/>
      <c r="L21" s="790"/>
      <c r="M21" s="788"/>
      <c r="N21" s="791"/>
      <c r="O21" s="788"/>
      <c r="P21" s="790"/>
      <c r="Q21" s="788"/>
      <c r="R21" s="790"/>
      <c r="S21" s="788"/>
      <c r="T21" s="791"/>
      <c r="U21" s="793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787"/>
      <c r="C22" s="450" t="s">
        <v>263</v>
      </c>
      <c r="D22" s="789"/>
      <c r="E22" s="788"/>
      <c r="F22" s="790"/>
      <c r="G22" s="788"/>
      <c r="H22" s="791"/>
      <c r="I22" s="788"/>
      <c r="J22" s="790"/>
      <c r="K22" s="788"/>
      <c r="L22" s="790"/>
      <c r="M22" s="788"/>
      <c r="N22" s="791"/>
      <c r="O22" s="788"/>
      <c r="P22" s="790"/>
      <c r="Q22" s="788"/>
      <c r="R22" s="790"/>
      <c r="S22" s="788"/>
      <c r="T22" s="791"/>
      <c r="U22" s="793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787"/>
      <c r="C23" s="812"/>
      <c r="D23" s="789"/>
      <c r="E23" s="788"/>
      <c r="F23" s="790"/>
      <c r="G23" s="788"/>
      <c r="H23" s="791"/>
      <c r="I23" s="788"/>
      <c r="J23" s="790"/>
      <c r="K23" s="788"/>
      <c r="L23" s="790"/>
      <c r="M23" s="788"/>
      <c r="N23" s="791"/>
      <c r="O23" s="788"/>
      <c r="P23" s="790"/>
      <c r="Q23" s="788"/>
      <c r="R23" s="790"/>
      <c r="S23" s="788"/>
      <c r="T23" s="791"/>
      <c r="U23" s="793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787" t="s">
        <v>21</v>
      </c>
      <c r="C24" s="450" t="s">
        <v>21</v>
      </c>
      <c r="D24" s="789"/>
      <c r="E24" s="788"/>
      <c r="F24" s="790"/>
      <c r="G24" s="788"/>
      <c r="H24" s="791"/>
      <c r="I24" s="788"/>
      <c r="J24" s="790"/>
      <c r="K24" s="788"/>
      <c r="L24" s="790"/>
      <c r="M24" s="788"/>
      <c r="N24" s="791"/>
      <c r="O24" s="788"/>
      <c r="P24" s="790"/>
      <c r="Q24" s="788"/>
      <c r="R24" s="790"/>
      <c r="S24" s="788"/>
      <c r="T24" s="791"/>
      <c r="U24" s="793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787" t="s">
        <v>22</v>
      </c>
      <c r="C25" s="450" t="s">
        <v>22</v>
      </c>
      <c r="D25" s="789"/>
      <c r="E25" s="788"/>
      <c r="F25" s="790"/>
      <c r="G25" s="788"/>
      <c r="H25" s="791"/>
      <c r="I25" s="788"/>
      <c r="J25" s="790"/>
      <c r="K25" s="788"/>
      <c r="L25" s="790"/>
      <c r="M25" s="788"/>
      <c r="N25" s="791"/>
      <c r="O25" s="788"/>
      <c r="P25" s="790"/>
      <c r="Q25" s="788"/>
      <c r="R25" s="790"/>
      <c r="S25" s="788"/>
      <c r="T25" s="791"/>
      <c r="U25" s="793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787" t="s">
        <v>23</v>
      </c>
      <c r="C26" s="450" t="s">
        <v>180</v>
      </c>
      <c r="D26" s="813"/>
      <c r="E26" s="788"/>
      <c r="F26" s="814"/>
      <c r="G26" s="788"/>
      <c r="H26" s="815"/>
      <c r="I26" s="788"/>
      <c r="J26" s="814"/>
      <c r="K26" s="788"/>
      <c r="L26" s="814"/>
      <c r="M26" s="788"/>
      <c r="N26" s="815"/>
      <c r="O26" s="788"/>
      <c r="P26" s="814"/>
      <c r="Q26" s="788"/>
      <c r="R26" s="814"/>
      <c r="S26" s="788"/>
      <c r="T26" s="815"/>
      <c r="U26" s="793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788"/>
      <c r="C27" s="812"/>
      <c r="D27" s="789"/>
      <c r="E27" s="788"/>
      <c r="F27" s="790"/>
      <c r="G27" s="788"/>
      <c r="H27" s="788"/>
      <c r="I27" s="788"/>
      <c r="J27" s="790"/>
      <c r="K27" s="788"/>
      <c r="L27" s="790"/>
      <c r="M27" s="788"/>
      <c r="N27" s="788"/>
      <c r="O27" s="788"/>
      <c r="P27" s="790"/>
      <c r="Q27" s="788"/>
      <c r="R27" s="790"/>
      <c r="S27" s="788"/>
      <c r="T27" s="788"/>
      <c r="U27" s="793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795"/>
      <c r="C28" s="468" t="s">
        <v>181</v>
      </c>
      <c r="D28" s="796"/>
      <c r="E28" s="795"/>
      <c r="F28" s="797"/>
      <c r="G28" s="795"/>
      <c r="H28" s="795"/>
      <c r="I28" s="795"/>
      <c r="J28" s="797"/>
      <c r="K28" s="795"/>
      <c r="L28" s="797"/>
      <c r="M28" s="795"/>
      <c r="N28" s="795"/>
      <c r="O28" s="795"/>
      <c r="P28" s="797"/>
      <c r="Q28" s="788"/>
      <c r="R28" s="790"/>
      <c r="S28" s="788"/>
      <c r="T28" s="788"/>
      <c r="U28" s="793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800"/>
      <c r="C29" s="800" t="s">
        <v>182</v>
      </c>
      <c r="D29" s="801">
        <f>D24+D25+D26</f>
        <v>0</v>
      </c>
      <c r="E29" s="800"/>
      <c r="F29" s="801">
        <f>F24+F25+F26</f>
        <v>0</v>
      </c>
      <c r="G29" s="800"/>
      <c r="H29" s="802">
        <f>H24+H25+H26</f>
        <v>0</v>
      </c>
      <c r="I29" s="800"/>
      <c r="J29" s="801">
        <f>J24+J25+J26</f>
        <v>0</v>
      </c>
      <c r="K29" s="800"/>
      <c r="L29" s="801">
        <f>L24+L25+L26</f>
        <v>0</v>
      </c>
      <c r="M29" s="800"/>
      <c r="N29" s="802">
        <f>N24+N25+N26</f>
        <v>0</v>
      </c>
      <c r="O29" s="800"/>
      <c r="P29" s="801">
        <f>P24+P25+P26</f>
        <v>0</v>
      </c>
      <c r="Q29" s="808"/>
      <c r="R29" s="809">
        <f>R24+R25+R26</f>
        <v>0</v>
      </c>
      <c r="S29" s="808"/>
      <c r="T29" s="810">
        <f>T24+T25+T26</f>
        <v>0</v>
      </c>
      <c r="U29" s="811"/>
      <c r="V29" s="3"/>
      <c r="W29" s="3"/>
      <c r="X29" s="3"/>
      <c r="Y29" s="3"/>
      <c r="Z29" s="3"/>
      <c r="AA29" s="3"/>
      <c r="AB29" s="3"/>
      <c r="AC29" s="3"/>
    </row>
    <row r="30" ht="15.75" hidden="1" customHeight="1">
      <c r="A30" s="2"/>
      <c r="B30" s="781"/>
      <c r="C30" s="782"/>
      <c r="D30" s="783"/>
      <c r="E30" s="781"/>
      <c r="F30" s="784"/>
      <c r="G30" s="781"/>
      <c r="H30" s="781"/>
      <c r="I30" s="781"/>
      <c r="J30" s="784"/>
      <c r="K30" s="781"/>
      <c r="L30" s="784"/>
      <c r="M30" s="781"/>
      <c r="N30" s="781"/>
      <c r="O30" s="781"/>
      <c r="P30" s="784"/>
      <c r="Q30" s="787"/>
      <c r="R30" s="790"/>
      <c r="S30" s="787"/>
      <c r="T30" s="787"/>
      <c r="U30" s="792"/>
      <c r="V30" s="2"/>
      <c r="W30" s="2"/>
      <c r="X30" s="2"/>
      <c r="Y30" s="2"/>
      <c r="Z30" s="2"/>
      <c r="AA30" s="2"/>
      <c r="AB30" s="2"/>
      <c r="AC30" s="2"/>
    </row>
    <row r="31" ht="15.75" hidden="1" customHeight="1">
      <c r="A31" s="2"/>
      <c r="B31" s="788"/>
      <c r="C31" s="788"/>
      <c r="D31" s="789"/>
      <c r="E31" s="816"/>
      <c r="F31" s="790"/>
      <c r="G31" s="791"/>
      <c r="H31" s="791"/>
      <c r="I31" s="791"/>
      <c r="J31" s="790"/>
      <c r="K31" s="816"/>
      <c r="L31" s="790"/>
      <c r="M31" s="791"/>
      <c r="N31" s="791"/>
      <c r="O31" s="791"/>
      <c r="P31" s="790"/>
      <c r="Q31" s="816"/>
      <c r="R31" s="790"/>
      <c r="S31" s="791"/>
      <c r="T31" s="791"/>
      <c r="U31" s="817"/>
      <c r="V31" s="2"/>
      <c r="W31" s="2"/>
      <c r="X31" s="2"/>
      <c r="Y31" s="2"/>
      <c r="Z31" s="2"/>
      <c r="AA31" s="2"/>
      <c r="AB31" s="2"/>
      <c r="AC31" s="2"/>
    </row>
    <row r="32" ht="15.75" hidden="1" customHeight="1">
      <c r="A32" s="2"/>
      <c r="B32" s="788"/>
      <c r="C32" s="788"/>
      <c r="D32" s="789"/>
      <c r="E32" s="816"/>
      <c r="F32" s="790"/>
      <c r="G32" s="791"/>
      <c r="H32" s="791"/>
      <c r="I32" s="791"/>
      <c r="J32" s="790"/>
      <c r="K32" s="816"/>
      <c r="L32" s="790"/>
      <c r="M32" s="791"/>
      <c r="N32" s="791"/>
      <c r="O32" s="791"/>
      <c r="P32" s="790"/>
      <c r="Q32" s="816"/>
      <c r="R32" s="790"/>
      <c r="S32" s="791"/>
      <c r="T32" s="791"/>
      <c r="U32" s="817"/>
      <c r="V32" s="2"/>
      <c r="W32" s="2"/>
      <c r="X32" s="2"/>
      <c r="Y32" s="2"/>
      <c r="Z32" s="2"/>
      <c r="AA32" s="2"/>
      <c r="AB32" s="2"/>
      <c r="AC32" s="2"/>
    </row>
    <row r="33" ht="15.75" hidden="1" customHeight="1">
      <c r="A33" s="2"/>
      <c r="B33" s="788"/>
      <c r="C33" s="788"/>
      <c r="D33" s="789"/>
      <c r="E33" s="816"/>
      <c r="F33" s="790"/>
      <c r="G33" s="791"/>
      <c r="H33" s="791"/>
      <c r="I33" s="791"/>
      <c r="J33" s="790"/>
      <c r="K33" s="816"/>
      <c r="L33" s="790"/>
      <c r="M33" s="791"/>
      <c r="N33" s="791"/>
      <c r="O33" s="791"/>
      <c r="P33" s="790"/>
      <c r="Q33" s="816"/>
      <c r="R33" s="790"/>
      <c r="S33" s="791"/>
      <c r="T33" s="791"/>
      <c r="U33" s="817"/>
      <c r="V33" s="2"/>
      <c r="W33" s="2"/>
      <c r="X33" s="2"/>
      <c r="Y33" s="2"/>
      <c r="Z33" s="2"/>
      <c r="AA33" s="2"/>
      <c r="AB33" s="2"/>
      <c r="AC33" s="2"/>
    </row>
    <row r="34" ht="15.75" hidden="1" customHeight="1">
      <c r="A34" s="2"/>
      <c r="B34" s="788"/>
      <c r="C34" s="788"/>
      <c r="D34" s="789"/>
      <c r="E34" s="816"/>
      <c r="F34" s="790"/>
      <c r="G34" s="791"/>
      <c r="H34" s="791"/>
      <c r="I34" s="791"/>
      <c r="J34" s="790"/>
      <c r="K34" s="816"/>
      <c r="L34" s="790"/>
      <c r="M34" s="791"/>
      <c r="N34" s="791"/>
      <c r="O34" s="791"/>
      <c r="P34" s="790"/>
      <c r="Q34" s="816"/>
      <c r="R34" s="790"/>
      <c r="S34" s="791"/>
      <c r="T34" s="791"/>
      <c r="U34" s="817"/>
      <c r="V34" s="2"/>
      <c r="W34" s="2"/>
      <c r="X34" s="2"/>
      <c r="Y34" s="2"/>
      <c r="Z34" s="2"/>
      <c r="AA34" s="2"/>
      <c r="AB34" s="2"/>
      <c r="AC34" s="2"/>
    </row>
    <row r="35" ht="15.75" hidden="1" customHeight="1">
      <c r="A35" s="2"/>
      <c r="B35" s="788"/>
      <c r="C35" s="788"/>
      <c r="D35" s="789"/>
      <c r="E35" s="816"/>
      <c r="F35" s="790"/>
      <c r="G35" s="791"/>
      <c r="H35" s="791"/>
      <c r="I35" s="791"/>
      <c r="J35" s="790"/>
      <c r="K35" s="816"/>
      <c r="L35" s="790"/>
      <c r="M35" s="791"/>
      <c r="N35" s="791"/>
      <c r="O35" s="791"/>
      <c r="P35" s="790"/>
      <c r="Q35" s="816"/>
      <c r="R35" s="790"/>
      <c r="S35" s="791"/>
      <c r="T35" s="791"/>
      <c r="U35" s="817"/>
      <c r="V35" s="2"/>
      <c r="W35" s="2"/>
      <c r="X35" s="2"/>
      <c r="Y35" s="2"/>
      <c r="Z35" s="2"/>
      <c r="AA35" s="2"/>
      <c r="AB35" s="2"/>
      <c r="AC35" s="2"/>
    </row>
    <row r="36" ht="15.75" hidden="1" customHeight="1">
      <c r="A36" s="2"/>
      <c r="B36" s="788"/>
      <c r="C36" s="788"/>
      <c r="D36" s="789"/>
      <c r="E36" s="816"/>
      <c r="F36" s="790"/>
      <c r="G36" s="791"/>
      <c r="H36" s="791"/>
      <c r="I36" s="791"/>
      <c r="J36" s="790"/>
      <c r="K36" s="816"/>
      <c r="L36" s="790"/>
      <c r="M36" s="791"/>
      <c r="N36" s="791"/>
      <c r="O36" s="791"/>
      <c r="P36" s="790"/>
      <c r="Q36" s="816"/>
      <c r="R36" s="790"/>
      <c r="S36" s="791"/>
      <c r="T36" s="791"/>
      <c r="U36" s="817"/>
      <c r="V36" s="2"/>
      <c r="W36" s="2"/>
      <c r="X36" s="2"/>
      <c r="Y36" s="2"/>
      <c r="Z36" s="2"/>
      <c r="AA36" s="2"/>
      <c r="AB36" s="2"/>
      <c r="AC36" s="2"/>
    </row>
    <row r="37" ht="15.75" hidden="1" customHeight="1">
      <c r="A37" s="2"/>
      <c r="B37" s="818"/>
      <c r="C37" s="818"/>
      <c r="D37" s="819"/>
      <c r="E37" s="820"/>
      <c r="F37" s="821"/>
      <c r="G37" s="822"/>
      <c r="H37" s="822"/>
      <c r="I37" s="822"/>
      <c r="J37" s="821"/>
      <c r="K37" s="820"/>
      <c r="L37" s="821"/>
      <c r="M37" s="822"/>
      <c r="N37" s="822"/>
      <c r="O37" s="822"/>
      <c r="P37" s="821"/>
      <c r="Q37" s="820"/>
      <c r="R37" s="821"/>
      <c r="S37" s="822"/>
      <c r="T37" s="822"/>
      <c r="U37" s="823"/>
      <c r="V37" s="824"/>
      <c r="W37" s="824"/>
      <c r="X37" s="824"/>
      <c r="Y37" s="824"/>
      <c r="Z37" s="824"/>
      <c r="AA37" s="824"/>
      <c r="AB37" s="824"/>
      <c r="AC37" s="824"/>
    </row>
    <row r="38" ht="15.75" hidden="1" customHeight="1">
      <c r="A38" s="2"/>
      <c r="B38" s="787"/>
      <c r="C38" s="787"/>
      <c r="D38" s="825"/>
      <c r="E38" s="788"/>
      <c r="F38" s="826"/>
      <c r="G38" s="788"/>
      <c r="H38" s="788"/>
      <c r="I38" s="788"/>
      <c r="J38" s="826"/>
      <c r="K38" s="788"/>
      <c r="L38" s="826"/>
      <c r="M38" s="788"/>
      <c r="N38" s="788"/>
      <c r="O38" s="788"/>
      <c r="P38" s="826"/>
      <c r="Q38" s="788"/>
      <c r="R38" s="826"/>
      <c r="S38" s="788"/>
      <c r="T38" s="788"/>
      <c r="U38" s="793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808" t="s">
        <v>186</v>
      </c>
      <c r="C39" s="788"/>
      <c r="D39" s="825"/>
      <c r="E39" s="788"/>
      <c r="F39" s="826"/>
      <c r="G39" s="788"/>
      <c r="H39" s="788"/>
      <c r="I39" s="788"/>
      <c r="J39" s="826"/>
      <c r="K39" s="788"/>
      <c r="L39" s="826"/>
      <c r="M39" s="788"/>
      <c r="N39" s="788"/>
      <c r="O39" s="788"/>
      <c r="P39" s="826"/>
      <c r="Q39" s="788"/>
      <c r="R39" s="826"/>
      <c r="S39" s="788"/>
      <c r="T39" s="788"/>
      <c r="U39" s="793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787" t="s">
        <v>28</v>
      </c>
      <c r="C40" s="788"/>
      <c r="D40" s="825"/>
      <c r="E40" s="788"/>
      <c r="F40" s="826"/>
      <c r="G40" s="788"/>
      <c r="H40" s="788"/>
      <c r="I40" s="788"/>
      <c r="J40" s="826"/>
      <c r="K40" s="788"/>
      <c r="L40" s="826"/>
      <c r="M40" s="788"/>
      <c r="N40" s="788"/>
      <c r="O40" s="788"/>
      <c r="P40" s="826"/>
      <c r="Q40" s="788"/>
      <c r="R40" s="826"/>
      <c r="S40" s="788"/>
      <c r="T40" s="788"/>
      <c r="U40" s="793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788"/>
      <c r="C41" s="827" t="s">
        <v>187</v>
      </c>
      <c r="D41" s="825"/>
      <c r="E41" s="788"/>
      <c r="F41" s="826"/>
      <c r="G41" s="788"/>
      <c r="H41" s="788"/>
      <c r="I41" s="788"/>
      <c r="J41" s="826"/>
      <c r="K41" s="788"/>
      <c r="L41" s="826"/>
      <c r="M41" s="788"/>
      <c r="N41" s="788"/>
      <c r="O41" s="788"/>
      <c r="P41" s="826"/>
      <c r="Q41" s="788"/>
      <c r="R41" s="826"/>
      <c r="S41" s="788"/>
      <c r="T41" s="788"/>
      <c r="U41" s="793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788"/>
      <c r="C42" s="812" t="s">
        <v>188</v>
      </c>
      <c r="D42" s="825"/>
      <c r="E42" s="788"/>
      <c r="F42" s="826"/>
      <c r="G42" s="788"/>
      <c r="H42" s="788"/>
      <c r="I42" s="788"/>
      <c r="J42" s="826"/>
      <c r="K42" s="788"/>
      <c r="L42" s="826"/>
      <c r="M42" s="788"/>
      <c r="N42" s="788"/>
      <c r="O42" s="788"/>
      <c r="P42" s="826"/>
      <c r="Q42" s="788"/>
      <c r="R42" s="826"/>
      <c r="S42" s="788"/>
      <c r="T42" s="788"/>
      <c r="U42" s="793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788"/>
      <c r="C43" s="812" t="s">
        <v>189</v>
      </c>
      <c r="D43" s="825"/>
      <c r="E43" s="788"/>
      <c r="F43" s="826"/>
      <c r="G43" s="788"/>
      <c r="H43" s="788"/>
      <c r="I43" s="788"/>
      <c r="J43" s="826"/>
      <c r="K43" s="788"/>
      <c r="L43" s="826"/>
      <c r="M43" s="788"/>
      <c r="N43" s="788"/>
      <c r="O43" s="788"/>
      <c r="P43" s="826"/>
      <c r="Q43" s="788"/>
      <c r="R43" s="826"/>
      <c r="S43" s="788"/>
      <c r="T43" s="788"/>
      <c r="U43" s="793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788"/>
      <c r="C44" s="812" t="s">
        <v>21</v>
      </c>
      <c r="D44" s="825"/>
      <c r="E44" s="788"/>
      <c r="F44" s="826"/>
      <c r="G44" s="788"/>
      <c r="H44" s="788"/>
      <c r="I44" s="788"/>
      <c r="J44" s="826"/>
      <c r="K44" s="788"/>
      <c r="L44" s="826"/>
      <c r="M44" s="788"/>
      <c r="N44" s="788"/>
      <c r="O44" s="788"/>
      <c r="P44" s="826"/>
      <c r="Q44" s="788"/>
      <c r="R44" s="826"/>
      <c r="S44" s="788"/>
      <c r="T44" s="788"/>
      <c r="U44" s="793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788"/>
      <c r="C45" s="812" t="s">
        <v>22</v>
      </c>
      <c r="D45" s="825"/>
      <c r="E45" s="788"/>
      <c r="F45" s="826"/>
      <c r="G45" s="788"/>
      <c r="H45" s="788"/>
      <c r="I45" s="788"/>
      <c r="J45" s="826"/>
      <c r="K45" s="788"/>
      <c r="L45" s="826"/>
      <c r="M45" s="788"/>
      <c r="N45" s="788"/>
      <c r="O45" s="788"/>
      <c r="P45" s="826"/>
      <c r="Q45" s="788"/>
      <c r="R45" s="826"/>
      <c r="S45" s="788"/>
      <c r="T45" s="788"/>
      <c r="U45" s="793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788"/>
      <c r="C46" s="788" t="s">
        <v>190</v>
      </c>
      <c r="D46" s="825"/>
      <c r="E46" s="788"/>
      <c r="F46" s="826"/>
      <c r="G46" s="788"/>
      <c r="H46" s="788"/>
      <c r="I46" s="788"/>
      <c r="J46" s="826"/>
      <c r="K46" s="788"/>
      <c r="L46" s="826"/>
      <c r="M46" s="788"/>
      <c r="N46" s="788"/>
      <c r="O46" s="788"/>
      <c r="P46" s="826"/>
      <c r="Q46" s="788"/>
      <c r="R46" s="826"/>
      <c r="S46" s="788"/>
      <c r="T46" s="788"/>
      <c r="U46" s="793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795"/>
      <c r="C47" s="795" t="s">
        <v>191</v>
      </c>
      <c r="D47" s="828">
        <f>SUM(D42:D46)</f>
        <v>0</v>
      </c>
      <c r="E47" s="795"/>
      <c r="F47" s="829">
        <f>SUM(F42:F46)</f>
        <v>0</v>
      </c>
      <c r="G47" s="795"/>
      <c r="H47" s="795">
        <f>SUM(H42:H46)</f>
        <v>0</v>
      </c>
      <c r="I47" s="795"/>
      <c r="J47" s="829">
        <f>SUM(J42:J46)</f>
        <v>0</v>
      </c>
      <c r="K47" s="795"/>
      <c r="L47" s="829">
        <f>SUM(L42:L46)</f>
        <v>0</v>
      </c>
      <c r="M47" s="795"/>
      <c r="N47" s="795">
        <f>SUM(N42:N46)</f>
        <v>0</v>
      </c>
      <c r="O47" s="795"/>
      <c r="P47" s="829">
        <f>SUM(P42:P46)</f>
        <v>0</v>
      </c>
      <c r="Q47" s="788"/>
      <c r="R47" s="826">
        <f>SUM(R42:R46)</f>
        <v>0</v>
      </c>
      <c r="S47" s="788"/>
      <c r="T47" s="788">
        <f>SUM(T42:T46)</f>
        <v>0</v>
      </c>
      <c r="U47" s="79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2"/>
      <c r="B48" s="800"/>
      <c r="C48" s="800" t="s">
        <v>192</v>
      </c>
      <c r="D48" s="830"/>
      <c r="E48" s="800"/>
      <c r="F48" s="830"/>
      <c r="G48" s="800"/>
      <c r="H48" s="800"/>
      <c r="I48" s="800"/>
      <c r="J48" s="830">
        <v>1030.0</v>
      </c>
      <c r="K48" s="800"/>
      <c r="L48" s="830"/>
      <c r="M48" s="800"/>
      <c r="N48" s="800"/>
      <c r="O48" s="800"/>
      <c r="P48" s="830"/>
      <c r="Q48" s="788"/>
      <c r="R48" s="826"/>
      <c r="S48" s="788"/>
      <c r="T48" s="788"/>
      <c r="U48" s="793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800"/>
      <c r="C49" s="800" t="s">
        <v>193</v>
      </c>
      <c r="D49" s="830">
        <f>D47+D48</f>
        <v>0</v>
      </c>
      <c r="E49" s="800"/>
      <c r="F49" s="830">
        <f>F47+F48</f>
        <v>0</v>
      </c>
      <c r="G49" s="800"/>
      <c r="H49" s="800">
        <f>H47+H48</f>
        <v>0</v>
      </c>
      <c r="I49" s="800"/>
      <c r="J49" s="830">
        <f>J47+J48</f>
        <v>1030</v>
      </c>
      <c r="K49" s="800"/>
      <c r="L49" s="830">
        <f>L47+L48</f>
        <v>0</v>
      </c>
      <c r="M49" s="800"/>
      <c r="N49" s="800">
        <f>N47+N48</f>
        <v>0</v>
      </c>
      <c r="O49" s="800"/>
      <c r="P49" s="830">
        <f>P47+P48</f>
        <v>0</v>
      </c>
      <c r="Q49" s="808"/>
      <c r="R49" s="831">
        <f>R47+R48</f>
        <v>0</v>
      </c>
      <c r="S49" s="808"/>
      <c r="T49" s="808">
        <f>T47+T48</f>
        <v>0</v>
      </c>
      <c r="U49" s="811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2"/>
      <c r="B50" s="832" t="s">
        <v>32</v>
      </c>
      <c r="C50" s="800" t="s">
        <v>32</v>
      </c>
      <c r="D50" s="833">
        <f>D29-D49</f>
        <v>0</v>
      </c>
      <c r="E50" s="834" t="str">
        <f>D50/D$29</f>
        <v>#DIV/0!</v>
      </c>
      <c r="F50" s="830" t="str">
        <f>F29-F49-#REF!</f>
        <v>#REF!</v>
      </c>
      <c r="G50" s="834" t="str">
        <f>F50/F$29</f>
        <v>#REF!</v>
      </c>
      <c r="H50" s="835" t="str">
        <f>H29-H49-#REF!</f>
        <v>#REF!</v>
      </c>
      <c r="I50" s="834" t="str">
        <f>H50/H$29</f>
        <v>#REF!</v>
      </c>
      <c r="J50" s="830">
        <f>J29-J49</f>
        <v>-1030</v>
      </c>
      <c r="K50" s="834" t="str">
        <f>J50/J$29</f>
        <v>#DIV/0!</v>
      </c>
      <c r="L50" s="830" t="str">
        <f>L29-L49-#REF!</f>
        <v>#REF!</v>
      </c>
      <c r="M50" s="834" t="str">
        <f>L50/L$29</f>
        <v>#REF!</v>
      </c>
      <c r="N50" s="835" t="str">
        <f>N29-N49-#REF!</f>
        <v>#REF!</v>
      </c>
      <c r="O50" s="834" t="str">
        <f>N50/N$29</f>
        <v>#REF!</v>
      </c>
      <c r="P50" s="830">
        <f>P29-P49</f>
        <v>0</v>
      </c>
      <c r="Q50" s="834" t="str">
        <f>P50/P$29</f>
        <v>#DIV/0!</v>
      </c>
      <c r="R50" s="830" t="str">
        <f>R29-R49-#REF!</f>
        <v>#REF!</v>
      </c>
      <c r="S50" s="834" t="str">
        <f>R50/R$29</f>
        <v>#REF!</v>
      </c>
      <c r="T50" s="835" t="str">
        <f>T29-T49-#REF!</f>
        <v>#REF!</v>
      </c>
      <c r="U50" s="836" t="str">
        <f>T50/T$29</f>
        <v>#REF!</v>
      </c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782"/>
      <c r="C51" s="782"/>
      <c r="D51" s="837"/>
      <c r="E51" s="782"/>
      <c r="F51" s="838"/>
      <c r="G51" s="782"/>
      <c r="H51" s="782"/>
      <c r="I51" s="782"/>
      <c r="J51" s="838"/>
      <c r="K51" s="782"/>
      <c r="L51" s="838"/>
      <c r="M51" s="782"/>
      <c r="N51" s="782"/>
      <c r="O51" s="782"/>
      <c r="P51" s="838"/>
      <c r="Q51" s="782"/>
      <c r="R51" s="838"/>
      <c r="S51" s="782"/>
      <c r="T51" s="782"/>
      <c r="U51" s="839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788"/>
      <c r="C52" s="840" t="s">
        <v>194</v>
      </c>
      <c r="D52" s="825"/>
      <c r="E52" s="788"/>
      <c r="F52" s="826"/>
      <c r="G52" s="788"/>
      <c r="H52" s="788"/>
      <c r="I52" s="788"/>
      <c r="J52" s="826"/>
      <c r="K52" s="788"/>
      <c r="L52" s="826"/>
      <c r="M52" s="788"/>
      <c r="N52" s="788"/>
      <c r="O52" s="788"/>
      <c r="P52" s="826"/>
      <c r="Q52" s="788"/>
      <c r="R52" s="826"/>
      <c r="S52" s="788"/>
      <c r="T52" s="788"/>
      <c r="U52" s="793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788"/>
      <c r="C53" s="788" t="s">
        <v>195</v>
      </c>
      <c r="D53" s="825">
        <v>11280.0</v>
      </c>
      <c r="E53" s="788"/>
      <c r="F53" s="826"/>
      <c r="G53" s="788"/>
      <c r="H53" s="788"/>
      <c r="I53" s="788"/>
      <c r="J53" s="826">
        <v>22094.0</v>
      </c>
      <c r="K53" s="788"/>
      <c r="L53" s="826"/>
      <c r="M53" s="788"/>
      <c r="N53" s="788"/>
      <c r="O53" s="788"/>
      <c r="P53" s="826"/>
      <c r="Q53" s="788"/>
      <c r="R53" s="826"/>
      <c r="S53" s="788"/>
      <c r="T53" s="788"/>
      <c r="U53" s="793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788"/>
      <c r="C54" s="788" t="s">
        <v>196</v>
      </c>
      <c r="D54" s="825">
        <v>0.0</v>
      </c>
      <c r="E54" s="788"/>
      <c r="F54" s="826"/>
      <c r="G54" s="788"/>
      <c r="H54" s="788"/>
      <c r="I54" s="788"/>
      <c r="J54" s="826">
        <v>0.0</v>
      </c>
      <c r="K54" s="788"/>
      <c r="L54" s="826"/>
      <c r="M54" s="788"/>
      <c r="N54" s="788"/>
      <c r="O54" s="788"/>
      <c r="P54" s="826"/>
      <c r="Q54" s="788"/>
      <c r="R54" s="826"/>
      <c r="S54" s="788"/>
      <c r="T54" s="788"/>
      <c r="U54" s="793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788"/>
      <c r="C55" s="788" t="s">
        <v>266</v>
      </c>
      <c r="D55" s="825">
        <v>0.0</v>
      </c>
      <c r="E55" s="788"/>
      <c r="F55" s="826"/>
      <c r="G55" s="788"/>
      <c r="H55" s="788"/>
      <c r="I55" s="788"/>
      <c r="J55" s="826">
        <v>0.0</v>
      </c>
      <c r="K55" s="788"/>
      <c r="L55" s="826"/>
      <c r="M55" s="788"/>
      <c r="N55" s="788"/>
      <c r="O55" s="788"/>
      <c r="P55" s="826"/>
      <c r="Q55" s="788"/>
      <c r="R55" s="826"/>
      <c r="S55" s="788"/>
      <c r="T55" s="788"/>
      <c r="U55" s="793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788"/>
      <c r="C56" s="788" t="s">
        <v>197</v>
      </c>
      <c r="D56" s="825">
        <v>0.0</v>
      </c>
      <c r="E56" s="788"/>
      <c r="F56" s="826"/>
      <c r="G56" s="788"/>
      <c r="H56" s="788"/>
      <c r="I56" s="788"/>
      <c r="J56" s="826">
        <v>2140.0</v>
      </c>
      <c r="K56" s="788"/>
      <c r="L56" s="826"/>
      <c r="M56" s="788"/>
      <c r="N56" s="788"/>
      <c r="O56" s="788"/>
      <c r="P56" s="826"/>
      <c r="Q56" s="788"/>
      <c r="R56" s="826"/>
      <c r="S56" s="788"/>
      <c r="T56" s="788"/>
      <c r="U56" s="793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788"/>
      <c r="C57" s="788" t="s">
        <v>198</v>
      </c>
      <c r="D57" s="825">
        <v>0.0</v>
      </c>
      <c r="E57" s="788"/>
      <c r="F57" s="826"/>
      <c r="G57" s="788"/>
      <c r="H57" s="788"/>
      <c r="I57" s="788"/>
      <c r="J57" s="826">
        <v>0.0</v>
      </c>
      <c r="K57" s="788"/>
      <c r="L57" s="826"/>
      <c r="M57" s="788"/>
      <c r="N57" s="788"/>
      <c r="O57" s="788"/>
      <c r="P57" s="826"/>
      <c r="Q57" s="788"/>
      <c r="R57" s="826"/>
      <c r="S57" s="788"/>
      <c r="T57" s="788"/>
      <c r="U57" s="793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795"/>
      <c r="C58" s="795" t="s">
        <v>199</v>
      </c>
      <c r="D58" s="828">
        <v>0.0</v>
      </c>
      <c r="E58" s="795"/>
      <c r="F58" s="829"/>
      <c r="G58" s="795"/>
      <c r="H58" s="795"/>
      <c r="I58" s="795"/>
      <c r="J58" s="829">
        <v>0.0</v>
      </c>
      <c r="K58" s="788"/>
      <c r="L58" s="826"/>
      <c r="M58" s="788"/>
      <c r="N58" s="788"/>
      <c r="O58" s="788"/>
      <c r="P58" s="829"/>
      <c r="Q58" s="788"/>
      <c r="R58" s="826"/>
      <c r="S58" s="788"/>
      <c r="T58" s="788"/>
      <c r="U58" s="793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830"/>
      <c r="C59" s="830" t="s">
        <v>200</v>
      </c>
      <c r="D59" s="830">
        <f>SUM(D53:D58)</f>
        <v>11280</v>
      </c>
      <c r="E59" s="830"/>
      <c r="F59" s="830">
        <f>SUM(F53:F58)</f>
        <v>0</v>
      </c>
      <c r="G59" s="830"/>
      <c r="H59" s="830">
        <f>SUM(H53:H58)</f>
        <v>0</v>
      </c>
      <c r="I59" s="830"/>
      <c r="J59" s="830">
        <f>SUM(J53:J58)</f>
        <v>24234</v>
      </c>
      <c r="K59" s="831"/>
      <c r="L59" s="831">
        <f>SUM(L53:L58)</f>
        <v>0</v>
      </c>
      <c r="M59" s="831"/>
      <c r="N59" s="831">
        <f>SUM(N53:N58)</f>
        <v>0</v>
      </c>
      <c r="O59" s="831"/>
      <c r="P59" s="830">
        <f>SUM(P53:P58)</f>
        <v>0</v>
      </c>
      <c r="Q59" s="831"/>
      <c r="R59" s="831">
        <f>SUM(R53:R58)</f>
        <v>0</v>
      </c>
      <c r="S59" s="831"/>
      <c r="T59" s="831">
        <f>SUM(T53:T58)</f>
        <v>0</v>
      </c>
      <c r="U59" s="841"/>
      <c r="V59" s="3"/>
      <c r="W59" s="3"/>
      <c r="X59" s="3"/>
      <c r="Y59" s="3"/>
      <c r="Z59" s="3"/>
      <c r="AA59" s="3"/>
      <c r="AB59" s="3"/>
      <c r="AC59" s="3"/>
    </row>
    <row r="60" ht="15.75" hidden="1" customHeight="1">
      <c r="A60" s="2"/>
      <c r="B60" s="782"/>
      <c r="C60" s="782"/>
      <c r="D60" s="837"/>
      <c r="E60" s="782"/>
      <c r="F60" s="838"/>
      <c r="G60" s="782"/>
      <c r="H60" s="782"/>
      <c r="I60" s="782"/>
      <c r="J60" s="838"/>
      <c r="K60" s="788"/>
      <c r="L60" s="826"/>
      <c r="M60" s="788"/>
      <c r="N60" s="788"/>
      <c r="O60" s="788"/>
      <c r="P60" s="838"/>
      <c r="Q60" s="788"/>
      <c r="R60" s="826"/>
      <c r="S60" s="788"/>
      <c r="T60" s="788"/>
      <c r="U60" s="793"/>
      <c r="V60" s="2"/>
      <c r="W60" s="2"/>
      <c r="X60" s="2"/>
      <c r="Y60" s="2"/>
      <c r="Z60" s="2"/>
      <c r="AA60" s="2"/>
      <c r="AB60" s="2"/>
      <c r="AC60" s="2"/>
    </row>
    <row r="61" ht="15.75" hidden="1" customHeight="1">
      <c r="A61" s="2"/>
      <c r="B61" s="788"/>
      <c r="C61" s="788"/>
      <c r="D61" s="789"/>
      <c r="E61" s="787"/>
      <c r="F61" s="790"/>
      <c r="G61" s="787"/>
      <c r="H61" s="787"/>
      <c r="I61" s="787"/>
      <c r="J61" s="790"/>
      <c r="K61" s="787"/>
      <c r="L61" s="790"/>
      <c r="M61" s="787"/>
      <c r="N61" s="787"/>
      <c r="O61" s="787"/>
      <c r="P61" s="790"/>
      <c r="Q61" s="787"/>
      <c r="R61" s="790"/>
      <c r="S61" s="787"/>
      <c r="T61" s="787"/>
      <c r="U61" s="792"/>
      <c r="V61" s="2"/>
      <c r="W61" s="2"/>
      <c r="X61" s="2"/>
      <c r="Y61" s="2"/>
      <c r="Z61" s="2"/>
      <c r="AA61" s="2"/>
      <c r="AB61" s="2"/>
      <c r="AC61" s="2"/>
    </row>
    <row r="62" ht="15.75" hidden="1" customHeight="1">
      <c r="A62" s="2"/>
      <c r="B62" s="788"/>
      <c r="C62" s="788"/>
      <c r="D62" s="789"/>
      <c r="E62" s="787"/>
      <c r="F62" s="790"/>
      <c r="G62" s="787"/>
      <c r="H62" s="787"/>
      <c r="I62" s="787"/>
      <c r="J62" s="790"/>
      <c r="K62" s="787"/>
      <c r="L62" s="790"/>
      <c r="M62" s="787"/>
      <c r="N62" s="787"/>
      <c r="O62" s="787"/>
      <c r="P62" s="790"/>
      <c r="Q62" s="787"/>
      <c r="R62" s="790"/>
      <c r="S62" s="787"/>
      <c r="T62" s="787"/>
      <c r="U62" s="792"/>
      <c r="V62" s="2"/>
      <c r="W62" s="2"/>
      <c r="X62" s="2"/>
      <c r="Y62" s="2"/>
      <c r="Z62" s="2"/>
      <c r="AA62" s="2"/>
      <c r="AB62" s="2"/>
      <c r="AC62" s="2"/>
    </row>
    <row r="63" ht="15.75" hidden="1" customHeight="1">
      <c r="A63" s="2"/>
      <c r="B63" s="788"/>
      <c r="C63" s="788"/>
      <c r="D63" s="789"/>
      <c r="E63" s="787"/>
      <c r="F63" s="790"/>
      <c r="G63" s="787"/>
      <c r="H63" s="787"/>
      <c r="I63" s="787"/>
      <c r="J63" s="790"/>
      <c r="K63" s="787"/>
      <c r="L63" s="790"/>
      <c r="M63" s="787"/>
      <c r="N63" s="787"/>
      <c r="O63" s="787"/>
      <c r="P63" s="790"/>
      <c r="Q63" s="787"/>
      <c r="R63" s="790"/>
      <c r="S63" s="787"/>
      <c r="T63" s="787"/>
      <c r="U63" s="792"/>
      <c r="V63" s="2"/>
      <c r="W63" s="2"/>
      <c r="X63" s="2"/>
      <c r="Y63" s="2"/>
      <c r="Z63" s="2"/>
      <c r="AA63" s="2"/>
      <c r="AB63" s="2"/>
      <c r="AC63" s="2"/>
    </row>
    <row r="64" ht="15.75" hidden="1" customHeight="1">
      <c r="A64" s="2"/>
      <c r="B64" s="788"/>
      <c r="C64" s="788"/>
      <c r="D64" s="789"/>
      <c r="E64" s="787"/>
      <c r="F64" s="790"/>
      <c r="G64" s="787"/>
      <c r="H64" s="787"/>
      <c r="I64" s="787"/>
      <c r="J64" s="790"/>
      <c r="K64" s="787"/>
      <c r="L64" s="790"/>
      <c r="M64" s="787"/>
      <c r="N64" s="787"/>
      <c r="O64" s="787"/>
      <c r="P64" s="790"/>
      <c r="Q64" s="787"/>
      <c r="R64" s="790"/>
      <c r="S64" s="787"/>
      <c r="T64" s="787"/>
      <c r="U64" s="792"/>
      <c r="V64" s="2"/>
      <c r="W64" s="2"/>
      <c r="X64" s="2"/>
      <c r="Y64" s="2"/>
      <c r="Z64" s="2"/>
      <c r="AA64" s="2"/>
      <c r="AB64" s="2"/>
      <c r="AC64" s="2"/>
    </row>
    <row r="65" ht="15.75" hidden="1" customHeight="1">
      <c r="A65" s="2"/>
      <c r="B65" s="788"/>
      <c r="C65" s="788"/>
      <c r="D65" s="789"/>
      <c r="E65" s="787"/>
      <c r="F65" s="790"/>
      <c r="G65" s="787"/>
      <c r="H65" s="787"/>
      <c r="I65" s="787"/>
      <c r="J65" s="790"/>
      <c r="K65" s="787"/>
      <c r="L65" s="790"/>
      <c r="M65" s="787"/>
      <c r="N65" s="787"/>
      <c r="O65" s="787"/>
      <c r="P65" s="790"/>
      <c r="Q65" s="787"/>
      <c r="R65" s="790"/>
      <c r="S65" s="787"/>
      <c r="T65" s="787"/>
      <c r="U65" s="792"/>
      <c r="V65" s="2"/>
      <c r="W65" s="2"/>
      <c r="X65" s="2"/>
      <c r="Y65" s="2"/>
      <c r="Z65" s="2"/>
      <c r="AA65" s="2"/>
      <c r="AB65" s="2"/>
      <c r="AC65" s="2"/>
    </row>
    <row r="66" ht="15.75" hidden="1" customHeight="1">
      <c r="A66" s="2"/>
      <c r="B66" s="788"/>
      <c r="C66" s="788"/>
      <c r="D66" s="789"/>
      <c r="E66" s="787"/>
      <c r="F66" s="790"/>
      <c r="G66" s="787"/>
      <c r="H66" s="787"/>
      <c r="I66" s="787"/>
      <c r="J66" s="790"/>
      <c r="K66" s="787"/>
      <c r="L66" s="790"/>
      <c r="M66" s="787"/>
      <c r="N66" s="787"/>
      <c r="O66" s="787"/>
      <c r="P66" s="790"/>
      <c r="Q66" s="787"/>
      <c r="R66" s="790"/>
      <c r="S66" s="787"/>
      <c r="T66" s="787"/>
      <c r="U66" s="792"/>
      <c r="V66" s="2"/>
      <c r="W66" s="2"/>
      <c r="X66" s="2"/>
      <c r="Y66" s="2"/>
      <c r="Z66" s="2"/>
      <c r="AA66" s="2"/>
      <c r="AB66" s="2"/>
      <c r="AC66" s="2"/>
    </row>
    <row r="67" ht="15.75" hidden="1" customHeight="1">
      <c r="A67" s="2"/>
      <c r="B67" s="788"/>
      <c r="C67" s="788"/>
      <c r="D67" s="789"/>
      <c r="E67" s="787"/>
      <c r="F67" s="790"/>
      <c r="G67" s="787"/>
      <c r="H67" s="787"/>
      <c r="I67" s="787"/>
      <c r="J67" s="790"/>
      <c r="K67" s="787"/>
      <c r="L67" s="790"/>
      <c r="M67" s="787"/>
      <c r="N67" s="787"/>
      <c r="O67" s="787"/>
      <c r="P67" s="790"/>
      <c r="Q67" s="787"/>
      <c r="R67" s="790"/>
      <c r="S67" s="787"/>
      <c r="T67" s="787"/>
      <c r="U67" s="792"/>
      <c r="V67" s="2"/>
      <c r="W67" s="2"/>
      <c r="X67" s="2"/>
      <c r="Y67" s="2"/>
      <c r="Z67" s="2"/>
      <c r="AA67" s="2"/>
      <c r="AB67" s="2"/>
      <c r="AC67" s="2"/>
    </row>
    <row r="68" ht="15.75" hidden="1" customHeight="1">
      <c r="A68" s="2"/>
      <c r="B68" s="842"/>
      <c r="C68" s="842"/>
      <c r="D68" s="843"/>
      <c r="E68" s="844"/>
      <c r="F68" s="845"/>
      <c r="G68" s="844"/>
      <c r="H68" s="846"/>
      <c r="I68" s="844"/>
      <c r="J68" s="845"/>
      <c r="K68" s="844"/>
      <c r="L68" s="845"/>
      <c r="M68" s="844"/>
      <c r="N68" s="846"/>
      <c r="O68" s="844"/>
      <c r="P68" s="845"/>
      <c r="Q68" s="844"/>
      <c r="R68" s="845"/>
      <c r="S68" s="844"/>
      <c r="T68" s="846"/>
      <c r="U68" s="847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795"/>
      <c r="C69" s="795"/>
      <c r="D69" s="825"/>
      <c r="E69" s="788"/>
      <c r="F69" s="826"/>
      <c r="G69" s="788"/>
      <c r="H69" s="788"/>
      <c r="I69" s="788"/>
      <c r="J69" s="826"/>
      <c r="K69" s="788"/>
      <c r="L69" s="826"/>
      <c r="M69" s="788"/>
      <c r="N69" s="788"/>
      <c r="O69" s="788"/>
      <c r="P69" s="826"/>
      <c r="Q69" s="788"/>
      <c r="R69" s="826"/>
      <c r="S69" s="788"/>
      <c r="T69" s="788"/>
      <c r="U69" s="793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848"/>
      <c r="C70" s="849" t="s">
        <v>205</v>
      </c>
      <c r="D70" s="850">
        <f t="shared" ref="D70:U70" si="1">SUM(D71:D75)</f>
        <v>0</v>
      </c>
      <c r="E70" s="848">
        <f t="shared" si="1"/>
        <v>0</v>
      </c>
      <c r="F70" s="851">
        <f t="shared" si="1"/>
        <v>0</v>
      </c>
      <c r="G70" s="848">
        <f t="shared" si="1"/>
        <v>0</v>
      </c>
      <c r="H70" s="848">
        <f t="shared" si="1"/>
        <v>0</v>
      </c>
      <c r="I70" s="848">
        <f t="shared" si="1"/>
        <v>0</v>
      </c>
      <c r="J70" s="830">
        <f t="shared" si="1"/>
        <v>80000</v>
      </c>
      <c r="K70" s="848">
        <f t="shared" si="1"/>
        <v>0</v>
      </c>
      <c r="L70" s="851">
        <f t="shared" si="1"/>
        <v>0</v>
      </c>
      <c r="M70" s="848">
        <f t="shared" si="1"/>
        <v>0</v>
      </c>
      <c r="N70" s="848">
        <f t="shared" si="1"/>
        <v>0</v>
      </c>
      <c r="O70" s="848">
        <f t="shared" si="1"/>
        <v>0</v>
      </c>
      <c r="P70" s="830">
        <f t="shared" si="1"/>
        <v>0</v>
      </c>
      <c r="Q70" s="848">
        <f t="shared" si="1"/>
        <v>0</v>
      </c>
      <c r="R70" s="851">
        <f t="shared" si="1"/>
        <v>0</v>
      </c>
      <c r="S70" s="848">
        <f t="shared" si="1"/>
        <v>0</v>
      </c>
      <c r="T70" s="848">
        <f t="shared" si="1"/>
        <v>0</v>
      </c>
      <c r="U70" s="852">
        <f t="shared" si="1"/>
        <v>0</v>
      </c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2"/>
      <c r="B71" s="782"/>
      <c r="C71" s="782" t="s">
        <v>268</v>
      </c>
      <c r="D71" s="837"/>
      <c r="E71" s="782"/>
      <c r="F71" s="838"/>
      <c r="G71" s="782"/>
      <c r="H71" s="782"/>
      <c r="I71" s="782"/>
      <c r="J71" s="838"/>
      <c r="K71" s="782"/>
      <c r="L71" s="838"/>
      <c r="M71" s="782"/>
      <c r="N71" s="782"/>
      <c r="O71" s="782"/>
      <c r="P71" s="838"/>
      <c r="Q71" s="782"/>
      <c r="R71" s="838"/>
      <c r="S71" s="782"/>
      <c r="T71" s="782"/>
      <c r="U71" s="839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788"/>
      <c r="C72" s="788" t="s">
        <v>212</v>
      </c>
      <c r="D72" s="825"/>
      <c r="E72" s="788"/>
      <c r="F72" s="826"/>
      <c r="G72" s="788"/>
      <c r="H72" s="788"/>
      <c r="I72" s="788"/>
      <c r="J72" s="826"/>
      <c r="K72" s="788"/>
      <c r="L72" s="826"/>
      <c r="M72" s="788"/>
      <c r="N72" s="788"/>
      <c r="O72" s="788"/>
      <c r="P72" s="826"/>
      <c r="Q72" s="788"/>
      <c r="R72" s="826"/>
      <c r="S72" s="788"/>
      <c r="T72" s="788"/>
      <c r="U72" s="793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788"/>
      <c r="C73" s="788" t="s">
        <v>213</v>
      </c>
      <c r="D73" s="825"/>
      <c r="E73" s="788"/>
      <c r="F73" s="826"/>
      <c r="G73" s="788"/>
      <c r="H73" s="788"/>
      <c r="I73" s="788"/>
      <c r="J73" s="826">
        <v>80000.0</v>
      </c>
      <c r="K73" s="788"/>
      <c r="L73" s="826"/>
      <c r="M73" s="788"/>
      <c r="N73" s="788"/>
      <c r="O73" s="788"/>
      <c r="P73" s="826"/>
      <c r="Q73" s="788"/>
      <c r="R73" s="826"/>
      <c r="S73" s="788"/>
      <c r="T73" s="788"/>
      <c r="U73" s="793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788"/>
      <c r="C74" s="853" t="s">
        <v>323</v>
      </c>
      <c r="D74" s="825"/>
      <c r="E74" s="788"/>
      <c r="F74" s="826"/>
      <c r="G74" s="788"/>
      <c r="H74" s="788"/>
      <c r="I74" s="788"/>
      <c r="J74" s="826"/>
      <c r="K74" s="788"/>
      <c r="L74" s="826"/>
      <c r="M74" s="788"/>
      <c r="N74" s="788"/>
      <c r="O74" s="788"/>
      <c r="P74" s="826"/>
      <c r="Q74" s="788"/>
      <c r="R74" s="826"/>
      <c r="S74" s="788"/>
      <c r="T74" s="788"/>
      <c r="U74" s="793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788"/>
      <c r="C75" s="788" t="s">
        <v>285</v>
      </c>
      <c r="D75" s="825"/>
      <c r="E75" s="788"/>
      <c r="F75" s="826"/>
      <c r="G75" s="788"/>
      <c r="H75" s="788"/>
      <c r="I75" s="788"/>
      <c r="J75" s="826"/>
      <c r="K75" s="788"/>
      <c r="L75" s="826"/>
      <c r="M75" s="788"/>
      <c r="N75" s="788"/>
      <c r="O75" s="788"/>
      <c r="P75" s="826"/>
      <c r="Q75" s="788"/>
      <c r="R75" s="826"/>
      <c r="S75" s="788"/>
      <c r="T75" s="788"/>
      <c r="U75" s="793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795"/>
      <c r="C76" s="854"/>
      <c r="D76" s="828"/>
      <c r="E76" s="795"/>
      <c r="F76" s="829"/>
      <c r="G76" s="795"/>
      <c r="H76" s="795"/>
      <c r="I76" s="795"/>
      <c r="J76" s="829"/>
      <c r="K76" s="795"/>
      <c r="L76" s="829"/>
      <c r="M76" s="795"/>
      <c r="N76" s="795"/>
      <c r="O76" s="795"/>
      <c r="P76" s="829"/>
      <c r="Q76" s="795"/>
      <c r="R76" s="829"/>
      <c r="S76" s="795"/>
      <c r="T76" s="795"/>
      <c r="U76" s="855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848"/>
      <c r="C77" s="849" t="s">
        <v>35</v>
      </c>
      <c r="D77" s="850">
        <f>SUM(D78:D81)</f>
        <v>0</v>
      </c>
      <c r="E77" s="848"/>
      <c r="F77" s="851">
        <f>SUM(F78:F81)</f>
        <v>0</v>
      </c>
      <c r="G77" s="848"/>
      <c r="H77" s="848">
        <f>SUM(H78:H81)</f>
        <v>0</v>
      </c>
      <c r="I77" s="848"/>
      <c r="J77" s="851">
        <f>SUM(J78:J81)</f>
        <v>0</v>
      </c>
      <c r="K77" s="848"/>
      <c r="L77" s="851">
        <f>SUM(L78:L81)</f>
        <v>0</v>
      </c>
      <c r="M77" s="848"/>
      <c r="N77" s="848">
        <f>SUM(N78:N81)</f>
        <v>0</v>
      </c>
      <c r="O77" s="848"/>
      <c r="P77" s="851">
        <f>SUM(P78:P81)</f>
        <v>0</v>
      </c>
      <c r="Q77" s="848"/>
      <c r="R77" s="851">
        <f>SUM(R78:R81)</f>
        <v>0</v>
      </c>
      <c r="S77" s="848"/>
      <c r="T77" s="848">
        <f>SUM(T78:T81)</f>
        <v>0</v>
      </c>
      <c r="U77" s="852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2"/>
      <c r="B78" s="782"/>
      <c r="C78" s="782" t="s">
        <v>215</v>
      </c>
      <c r="D78" s="837"/>
      <c r="E78" s="782"/>
      <c r="F78" s="838"/>
      <c r="G78" s="782"/>
      <c r="H78" s="782"/>
      <c r="I78" s="782"/>
      <c r="J78" s="838"/>
      <c r="K78" s="782"/>
      <c r="L78" s="838"/>
      <c r="M78" s="782"/>
      <c r="N78" s="782"/>
      <c r="O78" s="782"/>
      <c r="P78" s="838"/>
      <c r="Q78" s="782"/>
      <c r="R78" s="838"/>
      <c r="S78" s="782"/>
      <c r="T78" s="782"/>
      <c r="U78" s="839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788"/>
      <c r="C79" s="788" t="s">
        <v>216</v>
      </c>
      <c r="D79" s="825"/>
      <c r="E79" s="788"/>
      <c r="F79" s="826"/>
      <c r="G79" s="788"/>
      <c r="H79" s="788"/>
      <c r="I79" s="788"/>
      <c r="J79" s="826"/>
      <c r="K79" s="788"/>
      <c r="L79" s="826"/>
      <c r="M79" s="788"/>
      <c r="N79" s="788"/>
      <c r="O79" s="788"/>
      <c r="P79" s="826"/>
      <c r="Q79" s="788"/>
      <c r="R79" s="826"/>
      <c r="S79" s="788"/>
      <c r="T79" s="788"/>
      <c r="U79" s="793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788"/>
      <c r="C80" s="788" t="s">
        <v>217</v>
      </c>
      <c r="D80" s="825"/>
      <c r="E80" s="788"/>
      <c r="F80" s="826"/>
      <c r="G80" s="788"/>
      <c r="H80" s="788"/>
      <c r="I80" s="788"/>
      <c r="J80" s="826"/>
      <c r="K80" s="788"/>
      <c r="L80" s="826"/>
      <c r="M80" s="788"/>
      <c r="N80" s="788"/>
      <c r="O80" s="788"/>
      <c r="P80" s="826"/>
      <c r="Q80" s="788"/>
      <c r="R80" s="826"/>
      <c r="S80" s="788"/>
      <c r="T80" s="788"/>
      <c r="U80" s="793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788"/>
      <c r="C81" s="788" t="s">
        <v>218</v>
      </c>
      <c r="D81" s="825"/>
      <c r="E81" s="788"/>
      <c r="F81" s="826"/>
      <c r="G81" s="788"/>
      <c r="H81" s="788"/>
      <c r="I81" s="788"/>
      <c r="J81" s="826"/>
      <c r="K81" s="788"/>
      <c r="L81" s="826"/>
      <c r="M81" s="788"/>
      <c r="N81" s="788"/>
      <c r="O81" s="788"/>
      <c r="P81" s="826"/>
      <c r="Q81" s="788"/>
      <c r="R81" s="826"/>
      <c r="S81" s="788"/>
      <c r="T81" s="788"/>
      <c r="U81" s="793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788"/>
      <c r="C82" s="788"/>
      <c r="D82" s="825"/>
      <c r="E82" s="788"/>
      <c r="F82" s="826"/>
      <c r="G82" s="788"/>
      <c r="H82" s="788"/>
      <c r="I82" s="788"/>
      <c r="J82" s="826"/>
      <c r="K82" s="788"/>
      <c r="L82" s="826"/>
      <c r="M82" s="788"/>
      <c r="N82" s="788"/>
      <c r="O82" s="788"/>
      <c r="P82" s="826"/>
      <c r="Q82" s="788"/>
      <c r="R82" s="826"/>
      <c r="S82" s="788"/>
      <c r="T82" s="788"/>
      <c r="U82" s="793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795"/>
      <c r="C83" s="795"/>
      <c r="D83" s="828"/>
      <c r="E83" s="795"/>
      <c r="F83" s="829"/>
      <c r="G83" s="795"/>
      <c r="H83" s="795"/>
      <c r="I83" s="795"/>
      <c r="J83" s="829"/>
      <c r="K83" s="795"/>
      <c r="L83" s="829"/>
      <c r="M83" s="795"/>
      <c r="N83" s="795"/>
      <c r="O83" s="795"/>
      <c r="P83" s="829"/>
      <c r="Q83" s="795"/>
      <c r="R83" s="829"/>
      <c r="S83" s="795"/>
      <c r="T83" s="795"/>
      <c r="U83" s="855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848"/>
      <c r="C84" s="849" t="s">
        <v>219</v>
      </c>
      <c r="D84" s="833">
        <f>SUM(D85:D88)</f>
        <v>92581</v>
      </c>
      <c r="E84" s="800"/>
      <c r="F84" s="830">
        <f>SUM(F85:F88)</f>
        <v>90931</v>
      </c>
      <c r="G84" s="800"/>
      <c r="H84" s="830">
        <f>SUM(H85:H88)</f>
        <v>90931</v>
      </c>
      <c r="I84" s="800"/>
      <c r="J84" s="830">
        <f>SUM(J85:J88)</f>
        <v>278160</v>
      </c>
      <c r="K84" s="800"/>
      <c r="L84" s="830">
        <f>SUM(L85:L88)</f>
        <v>0</v>
      </c>
      <c r="M84" s="800"/>
      <c r="N84" s="800">
        <f>SUM(N85:N88)</f>
        <v>0</v>
      </c>
      <c r="O84" s="800"/>
      <c r="P84" s="830">
        <f>SUM(P85:P88)</f>
        <v>0</v>
      </c>
      <c r="Q84" s="800"/>
      <c r="R84" s="830">
        <f>SUM(R85:R88)</f>
        <v>0</v>
      </c>
      <c r="S84" s="800"/>
      <c r="T84" s="800">
        <f>SUM(T85:T88)</f>
        <v>0</v>
      </c>
      <c r="U84" s="856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2"/>
      <c r="B85" s="782"/>
      <c r="C85" s="782" t="s">
        <v>220</v>
      </c>
      <c r="D85" s="837">
        <v>90931.0</v>
      </c>
      <c r="E85" s="838">
        <v>90931.0</v>
      </c>
      <c r="F85" s="838">
        <v>90931.0</v>
      </c>
      <c r="G85" s="838">
        <v>90931.0</v>
      </c>
      <c r="H85" s="838">
        <v>90931.0</v>
      </c>
      <c r="I85" s="838">
        <v>90931.0</v>
      </c>
      <c r="J85" s="838">
        <v>90931.0</v>
      </c>
      <c r="K85" s="782"/>
      <c r="L85" s="838"/>
      <c r="M85" s="782"/>
      <c r="N85" s="782"/>
      <c r="O85" s="782"/>
      <c r="P85" s="838"/>
      <c r="Q85" s="782"/>
      <c r="R85" s="838"/>
      <c r="S85" s="782"/>
      <c r="T85" s="782"/>
      <c r="U85" s="839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788"/>
      <c r="C86" s="788" t="s">
        <v>221</v>
      </c>
      <c r="D86" s="825">
        <v>650.0</v>
      </c>
      <c r="E86" s="788"/>
      <c r="F86" s="826"/>
      <c r="G86" s="788"/>
      <c r="H86" s="788"/>
      <c r="I86" s="788"/>
      <c r="J86" s="826">
        <v>183530.0</v>
      </c>
      <c r="K86" s="788"/>
      <c r="L86" s="826"/>
      <c r="M86" s="788"/>
      <c r="N86" s="788"/>
      <c r="O86" s="788"/>
      <c r="P86" s="826"/>
      <c r="Q86" s="788"/>
      <c r="R86" s="826"/>
      <c r="S86" s="788"/>
      <c r="T86" s="788"/>
      <c r="U86" s="793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788"/>
      <c r="C87" s="788" t="s">
        <v>222</v>
      </c>
      <c r="D87" s="825">
        <v>1000.0</v>
      </c>
      <c r="E87" s="788"/>
      <c r="F87" s="826"/>
      <c r="G87" s="788"/>
      <c r="H87" s="788"/>
      <c r="I87" s="788"/>
      <c r="J87" s="826">
        <v>1800.0</v>
      </c>
      <c r="K87" s="788"/>
      <c r="L87" s="826"/>
      <c r="M87" s="788"/>
      <c r="N87" s="788"/>
      <c r="O87" s="788"/>
      <c r="P87" s="826"/>
      <c r="Q87" s="788"/>
      <c r="R87" s="826"/>
      <c r="S87" s="788"/>
      <c r="T87" s="788"/>
      <c r="U87" s="793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788"/>
      <c r="C88" s="788" t="s">
        <v>223</v>
      </c>
      <c r="D88" s="825">
        <v>0.0</v>
      </c>
      <c r="E88" s="788"/>
      <c r="F88" s="826"/>
      <c r="G88" s="788"/>
      <c r="H88" s="788"/>
      <c r="I88" s="788"/>
      <c r="J88" s="826">
        <v>1899.0</v>
      </c>
      <c r="K88" s="788"/>
      <c r="L88" s="826"/>
      <c r="M88" s="788"/>
      <c r="N88" s="788"/>
      <c r="O88" s="788"/>
      <c r="P88" s="826"/>
      <c r="Q88" s="788"/>
      <c r="R88" s="826"/>
      <c r="S88" s="788"/>
      <c r="T88" s="788"/>
      <c r="U88" s="793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795"/>
      <c r="C89" s="854"/>
      <c r="D89" s="828"/>
      <c r="E89" s="795"/>
      <c r="F89" s="829"/>
      <c r="G89" s="795"/>
      <c r="H89" s="795"/>
      <c r="I89" s="795"/>
      <c r="J89" s="829"/>
      <c r="K89" s="795"/>
      <c r="L89" s="829"/>
      <c r="M89" s="795"/>
      <c r="N89" s="795"/>
      <c r="O89" s="795"/>
      <c r="P89" s="829"/>
      <c r="Q89" s="795"/>
      <c r="R89" s="829"/>
      <c r="S89" s="795"/>
      <c r="T89" s="795"/>
      <c r="U89" s="855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848"/>
      <c r="C90" s="849" t="s">
        <v>37</v>
      </c>
      <c r="D90" s="833">
        <f>SUM(D91:D98)</f>
        <v>271146</v>
      </c>
      <c r="E90" s="800"/>
      <c r="F90" s="830">
        <f>SUM(F91:F98)</f>
        <v>0</v>
      </c>
      <c r="G90" s="800"/>
      <c r="H90" s="800">
        <f>SUM(H91:H98)</f>
        <v>0</v>
      </c>
      <c r="I90" s="800"/>
      <c r="J90" s="830">
        <f>SUM(J91:J98)</f>
        <v>189246</v>
      </c>
      <c r="K90" s="800"/>
      <c r="L90" s="830">
        <f>SUM(L91:L98)</f>
        <v>0</v>
      </c>
      <c r="M90" s="800"/>
      <c r="N90" s="800">
        <f>SUM(N91:N98)</f>
        <v>0</v>
      </c>
      <c r="O90" s="800"/>
      <c r="P90" s="830">
        <f>SUM(P91:P98)</f>
        <v>0</v>
      </c>
      <c r="Q90" s="800"/>
      <c r="R90" s="830">
        <f>SUM(R91:R98)</f>
        <v>0</v>
      </c>
      <c r="S90" s="800"/>
      <c r="T90" s="800">
        <f>SUM(T91:T98)</f>
        <v>0</v>
      </c>
      <c r="U90" s="856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2"/>
      <c r="B91" s="782"/>
      <c r="C91" s="782" t="s">
        <v>224</v>
      </c>
      <c r="D91" s="837">
        <v>0.0</v>
      </c>
      <c r="E91" s="782"/>
      <c r="F91" s="838"/>
      <c r="G91" s="782"/>
      <c r="H91" s="782"/>
      <c r="I91" s="782"/>
      <c r="J91" s="838">
        <v>0.0</v>
      </c>
      <c r="K91" s="782"/>
      <c r="L91" s="838"/>
      <c r="M91" s="782"/>
      <c r="N91" s="782"/>
      <c r="O91" s="782"/>
      <c r="P91" s="838"/>
      <c r="Q91" s="782"/>
      <c r="R91" s="838"/>
      <c r="S91" s="782"/>
      <c r="T91" s="782"/>
      <c r="U91" s="839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788"/>
      <c r="C92" s="788" t="s">
        <v>225</v>
      </c>
      <c r="D92" s="825">
        <v>270851.0</v>
      </c>
      <c r="E92" s="788"/>
      <c r="F92" s="826"/>
      <c r="G92" s="788"/>
      <c r="H92" s="788"/>
      <c r="I92" s="788"/>
      <c r="J92" s="498">
        <v>161321.0</v>
      </c>
      <c r="K92" s="788"/>
      <c r="L92" s="826"/>
      <c r="M92" s="788"/>
      <c r="N92" s="788"/>
      <c r="O92" s="788"/>
      <c r="P92" s="498"/>
      <c r="Q92" s="788"/>
      <c r="R92" s="826"/>
      <c r="S92" s="788"/>
      <c r="T92" s="788"/>
      <c r="U92" s="793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788"/>
      <c r="C93" s="788" t="s">
        <v>226</v>
      </c>
      <c r="D93" s="825">
        <v>0.0</v>
      </c>
      <c r="E93" s="788"/>
      <c r="F93" s="826"/>
      <c r="G93" s="788"/>
      <c r="H93" s="788"/>
      <c r="I93" s="788"/>
      <c r="J93" s="826">
        <v>0.0</v>
      </c>
      <c r="K93" s="788"/>
      <c r="L93" s="826"/>
      <c r="M93" s="788"/>
      <c r="N93" s="788"/>
      <c r="O93" s="788"/>
      <c r="P93" s="826"/>
      <c r="Q93" s="788"/>
      <c r="R93" s="826"/>
      <c r="S93" s="788"/>
      <c r="T93" s="788"/>
      <c r="U93" s="793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788"/>
      <c r="C94" s="788" t="s">
        <v>228</v>
      </c>
      <c r="D94" s="825">
        <v>0.0</v>
      </c>
      <c r="E94" s="788"/>
      <c r="F94" s="826"/>
      <c r="G94" s="788"/>
      <c r="H94" s="788"/>
      <c r="I94" s="788"/>
      <c r="J94" s="826">
        <v>0.0</v>
      </c>
      <c r="K94" s="788"/>
      <c r="L94" s="826"/>
      <c r="M94" s="788"/>
      <c r="N94" s="788"/>
      <c r="O94" s="788"/>
      <c r="P94" s="826"/>
      <c r="Q94" s="788"/>
      <c r="R94" s="826"/>
      <c r="S94" s="788"/>
      <c r="T94" s="788"/>
      <c r="U94" s="793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788"/>
      <c r="C95" s="788" t="s">
        <v>229</v>
      </c>
      <c r="D95" s="825">
        <v>0.0</v>
      </c>
      <c r="E95" s="788"/>
      <c r="F95" s="826"/>
      <c r="G95" s="788"/>
      <c r="H95" s="788"/>
      <c r="I95" s="788"/>
      <c r="J95" s="826">
        <v>0.0</v>
      </c>
      <c r="K95" s="788"/>
      <c r="L95" s="826"/>
      <c r="M95" s="788"/>
      <c r="N95" s="788"/>
      <c r="O95" s="788"/>
      <c r="P95" s="826"/>
      <c r="Q95" s="788"/>
      <c r="R95" s="826"/>
      <c r="S95" s="788"/>
      <c r="T95" s="788"/>
      <c r="U95" s="793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788"/>
      <c r="C96" s="788" t="s">
        <v>324</v>
      </c>
      <c r="D96" s="825">
        <v>0.0</v>
      </c>
      <c r="E96" s="788"/>
      <c r="F96" s="826"/>
      <c r="G96" s="788"/>
      <c r="H96" s="788"/>
      <c r="I96" s="788"/>
      <c r="J96" s="826">
        <v>0.0</v>
      </c>
      <c r="K96" s="788"/>
      <c r="L96" s="826"/>
      <c r="M96" s="788"/>
      <c r="N96" s="788"/>
      <c r="O96" s="788"/>
      <c r="P96" s="826"/>
      <c r="Q96" s="788"/>
      <c r="R96" s="826"/>
      <c r="S96" s="788"/>
      <c r="T96" s="788"/>
      <c r="U96" s="793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788"/>
      <c r="C97" s="788" t="s">
        <v>230</v>
      </c>
      <c r="D97" s="825">
        <v>295.0</v>
      </c>
      <c r="E97" s="788"/>
      <c r="F97" s="826"/>
      <c r="G97" s="788"/>
      <c r="H97" s="788"/>
      <c r="I97" s="788"/>
      <c r="J97" s="826">
        <v>27925.0</v>
      </c>
      <c r="K97" s="788"/>
      <c r="L97" s="826"/>
      <c r="M97" s="788"/>
      <c r="N97" s="788"/>
      <c r="O97" s="788"/>
      <c r="P97" s="826"/>
      <c r="Q97" s="788"/>
      <c r="R97" s="826"/>
      <c r="S97" s="788"/>
      <c r="T97" s="788"/>
      <c r="U97" s="793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788"/>
      <c r="C98" s="788" t="s">
        <v>231</v>
      </c>
      <c r="D98" s="825">
        <v>0.0</v>
      </c>
      <c r="E98" s="788"/>
      <c r="F98" s="826"/>
      <c r="G98" s="788"/>
      <c r="H98" s="788"/>
      <c r="I98" s="788"/>
      <c r="J98" s="826">
        <v>0.0</v>
      </c>
      <c r="K98" s="788"/>
      <c r="L98" s="826"/>
      <c r="M98" s="788"/>
      <c r="N98" s="788"/>
      <c r="O98" s="788"/>
      <c r="P98" s="826"/>
      <c r="Q98" s="788"/>
      <c r="R98" s="826"/>
      <c r="S98" s="788"/>
      <c r="T98" s="788"/>
      <c r="U98" s="793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795"/>
      <c r="C99" s="854"/>
      <c r="D99" s="828"/>
      <c r="E99" s="795"/>
      <c r="F99" s="829"/>
      <c r="G99" s="795"/>
      <c r="H99" s="795"/>
      <c r="I99" s="795"/>
      <c r="J99" s="829"/>
      <c r="K99" s="795"/>
      <c r="L99" s="829"/>
      <c r="M99" s="795"/>
      <c r="N99" s="795"/>
      <c r="O99" s="795"/>
      <c r="P99" s="829"/>
      <c r="Q99" s="795"/>
      <c r="R99" s="829"/>
      <c r="S99" s="795"/>
      <c r="T99" s="795"/>
      <c r="U99" s="855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848"/>
      <c r="C100" s="849" t="s">
        <v>38</v>
      </c>
      <c r="D100" s="850">
        <f>SUM(D101)</f>
        <v>0</v>
      </c>
      <c r="E100" s="848"/>
      <c r="F100" s="851">
        <f>SUM(F101)</f>
        <v>0</v>
      </c>
      <c r="G100" s="848"/>
      <c r="H100" s="848">
        <f>SUM(H101)</f>
        <v>0</v>
      </c>
      <c r="I100" s="848"/>
      <c r="J100" s="851">
        <f>SUM(J101)</f>
        <v>0</v>
      </c>
      <c r="K100" s="848"/>
      <c r="L100" s="851">
        <f>SUM(L101)</f>
        <v>0</v>
      </c>
      <c r="M100" s="848"/>
      <c r="N100" s="848">
        <f>SUM(N101)</f>
        <v>0</v>
      </c>
      <c r="O100" s="848"/>
      <c r="P100" s="851">
        <f>SUM(P101)</f>
        <v>0</v>
      </c>
      <c r="Q100" s="848"/>
      <c r="R100" s="851">
        <f>SUM(R101)</f>
        <v>0</v>
      </c>
      <c r="S100" s="848"/>
      <c r="T100" s="848">
        <f>SUM(T101)</f>
        <v>0</v>
      </c>
      <c r="U100" s="852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2"/>
      <c r="B101" s="782"/>
      <c r="C101" s="782" t="s">
        <v>276</v>
      </c>
      <c r="D101" s="837">
        <v>0.0</v>
      </c>
      <c r="E101" s="782"/>
      <c r="F101" s="838"/>
      <c r="G101" s="782"/>
      <c r="H101" s="782"/>
      <c r="I101" s="782"/>
      <c r="J101" s="838">
        <v>0.0</v>
      </c>
      <c r="K101" s="782"/>
      <c r="L101" s="838"/>
      <c r="M101" s="782"/>
      <c r="N101" s="782"/>
      <c r="O101" s="782"/>
      <c r="P101" s="838"/>
      <c r="Q101" s="782"/>
      <c r="R101" s="838"/>
      <c r="S101" s="782"/>
      <c r="T101" s="782"/>
      <c r="U101" s="839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795"/>
      <c r="C102" s="795"/>
      <c r="D102" s="828"/>
      <c r="E102" s="795"/>
      <c r="F102" s="829"/>
      <c r="G102" s="795"/>
      <c r="H102" s="795"/>
      <c r="I102" s="795"/>
      <c r="J102" s="829"/>
      <c r="K102" s="795"/>
      <c r="L102" s="829"/>
      <c r="M102" s="795"/>
      <c r="N102" s="795"/>
      <c r="O102" s="795"/>
      <c r="P102" s="829"/>
      <c r="Q102" s="795"/>
      <c r="R102" s="829"/>
      <c r="S102" s="795"/>
      <c r="T102" s="795"/>
      <c r="U102" s="855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848"/>
      <c r="C103" s="849" t="s">
        <v>238</v>
      </c>
      <c r="D103" s="833">
        <f>SUM(D104:D105)</f>
        <v>6806.25</v>
      </c>
      <c r="E103" s="800"/>
      <c r="F103" s="830">
        <f>SUM(F104:F105)</f>
        <v>6806.25</v>
      </c>
      <c r="G103" s="800"/>
      <c r="H103" s="800">
        <f>SUM(H104:H105)</f>
        <v>6806.25</v>
      </c>
      <c r="I103" s="800"/>
      <c r="J103" s="830">
        <f>SUM(J104:J105)</f>
        <v>6806.25</v>
      </c>
      <c r="K103" s="800"/>
      <c r="L103" s="830">
        <f>SUM(L104:L105)</f>
        <v>0</v>
      </c>
      <c r="M103" s="800"/>
      <c r="N103" s="800">
        <f>SUM(N104:N105)</f>
        <v>0</v>
      </c>
      <c r="O103" s="800"/>
      <c r="P103" s="830">
        <f>SUM(P104:P105)</f>
        <v>0</v>
      </c>
      <c r="Q103" s="800"/>
      <c r="R103" s="830">
        <f>SUM(R104:R105)</f>
        <v>0</v>
      </c>
      <c r="S103" s="800"/>
      <c r="T103" s="800">
        <f>SUM(T104:T105)</f>
        <v>0</v>
      </c>
      <c r="U103" s="856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2"/>
      <c r="B104" s="782"/>
      <c r="C104" s="782" t="s">
        <v>239</v>
      </c>
      <c r="D104" s="837"/>
      <c r="E104" s="782"/>
      <c r="F104" s="838"/>
      <c r="G104" s="782"/>
      <c r="H104" s="782"/>
      <c r="I104" s="782"/>
      <c r="J104" s="838"/>
      <c r="K104" s="782"/>
      <c r="L104" s="838"/>
      <c r="M104" s="782"/>
      <c r="N104" s="782"/>
      <c r="O104" s="782"/>
      <c r="P104" s="838"/>
      <c r="Q104" s="782"/>
      <c r="R104" s="838"/>
      <c r="S104" s="782"/>
      <c r="T104" s="782"/>
      <c r="U104" s="839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788"/>
      <c r="C105" s="788" t="s">
        <v>289</v>
      </c>
      <c r="D105" s="825">
        <v>6806.25</v>
      </c>
      <c r="E105" s="826">
        <v>6806.25</v>
      </c>
      <c r="F105" s="826">
        <v>6806.25</v>
      </c>
      <c r="G105" s="826">
        <v>6806.25</v>
      </c>
      <c r="H105" s="826">
        <v>6806.25</v>
      </c>
      <c r="I105" s="826">
        <v>6806.25</v>
      </c>
      <c r="J105" s="826">
        <v>6806.25</v>
      </c>
      <c r="K105" s="788"/>
      <c r="L105" s="826"/>
      <c r="M105" s="788"/>
      <c r="N105" s="788"/>
      <c r="O105" s="788"/>
      <c r="P105" s="826"/>
      <c r="Q105" s="788"/>
      <c r="R105" s="826"/>
      <c r="S105" s="788"/>
      <c r="T105" s="788"/>
      <c r="U105" s="793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795"/>
      <c r="C106" s="795"/>
      <c r="D106" s="828"/>
      <c r="E106" s="795"/>
      <c r="F106" s="829"/>
      <c r="G106" s="795"/>
      <c r="H106" s="795"/>
      <c r="I106" s="795"/>
      <c r="J106" s="829"/>
      <c r="K106" s="795"/>
      <c r="L106" s="829"/>
      <c r="M106" s="795"/>
      <c r="N106" s="795"/>
      <c r="O106" s="795"/>
      <c r="P106" s="829"/>
      <c r="Q106" s="795"/>
      <c r="R106" s="829"/>
      <c r="S106" s="795"/>
      <c r="T106" s="795"/>
      <c r="U106" s="855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848"/>
      <c r="C107" s="849" t="s">
        <v>40</v>
      </c>
      <c r="D107" s="833">
        <f>SUM(D108:D119)</f>
        <v>862863.0067</v>
      </c>
      <c r="E107" s="800"/>
      <c r="F107" s="830">
        <f>SUM(F108:F119)</f>
        <v>5934.916667</v>
      </c>
      <c r="G107" s="800"/>
      <c r="H107" s="800">
        <f>SUM(H108:H119)</f>
        <v>5934.916667</v>
      </c>
      <c r="I107" s="800"/>
      <c r="J107" s="830">
        <f>SUM(J108:J121)</f>
        <v>551879.5067</v>
      </c>
      <c r="K107" s="800"/>
      <c r="L107" s="830">
        <f>SUM(L108:L119)</f>
        <v>0</v>
      </c>
      <c r="M107" s="800"/>
      <c r="N107" s="800">
        <f>SUM(N108:N119)</f>
        <v>0</v>
      </c>
      <c r="O107" s="800"/>
      <c r="P107" s="830">
        <f>SUM(P108:P121)</f>
        <v>0</v>
      </c>
      <c r="Q107" s="800"/>
      <c r="R107" s="830">
        <f>SUM(R108:R119)</f>
        <v>0</v>
      </c>
      <c r="S107" s="800"/>
      <c r="T107" s="800">
        <f>SUM(T108:T119)</f>
        <v>0</v>
      </c>
      <c r="U107" s="856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2"/>
      <c r="B108" s="782"/>
      <c r="C108" s="782" t="s">
        <v>241</v>
      </c>
      <c r="D108" s="837">
        <v>0.0</v>
      </c>
      <c r="E108" s="782"/>
      <c r="F108" s="838"/>
      <c r="G108" s="782"/>
      <c r="H108" s="782"/>
      <c r="I108" s="782"/>
      <c r="J108" s="838">
        <v>0.0</v>
      </c>
      <c r="K108" s="782"/>
      <c r="L108" s="838"/>
      <c r="M108" s="782"/>
      <c r="N108" s="782"/>
      <c r="O108" s="782"/>
      <c r="P108" s="838">
        <v>0.0</v>
      </c>
      <c r="Q108" s="782"/>
      <c r="R108" s="838"/>
      <c r="S108" s="782"/>
      <c r="T108" s="782"/>
      <c r="U108" s="839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788"/>
      <c r="C109" s="788" t="s">
        <v>242</v>
      </c>
      <c r="D109" s="825">
        <v>0.0</v>
      </c>
      <c r="E109" s="788"/>
      <c r="F109" s="826"/>
      <c r="G109" s="788"/>
      <c r="H109" s="788"/>
      <c r="I109" s="788"/>
      <c r="J109" s="826">
        <v>0.0</v>
      </c>
      <c r="K109" s="788"/>
      <c r="L109" s="826"/>
      <c r="M109" s="788"/>
      <c r="N109" s="788"/>
      <c r="O109" s="788"/>
      <c r="P109" s="826"/>
      <c r="Q109" s="788"/>
      <c r="R109" s="826"/>
      <c r="S109" s="788"/>
      <c r="T109" s="788"/>
      <c r="U109" s="793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788"/>
      <c r="C110" s="788" t="s">
        <v>243</v>
      </c>
      <c r="D110" s="825">
        <v>5934.916666666667</v>
      </c>
      <c r="E110" s="826">
        <v>5934.916666666667</v>
      </c>
      <c r="F110" s="826">
        <v>5934.916666666667</v>
      </c>
      <c r="G110" s="826">
        <v>5934.916666666667</v>
      </c>
      <c r="H110" s="826">
        <v>5934.916666666667</v>
      </c>
      <c r="I110" s="826">
        <v>5934.916666666667</v>
      </c>
      <c r="J110" s="826">
        <v>5934.916666666667</v>
      </c>
      <c r="K110" s="788"/>
      <c r="L110" s="826"/>
      <c r="M110" s="788"/>
      <c r="N110" s="788"/>
      <c r="O110" s="788"/>
      <c r="P110" s="826"/>
      <c r="Q110" s="788"/>
      <c r="R110" s="826"/>
      <c r="S110" s="788"/>
      <c r="T110" s="788"/>
      <c r="U110" s="793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788"/>
      <c r="C111" s="788" t="s">
        <v>325</v>
      </c>
      <c r="D111" s="825">
        <v>0.0</v>
      </c>
      <c r="E111" s="788"/>
      <c r="F111" s="826"/>
      <c r="G111" s="788"/>
      <c r="H111" s="788"/>
      <c r="I111" s="788"/>
      <c r="J111" s="826">
        <v>0.0</v>
      </c>
      <c r="K111" s="788"/>
      <c r="L111" s="826"/>
      <c r="M111" s="788"/>
      <c r="N111" s="788"/>
      <c r="O111" s="788"/>
      <c r="P111" s="826"/>
      <c r="Q111" s="788"/>
      <c r="R111" s="826"/>
      <c r="S111" s="788"/>
      <c r="T111" s="788"/>
      <c r="U111" s="793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788"/>
      <c r="C112" s="788" t="s">
        <v>290</v>
      </c>
      <c r="D112" s="825">
        <v>0.0</v>
      </c>
      <c r="E112" s="788"/>
      <c r="F112" s="826"/>
      <c r="G112" s="788"/>
      <c r="H112" s="788"/>
      <c r="I112" s="788"/>
      <c r="J112" s="826">
        <v>0.0</v>
      </c>
      <c r="K112" s="788"/>
      <c r="L112" s="826"/>
      <c r="M112" s="788"/>
      <c r="N112" s="788"/>
      <c r="O112" s="788"/>
      <c r="P112" s="826"/>
      <c r="Q112" s="788"/>
      <c r="R112" s="826"/>
      <c r="S112" s="788"/>
      <c r="T112" s="788"/>
      <c r="U112" s="793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788"/>
      <c r="C113" s="788" t="s">
        <v>247</v>
      </c>
      <c r="D113" s="825">
        <v>820965.0900000001</v>
      </c>
      <c r="E113" s="788"/>
      <c r="F113" s="826"/>
      <c r="G113" s="788"/>
      <c r="H113" s="788"/>
      <c r="I113" s="788"/>
      <c r="J113" s="826">
        <v>465743.59</v>
      </c>
      <c r="K113" s="788"/>
      <c r="L113" s="826"/>
      <c r="M113" s="788"/>
      <c r="N113" s="788"/>
      <c r="O113" s="788"/>
      <c r="P113" s="826"/>
      <c r="Q113" s="788"/>
      <c r="R113" s="826"/>
      <c r="S113" s="788"/>
      <c r="T113" s="788"/>
      <c r="U113" s="793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788"/>
      <c r="C114" s="788" t="s">
        <v>246</v>
      </c>
      <c r="D114" s="825">
        <v>16721.0</v>
      </c>
      <c r="E114" s="788"/>
      <c r="F114" s="826"/>
      <c r="G114" s="788"/>
      <c r="H114" s="788"/>
      <c r="I114" s="788"/>
      <c r="J114" s="826">
        <v>16721.0</v>
      </c>
      <c r="K114" s="788"/>
      <c r="L114" s="826"/>
      <c r="M114" s="788"/>
      <c r="N114" s="788"/>
      <c r="O114" s="788"/>
      <c r="P114" s="826"/>
      <c r="Q114" s="788"/>
      <c r="R114" s="826"/>
      <c r="S114" s="788"/>
      <c r="T114" s="788"/>
      <c r="U114" s="793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788"/>
      <c r="C115" s="788" t="s">
        <v>249</v>
      </c>
      <c r="D115" s="825">
        <v>14682.0</v>
      </c>
      <c r="E115" s="788"/>
      <c r="F115" s="826"/>
      <c r="G115" s="788"/>
      <c r="H115" s="788"/>
      <c r="I115" s="788"/>
      <c r="J115" s="826">
        <v>0.0</v>
      </c>
      <c r="K115" s="788"/>
      <c r="L115" s="826"/>
      <c r="M115" s="788"/>
      <c r="N115" s="788"/>
      <c r="O115" s="788"/>
      <c r="P115" s="826"/>
      <c r="Q115" s="788"/>
      <c r="R115" s="826"/>
      <c r="S115" s="788"/>
      <c r="T115" s="788"/>
      <c r="U115" s="793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788"/>
      <c r="C116" s="788" t="s">
        <v>250</v>
      </c>
      <c r="D116" s="825">
        <v>4560.0</v>
      </c>
      <c r="E116" s="788"/>
      <c r="F116" s="826"/>
      <c r="G116" s="788"/>
      <c r="H116" s="788"/>
      <c r="I116" s="788"/>
      <c r="J116" s="826">
        <v>0.0</v>
      </c>
      <c r="K116" s="788"/>
      <c r="L116" s="826"/>
      <c r="M116" s="788"/>
      <c r="N116" s="788"/>
      <c r="O116" s="788"/>
      <c r="P116" s="826"/>
      <c r="Q116" s="788"/>
      <c r="R116" s="826"/>
      <c r="S116" s="788"/>
      <c r="T116" s="788"/>
      <c r="U116" s="793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788"/>
      <c r="C117" s="788" t="s">
        <v>251</v>
      </c>
      <c r="D117" s="825">
        <v>0.0</v>
      </c>
      <c r="E117" s="788"/>
      <c r="F117" s="826"/>
      <c r="G117" s="788"/>
      <c r="H117" s="788"/>
      <c r="I117" s="788"/>
      <c r="J117" s="826">
        <v>0.0</v>
      </c>
      <c r="K117" s="788"/>
      <c r="L117" s="826"/>
      <c r="M117" s="788"/>
      <c r="N117" s="788"/>
      <c r="O117" s="788"/>
      <c r="P117" s="826"/>
      <c r="Q117" s="788"/>
      <c r="R117" s="826"/>
      <c r="S117" s="788"/>
      <c r="T117" s="788"/>
      <c r="U117" s="793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788"/>
      <c r="C118" s="788" t="s">
        <v>252</v>
      </c>
      <c r="D118" s="825">
        <v>0.0</v>
      </c>
      <c r="E118" s="788"/>
      <c r="F118" s="826"/>
      <c r="G118" s="788"/>
      <c r="H118" s="788"/>
      <c r="I118" s="788"/>
      <c r="J118" s="826">
        <v>0.0</v>
      </c>
      <c r="K118" s="788"/>
      <c r="L118" s="826"/>
      <c r="M118" s="788"/>
      <c r="N118" s="788"/>
      <c r="O118" s="788"/>
      <c r="P118" s="826"/>
      <c r="Q118" s="788"/>
      <c r="R118" s="826"/>
      <c r="S118" s="788"/>
      <c r="T118" s="788"/>
      <c r="U118" s="793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788"/>
      <c r="C119" s="788" t="s">
        <v>326</v>
      </c>
      <c r="D119" s="825">
        <v>0.0</v>
      </c>
      <c r="E119" s="788"/>
      <c r="F119" s="826"/>
      <c r="G119" s="788"/>
      <c r="H119" s="788"/>
      <c r="I119" s="788"/>
      <c r="J119" s="826">
        <v>0.0</v>
      </c>
      <c r="K119" s="788"/>
      <c r="L119" s="826"/>
      <c r="M119" s="788"/>
      <c r="N119" s="788"/>
      <c r="O119" s="788"/>
      <c r="P119" s="826"/>
      <c r="Q119" s="788"/>
      <c r="R119" s="826"/>
      <c r="S119" s="788"/>
      <c r="T119" s="788"/>
      <c r="U119" s="793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788"/>
      <c r="C120" s="788" t="s">
        <v>327</v>
      </c>
      <c r="D120" s="825">
        <v>0.0</v>
      </c>
      <c r="E120" s="788"/>
      <c r="F120" s="826"/>
      <c r="G120" s="788"/>
      <c r="H120" s="788"/>
      <c r="I120" s="788"/>
      <c r="J120" s="826">
        <v>0.0</v>
      </c>
      <c r="K120" s="788"/>
      <c r="L120" s="826"/>
      <c r="M120" s="788"/>
      <c r="N120" s="788"/>
      <c r="O120" s="788"/>
      <c r="P120" s="826"/>
      <c r="Q120" s="788"/>
      <c r="R120" s="826"/>
      <c r="S120" s="788"/>
      <c r="T120" s="788"/>
      <c r="U120" s="793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788"/>
      <c r="C121" s="788" t="s">
        <v>291</v>
      </c>
      <c r="D121" s="825">
        <v>0.0</v>
      </c>
      <c r="E121" s="788"/>
      <c r="F121" s="826"/>
      <c r="G121" s="788"/>
      <c r="H121" s="788"/>
      <c r="I121" s="788"/>
      <c r="J121" s="826">
        <v>63480.0</v>
      </c>
      <c r="K121" s="788"/>
      <c r="L121" s="826"/>
      <c r="M121" s="788"/>
      <c r="N121" s="788"/>
      <c r="O121" s="788"/>
      <c r="P121" s="826"/>
      <c r="Q121" s="788"/>
      <c r="R121" s="826"/>
      <c r="S121" s="788"/>
      <c r="T121" s="788"/>
      <c r="U121" s="793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788"/>
      <c r="C122" s="788" t="s">
        <v>280</v>
      </c>
      <c r="D122" s="825">
        <v>0.0</v>
      </c>
      <c r="E122" s="788"/>
      <c r="F122" s="826"/>
      <c r="G122" s="788"/>
      <c r="H122" s="788"/>
      <c r="I122" s="788"/>
      <c r="J122" s="826">
        <v>0.0</v>
      </c>
      <c r="K122" s="788"/>
      <c r="L122" s="826"/>
      <c r="M122" s="788"/>
      <c r="N122" s="788"/>
      <c r="O122" s="788"/>
      <c r="P122" s="826"/>
      <c r="Q122" s="788"/>
      <c r="R122" s="826"/>
      <c r="S122" s="788"/>
      <c r="T122" s="788"/>
      <c r="U122" s="793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788"/>
      <c r="C123" s="788"/>
      <c r="D123" s="825"/>
      <c r="E123" s="788"/>
      <c r="F123" s="826"/>
      <c r="G123" s="788"/>
      <c r="H123" s="788"/>
      <c r="I123" s="788"/>
      <c r="J123" s="826"/>
      <c r="K123" s="788"/>
      <c r="L123" s="826"/>
      <c r="M123" s="788"/>
      <c r="N123" s="788"/>
      <c r="O123" s="788"/>
      <c r="P123" s="826"/>
      <c r="Q123" s="788"/>
      <c r="R123" s="826"/>
      <c r="S123" s="788"/>
      <c r="T123" s="788"/>
      <c r="U123" s="793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795"/>
      <c r="C124" s="857"/>
      <c r="D124" s="828"/>
      <c r="E124" s="795"/>
      <c r="F124" s="829"/>
      <c r="G124" s="795"/>
      <c r="H124" s="795"/>
      <c r="I124" s="795"/>
      <c r="J124" s="829"/>
      <c r="K124" s="795"/>
      <c r="L124" s="829"/>
      <c r="M124" s="795"/>
      <c r="N124" s="795"/>
      <c r="O124" s="795"/>
      <c r="P124" s="829"/>
      <c r="Q124" s="795"/>
      <c r="R124" s="829"/>
      <c r="S124" s="795"/>
      <c r="T124" s="795"/>
      <c r="U124" s="855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848"/>
      <c r="C125" s="849" t="s">
        <v>41</v>
      </c>
      <c r="D125" s="833">
        <f>SUM(D126)</f>
        <v>0</v>
      </c>
      <c r="E125" s="800"/>
      <c r="F125" s="830">
        <f>SUM(F126)</f>
        <v>0</v>
      </c>
      <c r="G125" s="800"/>
      <c r="H125" s="800">
        <f>SUM(H126)</f>
        <v>0</v>
      </c>
      <c r="I125" s="800"/>
      <c r="J125" s="830">
        <f>SUM(J126)</f>
        <v>0</v>
      </c>
      <c r="K125" s="800"/>
      <c r="L125" s="830">
        <f>SUM(L126)</f>
        <v>0</v>
      </c>
      <c r="M125" s="800"/>
      <c r="N125" s="800">
        <f>SUM(N126)</f>
        <v>0</v>
      </c>
      <c r="O125" s="800"/>
      <c r="P125" s="830">
        <f>SUM(P126)</f>
        <v>0</v>
      </c>
      <c r="Q125" s="800"/>
      <c r="R125" s="830">
        <f>SUM(R126)</f>
        <v>0</v>
      </c>
      <c r="S125" s="800"/>
      <c r="T125" s="800">
        <f>SUM(T126)</f>
        <v>0</v>
      </c>
      <c r="U125" s="856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2"/>
      <c r="B126" s="782"/>
      <c r="C126" s="782" t="s">
        <v>253</v>
      </c>
      <c r="D126" s="837"/>
      <c r="E126" s="782"/>
      <c r="F126" s="838"/>
      <c r="G126" s="782"/>
      <c r="H126" s="782"/>
      <c r="I126" s="782"/>
      <c r="J126" s="838"/>
      <c r="K126" s="782"/>
      <c r="L126" s="838"/>
      <c r="M126" s="782"/>
      <c r="N126" s="782"/>
      <c r="O126" s="782"/>
      <c r="P126" s="838"/>
      <c r="Q126" s="782"/>
      <c r="R126" s="838"/>
      <c r="S126" s="782"/>
      <c r="T126" s="782"/>
      <c r="U126" s="839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788"/>
      <c r="C127" s="788" t="s">
        <v>41</v>
      </c>
      <c r="D127" s="825">
        <v>0.0</v>
      </c>
      <c r="E127" s="788"/>
      <c r="F127" s="826"/>
      <c r="G127" s="788"/>
      <c r="H127" s="788"/>
      <c r="I127" s="788"/>
      <c r="J127" s="826">
        <v>0.0</v>
      </c>
      <c r="K127" s="788"/>
      <c r="L127" s="826"/>
      <c r="M127" s="788"/>
      <c r="N127" s="788"/>
      <c r="O127" s="788"/>
      <c r="P127" s="826">
        <v>0.0</v>
      </c>
      <c r="Q127" s="788"/>
      <c r="R127" s="826"/>
      <c r="S127" s="788"/>
      <c r="T127" s="788"/>
      <c r="U127" s="793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795"/>
      <c r="C128" s="795"/>
      <c r="D128" s="828"/>
      <c r="E128" s="795"/>
      <c r="F128" s="829"/>
      <c r="G128" s="795"/>
      <c r="H128" s="795"/>
      <c r="I128" s="795"/>
      <c r="J128" s="829"/>
      <c r="K128" s="795"/>
      <c r="L128" s="829"/>
      <c r="M128" s="795"/>
      <c r="N128" s="795"/>
      <c r="O128" s="795"/>
      <c r="P128" s="829"/>
      <c r="Q128" s="795"/>
      <c r="R128" s="829"/>
      <c r="S128" s="795"/>
      <c r="T128" s="795"/>
      <c r="U128" s="855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848"/>
      <c r="C129" s="849" t="s">
        <v>42</v>
      </c>
      <c r="D129" s="833">
        <f>SUM(D130:D131)</f>
        <v>0</v>
      </c>
      <c r="E129" s="800"/>
      <c r="F129" s="830">
        <f>SUM(F130:F131)</f>
        <v>0</v>
      </c>
      <c r="G129" s="800"/>
      <c r="H129" s="800">
        <f>SUM(H130:H131)</f>
        <v>0</v>
      </c>
      <c r="I129" s="800"/>
      <c r="J129" s="830">
        <f>SUM(J130:J131)</f>
        <v>0</v>
      </c>
      <c r="K129" s="800"/>
      <c r="L129" s="830">
        <f>SUM(L130:L131)</f>
        <v>0</v>
      </c>
      <c r="M129" s="800"/>
      <c r="N129" s="800">
        <f>SUM(N130:N131)</f>
        <v>0</v>
      </c>
      <c r="O129" s="800"/>
      <c r="P129" s="830">
        <f>SUM(P130:P131)</f>
        <v>0</v>
      </c>
      <c r="Q129" s="800"/>
      <c r="R129" s="830">
        <f>SUM(R130:R131)</f>
        <v>0</v>
      </c>
      <c r="S129" s="800"/>
      <c r="T129" s="800">
        <f>SUM(T130:T131)</f>
        <v>0</v>
      </c>
      <c r="U129" s="856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2"/>
      <c r="B130" s="782"/>
      <c r="C130" s="782" t="s">
        <v>283</v>
      </c>
      <c r="D130" s="837">
        <v>0.0</v>
      </c>
      <c r="E130" s="782"/>
      <c r="F130" s="838"/>
      <c r="G130" s="782"/>
      <c r="H130" s="782"/>
      <c r="I130" s="782"/>
      <c r="J130" s="838">
        <v>0.0</v>
      </c>
      <c r="K130" s="782"/>
      <c r="L130" s="838"/>
      <c r="M130" s="782"/>
      <c r="N130" s="782"/>
      <c r="O130" s="782"/>
      <c r="P130" s="838">
        <v>0.0</v>
      </c>
      <c r="Q130" s="782"/>
      <c r="R130" s="838"/>
      <c r="S130" s="782"/>
      <c r="T130" s="782"/>
      <c r="U130" s="839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788"/>
      <c r="C131" s="788" t="s">
        <v>256</v>
      </c>
      <c r="D131" s="825">
        <v>0.0</v>
      </c>
      <c r="E131" s="788"/>
      <c r="F131" s="826"/>
      <c r="G131" s="788"/>
      <c r="H131" s="788"/>
      <c r="I131" s="788"/>
      <c r="J131" s="826">
        <v>0.0</v>
      </c>
      <c r="K131" s="788"/>
      <c r="L131" s="826"/>
      <c r="M131" s="788"/>
      <c r="N131" s="788"/>
      <c r="O131" s="788"/>
      <c r="P131" s="826">
        <v>0.0</v>
      </c>
      <c r="Q131" s="788"/>
      <c r="R131" s="826"/>
      <c r="S131" s="788"/>
      <c r="T131" s="788"/>
      <c r="U131" s="793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788"/>
      <c r="C132" s="788"/>
      <c r="D132" s="825"/>
      <c r="E132" s="788"/>
      <c r="F132" s="826"/>
      <c r="G132" s="788"/>
      <c r="H132" s="788"/>
      <c r="I132" s="788"/>
      <c r="J132" s="826"/>
      <c r="K132" s="788"/>
      <c r="L132" s="826"/>
      <c r="M132" s="788"/>
      <c r="N132" s="788"/>
      <c r="O132" s="788"/>
      <c r="P132" s="826"/>
      <c r="Q132" s="788"/>
      <c r="R132" s="826"/>
      <c r="S132" s="788"/>
      <c r="T132" s="788"/>
      <c r="U132" s="793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795"/>
      <c r="C133" s="795"/>
      <c r="D133" s="828"/>
      <c r="E133" s="795"/>
      <c r="F133" s="829"/>
      <c r="G133" s="795"/>
      <c r="H133" s="795"/>
      <c r="I133" s="795"/>
      <c r="J133" s="829"/>
      <c r="K133" s="795"/>
      <c r="L133" s="829"/>
      <c r="M133" s="795"/>
      <c r="N133" s="795"/>
      <c r="O133" s="795"/>
      <c r="P133" s="829"/>
      <c r="Q133" s="795"/>
      <c r="R133" s="829"/>
      <c r="S133" s="795"/>
      <c r="T133" s="795"/>
      <c r="U133" s="855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800"/>
      <c r="C134" s="800" t="s">
        <v>257</v>
      </c>
      <c r="D134" s="833">
        <f>D59+D70+D77+D84+D90+D100+D129+D125+D107+D103</f>
        <v>1244676.257</v>
      </c>
      <c r="E134" s="800"/>
      <c r="F134" s="830">
        <f>+F129+F125+F107+F103+F100</f>
        <v>12741.16667</v>
      </c>
      <c r="G134" s="800"/>
      <c r="H134" s="830">
        <f>+H129+H125+H107+H103+H100</f>
        <v>12741.16667</v>
      </c>
      <c r="I134" s="800"/>
      <c r="J134" s="830">
        <f>J59+J70+J77+J84+J90+J100+J129+J125+J107+J103</f>
        <v>1130325.757</v>
      </c>
      <c r="K134" s="800"/>
      <c r="L134" s="830">
        <f>+L129+L125+L107+L103+L100</f>
        <v>0</v>
      </c>
      <c r="M134" s="800"/>
      <c r="N134" s="830">
        <f>+N129+N125+N107+N103+N100</f>
        <v>0</v>
      </c>
      <c r="O134" s="800"/>
      <c r="P134" s="830">
        <f>P59+P70+P77+P84+P90+P100+P129+P125+P107+P103</f>
        <v>0</v>
      </c>
      <c r="Q134" s="800"/>
      <c r="R134" s="830">
        <f>+R129+R125+R107+R103+R100</f>
        <v>0</v>
      </c>
      <c r="S134" s="800"/>
      <c r="T134" s="830">
        <f>+T129+T125+T107+T103+T100</f>
        <v>0</v>
      </c>
      <c r="U134" s="856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853"/>
      <c r="C135" s="853"/>
      <c r="D135" s="858"/>
      <c r="E135" s="853"/>
      <c r="F135" s="859"/>
      <c r="G135" s="853"/>
      <c r="H135" s="853"/>
      <c r="I135" s="853"/>
      <c r="J135" s="859"/>
      <c r="K135" s="853"/>
      <c r="L135" s="859"/>
      <c r="M135" s="853"/>
      <c r="N135" s="853"/>
      <c r="O135" s="853"/>
      <c r="P135" s="859"/>
      <c r="Q135" s="853"/>
      <c r="R135" s="859"/>
      <c r="S135" s="853"/>
      <c r="T135" s="853"/>
      <c r="U135" s="97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848"/>
      <c r="C136" s="800" t="s">
        <v>258</v>
      </c>
      <c r="D136" s="833">
        <f>D50-D134</f>
        <v>-1244676.257</v>
      </c>
      <c r="E136" s="848"/>
      <c r="F136" s="851">
        <f>+F29-F134</f>
        <v>-12741.16667</v>
      </c>
      <c r="G136" s="848"/>
      <c r="H136" s="851">
        <f>+H29-H134</f>
        <v>-12741.16667</v>
      </c>
      <c r="I136" s="848"/>
      <c r="J136" s="830">
        <f>J50-J134</f>
        <v>-1131355.757</v>
      </c>
      <c r="K136" s="848"/>
      <c r="L136" s="851">
        <f>+L29-L134</f>
        <v>0</v>
      </c>
      <c r="M136" s="848"/>
      <c r="N136" s="851">
        <f>+N29-N134</f>
        <v>0</v>
      </c>
      <c r="O136" s="848"/>
      <c r="P136" s="830">
        <f>P50-P134</f>
        <v>0</v>
      </c>
      <c r="Q136" s="848"/>
      <c r="R136" s="851">
        <f>+R29-R134</f>
        <v>0</v>
      </c>
      <c r="S136" s="848"/>
      <c r="T136" s="851">
        <f>+T29-T134</f>
        <v>0</v>
      </c>
      <c r="U136" s="85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770"/>
      <c r="E137" s="2"/>
      <c r="F137" s="770"/>
      <c r="G137" s="2"/>
      <c r="H137" s="2"/>
      <c r="I137" s="2"/>
      <c r="J137" s="770"/>
      <c r="K137" s="2"/>
      <c r="L137" s="770"/>
      <c r="M137" s="2"/>
      <c r="N137" s="2"/>
      <c r="O137" s="2"/>
      <c r="P137" s="770"/>
      <c r="Q137" s="2"/>
      <c r="R137" s="770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770"/>
      <c r="E138" s="2"/>
      <c r="F138" s="770"/>
      <c r="G138" s="2"/>
      <c r="H138" s="2"/>
      <c r="I138" s="2"/>
      <c r="J138" s="770"/>
      <c r="K138" s="2"/>
      <c r="L138" s="770"/>
      <c r="M138" s="2"/>
      <c r="N138" s="2"/>
      <c r="O138" s="2"/>
      <c r="P138" s="770"/>
      <c r="Q138" s="2"/>
      <c r="R138" s="770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770"/>
      <c r="E139" s="2"/>
      <c r="F139" s="770"/>
      <c r="G139" s="2"/>
      <c r="H139" s="2"/>
      <c r="I139" s="2"/>
      <c r="J139" s="770"/>
      <c r="K139" s="2"/>
      <c r="L139" s="770"/>
      <c r="M139" s="2"/>
      <c r="N139" s="2"/>
      <c r="O139" s="2"/>
      <c r="P139" s="770"/>
      <c r="Q139" s="2"/>
      <c r="R139" s="770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770"/>
      <c r="E140" s="2"/>
      <c r="F140" s="770"/>
      <c r="G140" s="2"/>
      <c r="H140" s="2"/>
      <c r="I140" s="2"/>
      <c r="J140" s="770"/>
      <c r="K140" s="2"/>
      <c r="L140" s="770"/>
      <c r="M140" s="2"/>
      <c r="N140" s="2"/>
      <c r="O140" s="2"/>
      <c r="P140" s="770"/>
      <c r="Q140" s="2"/>
      <c r="R140" s="770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770"/>
      <c r="E141" s="2"/>
      <c r="F141" s="770"/>
      <c r="G141" s="2"/>
      <c r="H141" s="2"/>
      <c r="I141" s="2"/>
      <c r="J141" s="770"/>
      <c r="K141" s="2"/>
      <c r="L141" s="770"/>
      <c r="M141" s="2"/>
      <c r="N141" s="2"/>
      <c r="O141" s="2"/>
      <c r="P141" s="770"/>
      <c r="Q141" s="2"/>
      <c r="R141" s="770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770"/>
      <c r="E142" s="2"/>
      <c r="F142" s="770"/>
      <c r="G142" s="2"/>
      <c r="H142" s="2"/>
      <c r="I142" s="2"/>
      <c r="J142" s="770"/>
      <c r="K142" s="2"/>
      <c r="L142" s="770"/>
      <c r="M142" s="2"/>
      <c r="N142" s="2"/>
      <c r="O142" s="2"/>
      <c r="P142" s="770"/>
      <c r="Q142" s="2"/>
      <c r="R142" s="770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770"/>
      <c r="E143" s="2"/>
      <c r="F143" s="770"/>
      <c r="G143" s="2"/>
      <c r="H143" s="2"/>
      <c r="I143" s="2"/>
      <c r="J143" s="770"/>
      <c r="K143" s="2"/>
      <c r="L143" s="770"/>
      <c r="M143" s="2"/>
      <c r="N143" s="2"/>
      <c r="O143" s="2"/>
      <c r="P143" s="770"/>
      <c r="Q143" s="2"/>
      <c r="R143" s="770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770"/>
      <c r="E144" s="2"/>
      <c r="F144" s="770"/>
      <c r="G144" s="2"/>
      <c r="H144" s="2"/>
      <c r="I144" s="2"/>
      <c r="J144" s="770"/>
      <c r="K144" s="2"/>
      <c r="L144" s="770"/>
      <c r="M144" s="2"/>
      <c r="N144" s="2"/>
      <c r="O144" s="2"/>
      <c r="P144" s="770"/>
      <c r="Q144" s="2"/>
      <c r="R144" s="770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770"/>
      <c r="E145" s="2"/>
      <c r="F145" s="770"/>
      <c r="G145" s="2"/>
      <c r="H145" s="2"/>
      <c r="I145" s="2"/>
      <c r="J145" s="770"/>
      <c r="K145" s="2"/>
      <c r="L145" s="770"/>
      <c r="M145" s="2"/>
      <c r="N145" s="2"/>
      <c r="O145" s="2"/>
      <c r="P145" s="770"/>
      <c r="Q145" s="2"/>
      <c r="R145" s="770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770"/>
      <c r="E146" s="2"/>
      <c r="F146" s="770"/>
      <c r="G146" s="2"/>
      <c r="H146" s="2"/>
      <c r="I146" s="2"/>
      <c r="J146" s="770"/>
      <c r="K146" s="2"/>
      <c r="L146" s="770"/>
      <c r="M146" s="2"/>
      <c r="N146" s="2"/>
      <c r="O146" s="2"/>
      <c r="P146" s="770"/>
      <c r="Q146" s="2"/>
      <c r="R146" s="770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770"/>
      <c r="E147" s="2"/>
      <c r="F147" s="770"/>
      <c r="G147" s="2"/>
      <c r="H147" s="2"/>
      <c r="I147" s="2"/>
      <c r="J147" s="770"/>
      <c r="K147" s="2"/>
      <c r="L147" s="770"/>
      <c r="M147" s="2"/>
      <c r="N147" s="2"/>
      <c r="O147" s="2"/>
      <c r="P147" s="770"/>
      <c r="Q147" s="2"/>
      <c r="R147" s="770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770"/>
      <c r="E148" s="2"/>
      <c r="F148" s="770"/>
      <c r="G148" s="2"/>
      <c r="H148" s="2"/>
      <c r="I148" s="2"/>
      <c r="J148" s="770"/>
      <c r="K148" s="2"/>
      <c r="L148" s="770"/>
      <c r="M148" s="2"/>
      <c r="N148" s="2"/>
      <c r="O148" s="2"/>
      <c r="P148" s="770"/>
      <c r="Q148" s="2"/>
      <c r="R148" s="770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770"/>
      <c r="E149" s="2"/>
      <c r="F149" s="770"/>
      <c r="G149" s="2"/>
      <c r="H149" s="2"/>
      <c r="I149" s="2"/>
      <c r="J149" s="770"/>
      <c r="K149" s="2"/>
      <c r="L149" s="770"/>
      <c r="M149" s="2"/>
      <c r="N149" s="2"/>
      <c r="O149" s="2"/>
      <c r="P149" s="770"/>
      <c r="Q149" s="2"/>
      <c r="R149" s="770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770"/>
      <c r="E150" s="2"/>
      <c r="F150" s="770"/>
      <c r="G150" s="2"/>
      <c r="H150" s="2"/>
      <c r="I150" s="2"/>
      <c r="J150" s="770"/>
      <c r="K150" s="2"/>
      <c r="L150" s="770"/>
      <c r="M150" s="2"/>
      <c r="N150" s="2"/>
      <c r="O150" s="2"/>
      <c r="P150" s="770"/>
      <c r="Q150" s="2"/>
      <c r="R150" s="770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770"/>
      <c r="E151" s="2"/>
      <c r="F151" s="770"/>
      <c r="G151" s="2"/>
      <c r="H151" s="2"/>
      <c r="I151" s="2"/>
      <c r="J151" s="770"/>
      <c r="K151" s="2"/>
      <c r="L151" s="770"/>
      <c r="M151" s="2"/>
      <c r="N151" s="2"/>
      <c r="O151" s="2"/>
      <c r="P151" s="770"/>
      <c r="Q151" s="2"/>
      <c r="R151" s="770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770"/>
      <c r="E152" s="2"/>
      <c r="F152" s="770"/>
      <c r="G152" s="2"/>
      <c r="H152" s="2"/>
      <c r="I152" s="2"/>
      <c r="J152" s="770"/>
      <c r="K152" s="2"/>
      <c r="L152" s="770"/>
      <c r="M152" s="2"/>
      <c r="N152" s="2"/>
      <c r="O152" s="2"/>
      <c r="P152" s="770"/>
      <c r="Q152" s="2"/>
      <c r="R152" s="770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770"/>
      <c r="E153" s="2"/>
      <c r="F153" s="770"/>
      <c r="G153" s="2"/>
      <c r="H153" s="2"/>
      <c r="I153" s="2"/>
      <c r="J153" s="770"/>
      <c r="K153" s="2"/>
      <c r="L153" s="770"/>
      <c r="M153" s="2"/>
      <c r="N153" s="2"/>
      <c r="O153" s="2"/>
      <c r="P153" s="770"/>
      <c r="Q153" s="2"/>
      <c r="R153" s="770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770"/>
      <c r="E154" s="2"/>
      <c r="F154" s="770"/>
      <c r="G154" s="2"/>
      <c r="H154" s="2"/>
      <c r="I154" s="2"/>
      <c r="J154" s="770"/>
      <c r="K154" s="2"/>
      <c r="L154" s="770"/>
      <c r="M154" s="2"/>
      <c r="N154" s="2"/>
      <c r="O154" s="2"/>
      <c r="P154" s="770"/>
      <c r="Q154" s="2"/>
      <c r="R154" s="770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770"/>
      <c r="E155" s="2"/>
      <c r="F155" s="770"/>
      <c r="G155" s="2"/>
      <c r="H155" s="2"/>
      <c r="I155" s="2"/>
      <c r="J155" s="770"/>
      <c r="K155" s="2"/>
      <c r="L155" s="770"/>
      <c r="M155" s="2"/>
      <c r="N155" s="2"/>
      <c r="O155" s="2"/>
      <c r="P155" s="770"/>
      <c r="Q155" s="2"/>
      <c r="R155" s="770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770"/>
      <c r="E156" s="2"/>
      <c r="F156" s="770"/>
      <c r="G156" s="2"/>
      <c r="H156" s="2"/>
      <c r="I156" s="2"/>
      <c r="J156" s="770"/>
      <c r="K156" s="2"/>
      <c r="L156" s="770"/>
      <c r="M156" s="2"/>
      <c r="N156" s="2"/>
      <c r="O156" s="2"/>
      <c r="P156" s="770"/>
      <c r="Q156" s="2"/>
      <c r="R156" s="770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770"/>
      <c r="E157" s="2"/>
      <c r="F157" s="770"/>
      <c r="G157" s="2"/>
      <c r="H157" s="2"/>
      <c r="I157" s="2"/>
      <c r="J157" s="770"/>
      <c r="K157" s="2"/>
      <c r="L157" s="770"/>
      <c r="M157" s="2"/>
      <c r="N157" s="2"/>
      <c r="O157" s="2"/>
      <c r="P157" s="770"/>
      <c r="Q157" s="2"/>
      <c r="R157" s="770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770"/>
      <c r="E158" s="2"/>
      <c r="F158" s="770"/>
      <c r="G158" s="2"/>
      <c r="H158" s="2"/>
      <c r="I158" s="2"/>
      <c r="J158" s="770"/>
      <c r="K158" s="2"/>
      <c r="L158" s="770"/>
      <c r="M158" s="2"/>
      <c r="N158" s="2"/>
      <c r="O158" s="2"/>
      <c r="P158" s="770"/>
      <c r="Q158" s="2"/>
      <c r="R158" s="770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770"/>
      <c r="E159" s="2"/>
      <c r="F159" s="770"/>
      <c r="G159" s="2"/>
      <c r="H159" s="2"/>
      <c r="I159" s="2"/>
      <c r="J159" s="770"/>
      <c r="K159" s="2"/>
      <c r="L159" s="770"/>
      <c r="M159" s="2"/>
      <c r="N159" s="2"/>
      <c r="O159" s="2"/>
      <c r="P159" s="770"/>
      <c r="Q159" s="2"/>
      <c r="R159" s="770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770"/>
      <c r="E160" s="2"/>
      <c r="F160" s="770"/>
      <c r="G160" s="2"/>
      <c r="H160" s="2"/>
      <c r="I160" s="2"/>
      <c r="J160" s="770"/>
      <c r="K160" s="2"/>
      <c r="L160" s="770"/>
      <c r="M160" s="2"/>
      <c r="N160" s="2"/>
      <c r="O160" s="2"/>
      <c r="P160" s="770"/>
      <c r="Q160" s="2"/>
      <c r="R160" s="770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770"/>
      <c r="E161" s="2"/>
      <c r="F161" s="770"/>
      <c r="G161" s="2"/>
      <c r="H161" s="2"/>
      <c r="I161" s="2"/>
      <c r="J161" s="770"/>
      <c r="K161" s="2"/>
      <c r="L161" s="770"/>
      <c r="M161" s="2"/>
      <c r="N161" s="2"/>
      <c r="O161" s="2"/>
      <c r="P161" s="770"/>
      <c r="Q161" s="2"/>
      <c r="R161" s="770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770"/>
      <c r="E162" s="2"/>
      <c r="F162" s="770"/>
      <c r="G162" s="2"/>
      <c r="H162" s="2"/>
      <c r="I162" s="2"/>
      <c r="J162" s="770"/>
      <c r="K162" s="2"/>
      <c r="L162" s="770"/>
      <c r="M162" s="2"/>
      <c r="N162" s="2"/>
      <c r="O162" s="2"/>
      <c r="P162" s="770"/>
      <c r="Q162" s="2"/>
      <c r="R162" s="770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770"/>
      <c r="E163" s="2"/>
      <c r="F163" s="770"/>
      <c r="G163" s="2"/>
      <c r="H163" s="2"/>
      <c r="I163" s="2"/>
      <c r="J163" s="770"/>
      <c r="K163" s="2"/>
      <c r="L163" s="770"/>
      <c r="M163" s="2"/>
      <c r="N163" s="2"/>
      <c r="O163" s="2"/>
      <c r="P163" s="770"/>
      <c r="Q163" s="2"/>
      <c r="R163" s="770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770"/>
      <c r="E164" s="2"/>
      <c r="F164" s="770"/>
      <c r="G164" s="2"/>
      <c r="H164" s="2"/>
      <c r="I164" s="2"/>
      <c r="J164" s="770"/>
      <c r="K164" s="2"/>
      <c r="L164" s="770"/>
      <c r="M164" s="2"/>
      <c r="N164" s="2"/>
      <c r="O164" s="2"/>
      <c r="P164" s="770"/>
      <c r="Q164" s="2"/>
      <c r="R164" s="770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770"/>
      <c r="E165" s="2"/>
      <c r="F165" s="770"/>
      <c r="G165" s="2"/>
      <c r="H165" s="2"/>
      <c r="I165" s="2"/>
      <c r="J165" s="770"/>
      <c r="K165" s="2"/>
      <c r="L165" s="770"/>
      <c r="M165" s="2"/>
      <c r="N165" s="2"/>
      <c r="O165" s="2"/>
      <c r="P165" s="770"/>
      <c r="Q165" s="2"/>
      <c r="R165" s="770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770"/>
      <c r="E166" s="2"/>
      <c r="F166" s="770"/>
      <c r="G166" s="2"/>
      <c r="H166" s="2"/>
      <c r="I166" s="2"/>
      <c r="J166" s="770"/>
      <c r="K166" s="2"/>
      <c r="L166" s="770"/>
      <c r="M166" s="2"/>
      <c r="N166" s="2"/>
      <c r="O166" s="2"/>
      <c r="P166" s="770"/>
      <c r="Q166" s="2"/>
      <c r="R166" s="770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770"/>
      <c r="E167" s="2"/>
      <c r="F167" s="770"/>
      <c r="G167" s="2"/>
      <c r="H167" s="2"/>
      <c r="I167" s="2"/>
      <c r="J167" s="770"/>
      <c r="K167" s="2"/>
      <c r="L167" s="770"/>
      <c r="M167" s="2"/>
      <c r="N167" s="2"/>
      <c r="O167" s="2"/>
      <c r="P167" s="770"/>
      <c r="Q167" s="2"/>
      <c r="R167" s="770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770"/>
      <c r="E168" s="2"/>
      <c r="F168" s="770"/>
      <c r="G168" s="2"/>
      <c r="H168" s="2"/>
      <c r="I168" s="2"/>
      <c r="J168" s="770"/>
      <c r="K168" s="2"/>
      <c r="L168" s="770"/>
      <c r="M168" s="2"/>
      <c r="N168" s="2"/>
      <c r="O168" s="2"/>
      <c r="P168" s="770"/>
      <c r="Q168" s="2"/>
      <c r="R168" s="770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770"/>
      <c r="E169" s="2"/>
      <c r="F169" s="770"/>
      <c r="G169" s="2"/>
      <c r="H169" s="2"/>
      <c r="I169" s="2"/>
      <c r="J169" s="770"/>
      <c r="K169" s="2"/>
      <c r="L169" s="770"/>
      <c r="M169" s="2"/>
      <c r="N169" s="2"/>
      <c r="O169" s="2"/>
      <c r="P169" s="770"/>
      <c r="Q169" s="2"/>
      <c r="R169" s="770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770"/>
      <c r="E170" s="2"/>
      <c r="F170" s="770"/>
      <c r="G170" s="2"/>
      <c r="H170" s="2"/>
      <c r="I170" s="2"/>
      <c r="J170" s="770"/>
      <c r="K170" s="2"/>
      <c r="L170" s="770"/>
      <c r="M170" s="2"/>
      <c r="N170" s="2"/>
      <c r="O170" s="2"/>
      <c r="P170" s="770"/>
      <c r="Q170" s="2"/>
      <c r="R170" s="770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770"/>
      <c r="E171" s="2"/>
      <c r="F171" s="770"/>
      <c r="G171" s="2"/>
      <c r="H171" s="2"/>
      <c r="I171" s="2"/>
      <c r="J171" s="770"/>
      <c r="K171" s="2"/>
      <c r="L171" s="770"/>
      <c r="M171" s="2"/>
      <c r="N171" s="2"/>
      <c r="O171" s="2"/>
      <c r="P171" s="770"/>
      <c r="Q171" s="2"/>
      <c r="R171" s="770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770"/>
      <c r="E172" s="2"/>
      <c r="F172" s="770"/>
      <c r="G172" s="2"/>
      <c r="H172" s="2"/>
      <c r="I172" s="2"/>
      <c r="J172" s="770"/>
      <c r="K172" s="2"/>
      <c r="L172" s="770"/>
      <c r="M172" s="2"/>
      <c r="N172" s="2"/>
      <c r="O172" s="2"/>
      <c r="P172" s="770"/>
      <c r="Q172" s="2"/>
      <c r="R172" s="770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770"/>
      <c r="E173" s="2"/>
      <c r="F173" s="770"/>
      <c r="G173" s="2"/>
      <c r="H173" s="2"/>
      <c r="I173" s="2"/>
      <c r="J173" s="770"/>
      <c r="K173" s="2"/>
      <c r="L173" s="770"/>
      <c r="M173" s="2"/>
      <c r="N173" s="2"/>
      <c r="O173" s="2"/>
      <c r="P173" s="770"/>
      <c r="Q173" s="2"/>
      <c r="R173" s="770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770"/>
      <c r="E174" s="2"/>
      <c r="F174" s="770"/>
      <c r="G174" s="2"/>
      <c r="H174" s="2"/>
      <c r="I174" s="2"/>
      <c r="J174" s="770"/>
      <c r="K174" s="2"/>
      <c r="L174" s="770"/>
      <c r="M174" s="2"/>
      <c r="N174" s="2"/>
      <c r="O174" s="2"/>
      <c r="P174" s="770"/>
      <c r="Q174" s="2"/>
      <c r="R174" s="770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770"/>
      <c r="E175" s="2"/>
      <c r="F175" s="770"/>
      <c r="G175" s="2"/>
      <c r="H175" s="2"/>
      <c r="I175" s="2"/>
      <c r="J175" s="770"/>
      <c r="K175" s="2"/>
      <c r="L175" s="770"/>
      <c r="M175" s="2"/>
      <c r="N175" s="2"/>
      <c r="O175" s="2"/>
      <c r="P175" s="770"/>
      <c r="Q175" s="2"/>
      <c r="R175" s="770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770"/>
      <c r="E176" s="2"/>
      <c r="F176" s="770"/>
      <c r="G176" s="2"/>
      <c r="H176" s="2"/>
      <c r="I176" s="2"/>
      <c r="J176" s="770"/>
      <c r="K176" s="2"/>
      <c r="L176" s="770"/>
      <c r="M176" s="2"/>
      <c r="N176" s="2"/>
      <c r="O176" s="2"/>
      <c r="P176" s="770"/>
      <c r="Q176" s="2"/>
      <c r="R176" s="770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770"/>
      <c r="E177" s="2"/>
      <c r="F177" s="770"/>
      <c r="G177" s="2"/>
      <c r="H177" s="2"/>
      <c r="I177" s="2"/>
      <c r="J177" s="770"/>
      <c r="K177" s="2"/>
      <c r="L177" s="770"/>
      <c r="M177" s="2"/>
      <c r="N177" s="2"/>
      <c r="O177" s="2"/>
      <c r="P177" s="770"/>
      <c r="Q177" s="2"/>
      <c r="R177" s="770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770"/>
      <c r="E178" s="2"/>
      <c r="F178" s="770"/>
      <c r="G178" s="2"/>
      <c r="H178" s="2"/>
      <c r="I178" s="2"/>
      <c r="J178" s="770"/>
      <c r="K178" s="2"/>
      <c r="L178" s="770"/>
      <c r="M178" s="2"/>
      <c r="N178" s="2"/>
      <c r="O178" s="2"/>
      <c r="P178" s="770"/>
      <c r="Q178" s="2"/>
      <c r="R178" s="770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770"/>
      <c r="E179" s="2"/>
      <c r="F179" s="770"/>
      <c r="G179" s="2"/>
      <c r="H179" s="2"/>
      <c r="I179" s="2"/>
      <c r="J179" s="770"/>
      <c r="K179" s="2"/>
      <c r="L179" s="770"/>
      <c r="M179" s="2"/>
      <c r="N179" s="2"/>
      <c r="O179" s="2"/>
      <c r="P179" s="770"/>
      <c r="Q179" s="2"/>
      <c r="R179" s="770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770"/>
      <c r="E180" s="2"/>
      <c r="F180" s="770"/>
      <c r="G180" s="2"/>
      <c r="H180" s="2"/>
      <c r="I180" s="2"/>
      <c r="J180" s="770"/>
      <c r="K180" s="2"/>
      <c r="L180" s="770"/>
      <c r="M180" s="2"/>
      <c r="N180" s="2"/>
      <c r="O180" s="2"/>
      <c r="P180" s="770"/>
      <c r="Q180" s="2"/>
      <c r="R180" s="770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770"/>
      <c r="E181" s="2"/>
      <c r="F181" s="770"/>
      <c r="G181" s="2"/>
      <c r="H181" s="2"/>
      <c r="I181" s="2"/>
      <c r="J181" s="770"/>
      <c r="K181" s="2"/>
      <c r="L181" s="770"/>
      <c r="M181" s="2"/>
      <c r="N181" s="2"/>
      <c r="O181" s="2"/>
      <c r="P181" s="770"/>
      <c r="Q181" s="2"/>
      <c r="R181" s="770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770"/>
      <c r="E182" s="2"/>
      <c r="F182" s="770"/>
      <c r="G182" s="2"/>
      <c r="H182" s="2"/>
      <c r="I182" s="2"/>
      <c r="J182" s="770"/>
      <c r="K182" s="2"/>
      <c r="L182" s="770"/>
      <c r="M182" s="2"/>
      <c r="N182" s="2"/>
      <c r="O182" s="2"/>
      <c r="P182" s="770"/>
      <c r="Q182" s="2"/>
      <c r="R182" s="770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770"/>
      <c r="E183" s="2"/>
      <c r="F183" s="770"/>
      <c r="G183" s="2"/>
      <c r="H183" s="2"/>
      <c r="I183" s="2"/>
      <c r="J183" s="770"/>
      <c r="K183" s="2"/>
      <c r="L183" s="770"/>
      <c r="M183" s="2"/>
      <c r="N183" s="2"/>
      <c r="O183" s="2"/>
      <c r="P183" s="770"/>
      <c r="Q183" s="2"/>
      <c r="R183" s="770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770"/>
      <c r="E184" s="2"/>
      <c r="F184" s="770"/>
      <c r="G184" s="2"/>
      <c r="H184" s="2"/>
      <c r="I184" s="2"/>
      <c r="J184" s="770"/>
      <c r="K184" s="2"/>
      <c r="L184" s="770"/>
      <c r="M184" s="2"/>
      <c r="N184" s="2"/>
      <c r="O184" s="2"/>
      <c r="P184" s="770"/>
      <c r="Q184" s="2"/>
      <c r="R184" s="770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770"/>
      <c r="E185" s="2"/>
      <c r="F185" s="770"/>
      <c r="G185" s="2"/>
      <c r="H185" s="2"/>
      <c r="I185" s="2"/>
      <c r="J185" s="770"/>
      <c r="K185" s="2"/>
      <c r="L185" s="770"/>
      <c r="M185" s="2"/>
      <c r="N185" s="2"/>
      <c r="O185" s="2"/>
      <c r="P185" s="770"/>
      <c r="Q185" s="2"/>
      <c r="R185" s="770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770"/>
      <c r="E186" s="2"/>
      <c r="F186" s="770"/>
      <c r="G186" s="2"/>
      <c r="H186" s="2"/>
      <c r="I186" s="2"/>
      <c r="J186" s="770"/>
      <c r="K186" s="2"/>
      <c r="L186" s="770"/>
      <c r="M186" s="2"/>
      <c r="N186" s="2"/>
      <c r="O186" s="2"/>
      <c r="P186" s="770"/>
      <c r="Q186" s="2"/>
      <c r="R186" s="770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770"/>
      <c r="E187" s="2"/>
      <c r="F187" s="770"/>
      <c r="G187" s="2"/>
      <c r="H187" s="2"/>
      <c r="I187" s="2"/>
      <c r="J187" s="770"/>
      <c r="K187" s="2"/>
      <c r="L187" s="770"/>
      <c r="M187" s="2"/>
      <c r="N187" s="2"/>
      <c r="O187" s="2"/>
      <c r="P187" s="770"/>
      <c r="Q187" s="2"/>
      <c r="R187" s="770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770"/>
      <c r="E188" s="2"/>
      <c r="F188" s="770"/>
      <c r="G188" s="2"/>
      <c r="H188" s="2"/>
      <c r="I188" s="2"/>
      <c r="J188" s="770"/>
      <c r="K188" s="2"/>
      <c r="L188" s="770"/>
      <c r="M188" s="2"/>
      <c r="N188" s="2"/>
      <c r="O188" s="2"/>
      <c r="P188" s="770"/>
      <c r="Q188" s="2"/>
      <c r="R188" s="770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770"/>
      <c r="E189" s="2"/>
      <c r="F189" s="770"/>
      <c r="G189" s="2"/>
      <c r="H189" s="2"/>
      <c r="I189" s="2"/>
      <c r="J189" s="770"/>
      <c r="K189" s="2"/>
      <c r="L189" s="770"/>
      <c r="M189" s="2"/>
      <c r="N189" s="2"/>
      <c r="O189" s="2"/>
      <c r="P189" s="770"/>
      <c r="Q189" s="2"/>
      <c r="R189" s="770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770"/>
      <c r="E190" s="2"/>
      <c r="F190" s="770"/>
      <c r="G190" s="2"/>
      <c r="H190" s="2"/>
      <c r="I190" s="2"/>
      <c r="J190" s="770"/>
      <c r="K190" s="2"/>
      <c r="L190" s="770"/>
      <c r="M190" s="2"/>
      <c r="N190" s="2"/>
      <c r="O190" s="2"/>
      <c r="P190" s="770"/>
      <c r="Q190" s="2"/>
      <c r="R190" s="770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770"/>
      <c r="E191" s="2"/>
      <c r="F191" s="770"/>
      <c r="G191" s="2"/>
      <c r="H191" s="2"/>
      <c r="I191" s="2"/>
      <c r="J191" s="770"/>
      <c r="K191" s="2"/>
      <c r="L191" s="770"/>
      <c r="M191" s="2"/>
      <c r="N191" s="2"/>
      <c r="O191" s="2"/>
      <c r="P191" s="770"/>
      <c r="Q191" s="2"/>
      <c r="R191" s="770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770"/>
      <c r="E192" s="2"/>
      <c r="F192" s="770"/>
      <c r="G192" s="2"/>
      <c r="H192" s="2"/>
      <c r="I192" s="2"/>
      <c r="J192" s="770"/>
      <c r="K192" s="2"/>
      <c r="L192" s="770"/>
      <c r="M192" s="2"/>
      <c r="N192" s="2"/>
      <c r="O192" s="2"/>
      <c r="P192" s="770"/>
      <c r="Q192" s="2"/>
      <c r="R192" s="770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770"/>
      <c r="E193" s="2"/>
      <c r="F193" s="770"/>
      <c r="G193" s="2"/>
      <c r="H193" s="2"/>
      <c r="I193" s="2"/>
      <c r="J193" s="770"/>
      <c r="K193" s="2"/>
      <c r="L193" s="770"/>
      <c r="M193" s="2"/>
      <c r="N193" s="2"/>
      <c r="O193" s="2"/>
      <c r="P193" s="770"/>
      <c r="Q193" s="2"/>
      <c r="R193" s="770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770"/>
      <c r="E194" s="2"/>
      <c r="F194" s="770"/>
      <c r="G194" s="2"/>
      <c r="H194" s="2"/>
      <c r="I194" s="2"/>
      <c r="J194" s="770"/>
      <c r="K194" s="2"/>
      <c r="L194" s="770"/>
      <c r="M194" s="2"/>
      <c r="N194" s="2"/>
      <c r="O194" s="2"/>
      <c r="P194" s="770"/>
      <c r="Q194" s="2"/>
      <c r="R194" s="770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770"/>
      <c r="E195" s="2"/>
      <c r="F195" s="770"/>
      <c r="G195" s="2"/>
      <c r="H195" s="2"/>
      <c r="I195" s="2"/>
      <c r="J195" s="770"/>
      <c r="K195" s="2"/>
      <c r="L195" s="770"/>
      <c r="M195" s="2"/>
      <c r="N195" s="2"/>
      <c r="O195" s="2"/>
      <c r="P195" s="770"/>
      <c r="Q195" s="2"/>
      <c r="R195" s="770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770"/>
      <c r="E196" s="2"/>
      <c r="F196" s="770"/>
      <c r="G196" s="2"/>
      <c r="H196" s="2"/>
      <c r="I196" s="2"/>
      <c r="J196" s="770"/>
      <c r="K196" s="2"/>
      <c r="L196" s="770"/>
      <c r="M196" s="2"/>
      <c r="N196" s="2"/>
      <c r="O196" s="2"/>
      <c r="P196" s="770"/>
      <c r="Q196" s="2"/>
      <c r="R196" s="770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770"/>
      <c r="E197" s="2"/>
      <c r="F197" s="770"/>
      <c r="G197" s="2"/>
      <c r="H197" s="2"/>
      <c r="I197" s="2"/>
      <c r="J197" s="770"/>
      <c r="K197" s="2"/>
      <c r="L197" s="770"/>
      <c r="M197" s="2"/>
      <c r="N197" s="2"/>
      <c r="O197" s="2"/>
      <c r="P197" s="770"/>
      <c r="Q197" s="2"/>
      <c r="R197" s="770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770"/>
      <c r="E198" s="2"/>
      <c r="F198" s="770"/>
      <c r="G198" s="2"/>
      <c r="H198" s="2"/>
      <c r="I198" s="2"/>
      <c r="J198" s="770"/>
      <c r="K198" s="2"/>
      <c r="L198" s="770"/>
      <c r="M198" s="2"/>
      <c r="N198" s="2"/>
      <c r="O198" s="2"/>
      <c r="P198" s="770"/>
      <c r="Q198" s="2"/>
      <c r="R198" s="770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770"/>
      <c r="E199" s="2"/>
      <c r="F199" s="770"/>
      <c r="G199" s="2"/>
      <c r="H199" s="2"/>
      <c r="I199" s="2"/>
      <c r="J199" s="770"/>
      <c r="K199" s="2"/>
      <c r="L199" s="770"/>
      <c r="M199" s="2"/>
      <c r="N199" s="2"/>
      <c r="O199" s="2"/>
      <c r="P199" s="770"/>
      <c r="Q199" s="2"/>
      <c r="R199" s="770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770"/>
      <c r="E200" s="2"/>
      <c r="F200" s="770"/>
      <c r="G200" s="2"/>
      <c r="H200" s="2"/>
      <c r="I200" s="2"/>
      <c r="J200" s="770"/>
      <c r="K200" s="2"/>
      <c r="L200" s="770"/>
      <c r="M200" s="2"/>
      <c r="N200" s="2"/>
      <c r="O200" s="2"/>
      <c r="P200" s="770"/>
      <c r="Q200" s="2"/>
      <c r="R200" s="770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770"/>
      <c r="E201" s="2"/>
      <c r="F201" s="770"/>
      <c r="G201" s="2"/>
      <c r="H201" s="2"/>
      <c r="I201" s="2"/>
      <c r="J201" s="770"/>
      <c r="K201" s="2"/>
      <c r="L201" s="770"/>
      <c r="M201" s="2"/>
      <c r="N201" s="2"/>
      <c r="O201" s="2"/>
      <c r="P201" s="770"/>
      <c r="Q201" s="2"/>
      <c r="R201" s="770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770"/>
      <c r="E202" s="2"/>
      <c r="F202" s="770"/>
      <c r="G202" s="2"/>
      <c r="H202" s="2"/>
      <c r="I202" s="2"/>
      <c r="J202" s="770"/>
      <c r="K202" s="2"/>
      <c r="L202" s="770"/>
      <c r="M202" s="2"/>
      <c r="N202" s="2"/>
      <c r="O202" s="2"/>
      <c r="P202" s="770"/>
      <c r="Q202" s="2"/>
      <c r="R202" s="770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770"/>
      <c r="E203" s="2"/>
      <c r="F203" s="770"/>
      <c r="G203" s="2"/>
      <c r="H203" s="2"/>
      <c r="I203" s="2"/>
      <c r="J203" s="770"/>
      <c r="K203" s="2"/>
      <c r="L203" s="770"/>
      <c r="M203" s="2"/>
      <c r="N203" s="2"/>
      <c r="O203" s="2"/>
      <c r="P203" s="770"/>
      <c r="Q203" s="2"/>
      <c r="R203" s="770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770"/>
      <c r="E204" s="2"/>
      <c r="F204" s="770"/>
      <c r="G204" s="2"/>
      <c r="H204" s="2"/>
      <c r="I204" s="2"/>
      <c r="J204" s="770"/>
      <c r="K204" s="2"/>
      <c r="L204" s="770"/>
      <c r="M204" s="2"/>
      <c r="N204" s="2"/>
      <c r="O204" s="2"/>
      <c r="P204" s="770"/>
      <c r="Q204" s="2"/>
      <c r="R204" s="770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770"/>
      <c r="E205" s="2"/>
      <c r="F205" s="770"/>
      <c r="G205" s="2"/>
      <c r="H205" s="2"/>
      <c r="I205" s="2"/>
      <c r="J205" s="770"/>
      <c r="K205" s="2"/>
      <c r="L205" s="770"/>
      <c r="M205" s="2"/>
      <c r="N205" s="2"/>
      <c r="O205" s="2"/>
      <c r="P205" s="770"/>
      <c r="Q205" s="2"/>
      <c r="R205" s="770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770"/>
      <c r="E206" s="2"/>
      <c r="F206" s="770"/>
      <c r="G206" s="2"/>
      <c r="H206" s="2"/>
      <c r="I206" s="2"/>
      <c r="J206" s="770"/>
      <c r="K206" s="2"/>
      <c r="L206" s="770"/>
      <c r="M206" s="2"/>
      <c r="N206" s="2"/>
      <c r="O206" s="2"/>
      <c r="P206" s="770"/>
      <c r="Q206" s="2"/>
      <c r="R206" s="770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770"/>
      <c r="E207" s="2"/>
      <c r="F207" s="770"/>
      <c r="G207" s="2"/>
      <c r="H207" s="2"/>
      <c r="I207" s="2"/>
      <c r="J207" s="770"/>
      <c r="K207" s="2"/>
      <c r="L207" s="770"/>
      <c r="M207" s="2"/>
      <c r="N207" s="2"/>
      <c r="O207" s="2"/>
      <c r="P207" s="770"/>
      <c r="Q207" s="2"/>
      <c r="R207" s="770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770"/>
      <c r="E208" s="2"/>
      <c r="F208" s="770"/>
      <c r="G208" s="2"/>
      <c r="H208" s="2"/>
      <c r="I208" s="2"/>
      <c r="J208" s="770"/>
      <c r="K208" s="2"/>
      <c r="L208" s="770"/>
      <c r="M208" s="2"/>
      <c r="N208" s="2"/>
      <c r="O208" s="2"/>
      <c r="P208" s="770"/>
      <c r="Q208" s="2"/>
      <c r="R208" s="770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770"/>
      <c r="E209" s="2"/>
      <c r="F209" s="770"/>
      <c r="G209" s="2"/>
      <c r="H209" s="2"/>
      <c r="I209" s="2"/>
      <c r="J209" s="770"/>
      <c r="K209" s="2"/>
      <c r="L209" s="770"/>
      <c r="M209" s="2"/>
      <c r="N209" s="2"/>
      <c r="O209" s="2"/>
      <c r="P209" s="770"/>
      <c r="Q209" s="2"/>
      <c r="R209" s="770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770"/>
      <c r="E210" s="2"/>
      <c r="F210" s="770"/>
      <c r="G210" s="2"/>
      <c r="H210" s="2"/>
      <c r="I210" s="2"/>
      <c r="J210" s="770"/>
      <c r="K210" s="2"/>
      <c r="L210" s="770"/>
      <c r="M210" s="2"/>
      <c r="N210" s="2"/>
      <c r="O210" s="2"/>
      <c r="P210" s="770"/>
      <c r="Q210" s="2"/>
      <c r="R210" s="77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770"/>
      <c r="E211" s="2"/>
      <c r="F211" s="770"/>
      <c r="G211" s="2"/>
      <c r="H211" s="2"/>
      <c r="I211" s="2"/>
      <c r="J211" s="770"/>
      <c r="K211" s="2"/>
      <c r="L211" s="770"/>
      <c r="M211" s="2"/>
      <c r="N211" s="2"/>
      <c r="O211" s="2"/>
      <c r="P211" s="770"/>
      <c r="Q211" s="2"/>
      <c r="R211" s="770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770"/>
      <c r="E212" s="2"/>
      <c r="F212" s="770"/>
      <c r="G212" s="2"/>
      <c r="H212" s="2"/>
      <c r="I212" s="2"/>
      <c r="J212" s="770"/>
      <c r="K212" s="2"/>
      <c r="L212" s="770"/>
      <c r="M212" s="2"/>
      <c r="N212" s="2"/>
      <c r="O212" s="2"/>
      <c r="P212" s="770"/>
      <c r="Q212" s="2"/>
      <c r="R212" s="770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770"/>
      <c r="E213" s="2"/>
      <c r="F213" s="770"/>
      <c r="G213" s="2"/>
      <c r="H213" s="2"/>
      <c r="I213" s="2"/>
      <c r="J213" s="770"/>
      <c r="K213" s="2"/>
      <c r="L213" s="770"/>
      <c r="M213" s="2"/>
      <c r="N213" s="2"/>
      <c r="O213" s="2"/>
      <c r="P213" s="770"/>
      <c r="Q213" s="2"/>
      <c r="R213" s="770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770"/>
      <c r="E214" s="2"/>
      <c r="F214" s="770"/>
      <c r="G214" s="2"/>
      <c r="H214" s="2"/>
      <c r="I214" s="2"/>
      <c r="J214" s="770"/>
      <c r="K214" s="2"/>
      <c r="L214" s="770"/>
      <c r="M214" s="2"/>
      <c r="N214" s="2"/>
      <c r="O214" s="2"/>
      <c r="P214" s="770"/>
      <c r="Q214" s="2"/>
      <c r="R214" s="770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770"/>
      <c r="E215" s="2"/>
      <c r="F215" s="770"/>
      <c r="G215" s="2"/>
      <c r="H215" s="2"/>
      <c r="I215" s="2"/>
      <c r="J215" s="770"/>
      <c r="K215" s="2"/>
      <c r="L215" s="770"/>
      <c r="M215" s="2"/>
      <c r="N215" s="2"/>
      <c r="O215" s="2"/>
      <c r="P215" s="770"/>
      <c r="Q215" s="2"/>
      <c r="R215" s="770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770"/>
      <c r="E216" s="2"/>
      <c r="F216" s="770"/>
      <c r="G216" s="2"/>
      <c r="H216" s="2"/>
      <c r="I216" s="2"/>
      <c r="J216" s="770"/>
      <c r="K216" s="2"/>
      <c r="L216" s="770"/>
      <c r="M216" s="2"/>
      <c r="N216" s="2"/>
      <c r="O216" s="2"/>
      <c r="P216" s="770"/>
      <c r="Q216" s="2"/>
      <c r="R216" s="770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770"/>
      <c r="E217" s="2"/>
      <c r="F217" s="770"/>
      <c r="G217" s="2"/>
      <c r="H217" s="2"/>
      <c r="I217" s="2"/>
      <c r="J217" s="770"/>
      <c r="K217" s="2"/>
      <c r="L217" s="770"/>
      <c r="M217" s="2"/>
      <c r="N217" s="2"/>
      <c r="O217" s="2"/>
      <c r="P217" s="770"/>
      <c r="Q217" s="2"/>
      <c r="R217" s="770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770"/>
      <c r="E218" s="2"/>
      <c r="F218" s="770"/>
      <c r="G218" s="2"/>
      <c r="H218" s="2"/>
      <c r="I218" s="2"/>
      <c r="J218" s="770"/>
      <c r="K218" s="2"/>
      <c r="L218" s="770"/>
      <c r="M218" s="2"/>
      <c r="N218" s="2"/>
      <c r="O218" s="2"/>
      <c r="P218" s="770"/>
      <c r="Q218" s="2"/>
      <c r="R218" s="770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770"/>
      <c r="E219" s="2"/>
      <c r="F219" s="770"/>
      <c r="G219" s="2"/>
      <c r="H219" s="2"/>
      <c r="I219" s="2"/>
      <c r="J219" s="770"/>
      <c r="K219" s="2"/>
      <c r="L219" s="770"/>
      <c r="M219" s="2"/>
      <c r="N219" s="2"/>
      <c r="O219" s="2"/>
      <c r="P219" s="770"/>
      <c r="Q219" s="2"/>
      <c r="R219" s="770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770"/>
      <c r="E220" s="2"/>
      <c r="F220" s="770"/>
      <c r="G220" s="2"/>
      <c r="H220" s="2"/>
      <c r="I220" s="2"/>
      <c r="J220" s="770"/>
      <c r="K220" s="2"/>
      <c r="L220" s="770"/>
      <c r="M220" s="2"/>
      <c r="N220" s="2"/>
      <c r="O220" s="2"/>
      <c r="P220" s="770"/>
      <c r="Q220" s="2"/>
      <c r="R220" s="770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770"/>
      <c r="E221" s="2"/>
      <c r="F221" s="770"/>
      <c r="G221" s="2"/>
      <c r="H221" s="2"/>
      <c r="I221" s="2"/>
      <c r="J221" s="770"/>
      <c r="K221" s="2"/>
      <c r="L221" s="770"/>
      <c r="M221" s="2"/>
      <c r="N221" s="2"/>
      <c r="O221" s="2"/>
      <c r="P221" s="770"/>
      <c r="Q221" s="2"/>
      <c r="R221" s="770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770"/>
      <c r="E222" s="2"/>
      <c r="F222" s="770"/>
      <c r="G222" s="2"/>
      <c r="H222" s="2"/>
      <c r="I222" s="2"/>
      <c r="J222" s="770"/>
      <c r="K222" s="2"/>
      <c r="L222" s="770"/>
      <c r="M222" s="2"/>
      <c r="N222" s="2"/>
      <c r="O222" s="2"/>
      <c r="P222" s="770"/>
      <c r="Q222" s="2"/>
      <c r="R222" s="770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770"/>
      <c r="E223" s="2"/>
      <c r="F223" s="770"/>
      <c r="G223" s="2"/>
      <c r="H223" s="2"/>
      <c r="I223" s="2"/>
      <c r="J223" s="770"/>
      <c r="K223" s="2"/>
      <c r="L223" s="770"/>
      <c r="M223" s="2"/>
      <c r="N223" s="2"/>
      <c r="O223" s="2"/>
      <c r="P223" s="770"/>
      <c r="Q223" s="2"/>
      <c r="R223" s="770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770"/>
      <c r="E224" s="2"/>
      <c r="F224" s="770"/>
      <c r="G224" s="2"/>
      <c r="H224" s="2"/>
      <c r="I224" s="2"/>
      <c r="J224" s="770"/>
      <c r="K224" s="2"/>
      <c r="L224" s="770"/>
      <c r="M224" s="2"/>
      <c r="N224" s="2"/>
      <c r="O224" s="2"/>
      <c r="P224" s="770"/>
      <c r="Q224" s="2"/>
      <c r="R224" s="770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770"/>
      <c r="E225" s="2"/>
      <c r="F225" s="770"/>
      <c r="G225" s="2"/>
      <c r="H225" s="2"/>
      <c r="I225" s="2"/>
      <c r="J225" s="770"/>
      <c r="K225" s="2"/>
      <c r="L225" s="770"/>
      <c r="M225" s="2"/>
      <c r="N225" s="2"/>
      <c r="O225" s="2"/>
      <c r="P225" s="770"/>
      <c r="Q225" s="2"/>
      <c r="R225" s="770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770"/>
      <c r="E226" s="2"/>
      <c r="F226" s="770"/>
      <c r="G226" s="2"/>
      <c r="H226" s="2"/>
      <c r="I226" s="2"/>
      <c r="J226" s="770"/>
      <c r="K226" s="2"/>
      <c r="L226" s="770"/>
      <c r="M226" s="2"/>
      <c r="N226" s="2"/>
      <c r="O226" s="2"/>
      <c r="P226" s="770"/>
      <c r="Q226" s="2"/>
      <c r="R226" s="770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770"/>
      <c r="E227" s="2"/>
      <c r="F227" s="770"/>
      <c r="G227" s="2"/>
      <c r="H227" s="2"/>
      <c r="I227" s="2"/>
      <c r="J227" s="770"/>
      <c r="K227" s="2"/>
      <c r="L227" s="770"/>
      <c r="M227" s="2"/>
      <c r="N227" s="2"/>
      <c r="O227" s="2"/>
      <c r="P227" s="770"/>
      <c r="Q227" s="2"/>
      <c r="R227" s="770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770"/>
      <c r="E228" s="2"/>
      <c r="F228" s="770"/>
      <c r="G228" s="2"/>
      <c r="H228" s="2"/>
      <c r="I228" s="2"/>
      <c r="J228" s="770"/>
      <c r="K228" s="2"/>
      <c r="L228" s="770"/>
      <c r="M228" s="2"/>
      <c r="N228" s="2"/>
      <c r="O228" s="2"/>
      <c r="P228" s="770"/>
      <c r="Q228" s="2"/>
      <c r="R228" s="770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770"/>
      <c r="E229" s="2"/>
      <c r="F229" s="770"/>
      <c r="G229" s="2"/>
      <c r="H229" s="2"/>
      <c r="I229" s="2"/>
      <c r="J229" s="770"/>
      <c r="K229" s="2"/>
      <c r="L229" s="770"/>
      <c r="M229" s="2"/>
      <c r="N229" s="2"/>
      <c r="O229" s="2"/>
      <c r="P229" s="770"/>
      <c r="Q229" s="2"/>
      <c r="R229" s="770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770"/>
      <c r="E230" s="2"/>
      <c r="F230" s="770"/>
      <c r="G230" s="2"/>
      <c r="H230" s="2"/>
      <c r="I230" s="2"/>
      <c r="J230" s="770"/>
      <c r="K230" s="2"/>
      <c r="L230" s="770"/>
      <c r="M230" s="2"/>
      <c r="N230" s="2"/>
      <c r="O230" s="2"/>
      <c r="P230" s="770"/>
      <c r="Q230" s="2"/>
      <c r="R230" s="770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770"/>
      <c r="E231" s="2"/>
      <c r="F231" s="770"/>
      <c r="G231" s="2"/>
      <c r="H231" s="2"/>
      <c r="I231" s="2"/>
      <c r="J231" s="770"/>
      <c r="K231" s="2"/>
      <c r="L231" s="770"/>
      <c r="M231" s="2"/>
      <c r="N231" s="2"/>
      <c r="O231" s="2"/>
      <c r="P231" s="770"/>
      <c r="Q231" s="2"/>
      <c r="R231" s="770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770"/>
      <c r="E232" s="2"/>
      <c r="F232" s="770"/>
      <c r="G232" s="2"/>
      <c r="H232" s="2"/>
      <c r="I232" s="2"/>
      <c r="J232" s="770"/>
      <c r="K232" s="2"/>
      <c r="L232" s="770"/>
      <c r="M232" s="2"/>
      <c r="N232" s="2"/>
      <c r="O232" s="2"/>
      <c r="P232" s="770"/>
      <c r="Q232" s="2"/>
      <c r="R232" s="770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770"/>
      <c r="E233" s="2"/>
      <c r="F233" s="770"/>
      <c r="G233" s="2"/>
      <c r="H233" s="2"/>
      <c r="I233" s="2"/>
      <c r="J233" s="770"/>
      <c r="K233" s="2"/>
      <c r="L233" s="770"/>
      <c r="M233" s="2"/>
      <c r="N233" s="2"/>
      <c r="O233" s="2"/>
      <c r="P233" s="770"/>
      <c r="Q233" s="2"/>
      <c r="R233" s="770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770"/>
      <c r="E234" s="2"/>
      <c r="F234" s="770"/>
      <c r="G234" s="2"/>
      <c r="H234" s="2"/>
      <c r="I234" s="2"/>
      <c r="J234" s="770"/>
      <c r="K234" s="2"/>
      <c r="L234" s="770"/>
      <c r="M234" s="2"/>
      <c r="N234" s="2"/>
      <c r="O234" s="2"/>
      <c r="P234" s="770"/>
      <c r="Q234" s="2"/>
      <c r="R234" s="770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770"/>
      <c r="E235" s="2"/>
      <c r="F235" s="770"/>
      <c r="G235" s="2"/>
      <c r="H235" s="2"/>
      <c r="I235" s="2"/>
      <c r="J235" s="770"/>
      <c r="K235" s="2"/>
      <c r="L235" s="770"/>
      <c r="M235" s="2"/>
      <c r="N235" s="2"/>
      <c r="O235" s="2"/>
      <c r="P235" s="770"/>
      <c r="Q235" s="2"/>
      <c r="R235" s="770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770"/>
      <c r="E236" s="2"/>
      <c r="F236" s="770"/>
      <c r="G236" s="2"/>
      <c r="H236" s="2"/>
      <c r="I236" s="2"/>
      <c r="J236" s="770"/>
      <c r="K236" s="2"/>
      <c r="L236" s="770"/>
      <c r="M236" s="2"/>
      <c r="N236" s="2"/>
      <c r="O236" s="2"/>
      <c r="P236" s="770"/>
      <c r="Q236" s="2"/>
      <c r="R236" s="770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770"/>
      <c r="E237" s="2"/>
      <c r="F237" s="770"/>
      <c r="G237" s="2"/>
      <c r="H237" s="2"/>
      <c r="I237" s="2"/>
      <c r="J237" s="770"/>
      <c r="K237" s="2"/>
      <c r="L237" s="770"/>
      <c r="M237" s="2"/>
      <c r="N237" s="2"/>
      <c r="O237" s="2"/>
      <c r="P237" s="770"/>
      <c r="Q237" s="2"/>
      <c r="R237" s="770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770"/>
      <c r="E238" s="2"/>
      <c r="F238" s="770"/>
      <c r="G238" s="2"/>
      <c r="H238" s="2"/>
      <c r="I238" s="2"/>
      <c r="J238" s="770"/>
      <c r="K238" s="2"/>
      <c r="L238" s="770"/>
      <c r="M238" s="2"/>
      <c r="N238" s="2"/>
      <c r="O238" s="2"/>
      <c r="P238" s="770"/>
      <c r="Q238" s="2"/>
      <c r="R238" s="770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770"/>
      <c r="E239" s="2"/>
      <c r="F239" s="770"/>
      <c r="G239" s="2"/>
      <c r="H239" s="2"/>
      <c r="I239" s="2"/>
      <c r="J239" s="770"/>
      <c r="K239" s="2"/>
      <c r="L239" s="770"/>
      <c r="M239" s="2"/>
      <c r="N239" s="2"/>
      <c r="O239" s="2"/>
      <c r="P239" s="770"/>
      <c r="Q239" s="2"/>
      <c r="R239" s="770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770"/>
      <c r="E240" s="2"/>
      <c r="F240" s="770"/>
      <c r="G240" s="2"/>
      <c r="H240" s="2"/>
      <c r="I240" s="2"/>
      <c r="J240" s="770"/>
      <c r="K240" s="2"/>
      <c r="L240" s="770"/>
      <c r="M240" s="2"/>
      <c r="N240" s="2"/>
      <c r="O240" s="2"/>
      <c r="P240" s="770"/>
      <c r="Q240" s="2"/>
      <c r="R240" s="770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770"/>
      <c r="E241" s="2"/>
      <c r="F241" s="770"/>
      <c r="G241" s="2"/>
      <c r="H241" s="2"/>
      <c r="I241" s="2"/>
      <c r="J241" s="770"/>
      <c r="K241" s="2"/>
      <c r="L241" s="770"/>
      <c r="M241" s="2"/>
      <c r="N241" s="2"/>
      <c r="O241" s="2"/>
      <c r="P241" s="770"/>
      <c r="Q241" s="2"/>
      <c r="R241" s="770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770"/>
      <c r="E242" s="2"/>
      <c r="F242" s="770"/>
      <c r="G242" s="2"/>
      <c r="H242" s="2"/>
      <c r="I242" s="2"/>
      <c r="J242" s="770"/>
      <c r="K242" s="2"/>
      <c r="L242" s="770"/>
      <c r="M242" s="2"/>
      <c r="N242" s="2"/>
      <c r="O242" s="2"/>
      <c r="P242" s="770"/>
      <c r="Q242" s="2"/>
      <c r="R242" s="770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770"/>
      <c r="E243" s="2"/>
      <c r="F243" s="770"/>
      <c r="G243" s="2"/>
      <c r="H243" s="2"/>
      <c r="I243" s="2"/>
      <c r="J243" s="770"/>
      <c r="K243" s="2"/>
      <c r="L243" s="770"/>
      <c r="M243" s="2"/>
      <c r="N243" s="2"/>
      <c r="O243" s="2"/>
      <c r="P243" s="770"/>
      <c r="Q243" s="2"/>
      <c r="R243" s="770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770"/>
      <c r="E244" s="2"/>
      <c r="F244" s="770"/>
      <c r="G244" s="2"/>
      <c r="H244" s="2"/>
      <c r="I244" s="2"/>
      <c r="J244" s="770"/>
      <c r="K244" s="2"/>
      <c r="L244" s="770"/>
      <c r="M244" s="2"/>
      <c r="N244" s="2"/>
      <c r="O244" s="2"/>
      <c r="P244" s="770"/>
      <c r="Q244" s="2"/>
      <c r="R244" s="770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770"/>
      <c r="E245" s="2"/>
      <c r="F245" s="770"/>
      <c r="G245" s="2"/>
      <c r="H245" s="2"/>
      <c r="I245" s="2"/>
      <c r="J245" s="770"/>
      <c r="K245" s="2"/>
      <c r="L245" s="770"/>
      <c r="M245" s="2"/>
      <c r="N245" s="2"/>
      <c r="O245" s="2"/>
      <c r="P245" s="770"/>
      <c r="Q245" s="2"/>
      <c r="R245" s="770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770"/>
      <c r="E246" s="2"/>
      <c r="F246" s="770"/>
      <c r="G246" s="2"/>
      <c r="H246" s="2"/>
      <c r="I246" s="2"/>
      <c r="J246" s="770"/>
      <c r="K246" s="2"/>
      <c r="L246" s="770"/>
      <c r="M246" s="2"/>
      <c r="N246" s="2"/>
      <c r="O246" s="2"/>
      <c r="P246" s="770"/>
      <c r="Q246" s="2"/>
      <c r="R246" s="770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770"/>
      <c r="E247" s="2"/>
      <c r="F247" s="770"/>
      <c r="G247" s="2"/>
      <c r="H247" s="2"/>
      <c r="I247" s="2"/>
      <c r="J247" s="770"/>
      <c r="K247" s="2"/>
      <c r="L247" s="770"/>
      <c r="M247" s="2"/>
      <c r="N247" s="2"/>
      <c r="O247" s="2"/>
      <c r="P247" s="770"/>
      <c r="Q247" s="2"/>
      <c r="R247" s="770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770"/>
      <c r="E248" s="2"/>
      <c r="F248" s="770"/>
      <c r="G248" s="2"/>
      <c r="H248" s="2"/>
      <c r="I248" s="2"/>
      <c r="J248" s="770"/>
      <c r="K248" s="2"/>
      <c r="L248" s="770"/>
      <c r="M248" s="2"/>
      <c r="N248" s="2"/>
      <c r="O248" s="2"/>
      <c r="P248" s="770"/>
      <c r="Q248" s="2"/>
      <c r="R248" s="770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770"/>
      <c r="E249" s="2"/>
      <c r="F249" s="770"/>
      <c r="G249" s="2"/>
      <c r="H249" s="2"/>
      <c r="I249" s="2"/>
      <c r="J249" s="770"/>
      <c r="K249" s="2"/>
      <c r="L249" s="770"/>
      <c r="M249" s="2"/>
      <c r="N249" s="2"/>
      <c r="O249" s="2"/>
      <c r="P249" s="770"/>
      <c r="Q249" s="2"/>
      <c r="R249" s="770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770"/>
      <c r="E250" s="2"/>
      <c r="F250" s="770"/>
      <c r="G250" s="2"/>
      <c r="H250" s="2"/>
      <c r="I250" s="2"/>
      <c r="J250" s="770"/>
      <c r="K250" s="2"/>
      <c r="L250" s="770"/>
      <c r="M250" s="2"/>
      <c r="N250" s="2"/>
      <c r="O250" s="2"/>
      <c r="P250" s="770"/>
      <c r="Q250" s="2"/>
      <c r="R250" s="770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770"/>
      <c r="E251" s="2"/>
      <c r="F251" s="770"/>
      <c r="G251" s="2"/>
      <c r="H251" s="2"/>
      <c r="I251" s="2"/>
      <c r="J251" s="770"/>
      <c r="K251" s="2"/>
      <c r="L251" s="770"/>
      <c r="M251" s="2"/>
      <c r="N251" s="2"/>
      <c r="O251" s="2"/>
      <c r="P251" s="770"/>
      <c r="Q251" s="2"/>
      <c r="R251" s="770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770"/>
      <c r="E252" s="2"/>
      <c r="F252" s="770"/>
      <c r="G252" s="2"/>
      <c r="H252" s="2"/>
      <c r="I252" s="2"/>
      <c r="J252" s="770"/>
      <c r="K252" s="2"/>
      <c r="L252" s="770"/>
      <c r="M252" s="2"/>
      <c r="N252" s="2"/>
      <c r="O252" s="2"/>
      <c r="P252" s="770"/>
      <c r="Q252" s="2"/>
      <c r="R252" s="770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770"/>
      <c r="E253" s="2"/>
      <c r="F253" s="770"/>
      <c r="G253" s="2"/>
      <c r="H253" s="2"/>
      <c r="I253" s="2"/>
      <c r="J253" s="770"/>
      <c r="K253" s="2"/>
      <c r="L253" s="770"/>
      <c r="M253" s="2"/>
      <c r="N253" s="2"/>
      <c r="O253" s="2"/>
      <c r="P253" s="770"/>
      <c r="Q253" s="2"/>
      <c r="R253" s="770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770"/>
      <c r="E254" s="2"/>
      <c r="F254" s="770"/>
      <c r="G254" s="2"/>
      <c r="H254" s="2"/>
      <c r="I254" s="2"/>
      <c r="J254" s="770"/>
      <c r="K254" s="2"/>
      <c r="L254" s="770"/>
      <c r="M254" s="2"/>
      <c r="N254" s="2"/>
      <c r="O254" s="2"/>
      <c r="P254" s="770"/>
      <c r="Q254" s="2"/>
      <c r="R254" s="770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770"/>
      <c r="E255" s="2"/>
      <c r="F255" s="770"/>
      <c r="G255" s="2"/>
      <c r="H255" s="2"/>
      <c r="I255" s="2"/>
      <c r="J255" s="770"/>
      <c r="K255" s="2"/>
      <c r="L255" s="770"/>
      <c r="M255" s="2"/>
      <c r="N255" s="2"/>
      <c r="O255" s="2"/>
      <c r="P255" s="770"/>
      <c r="Q255" s="2"/>
      <c r="R255" s="770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770"/>
      <c r="E256" s="2"/>
      <c r="F256" s="770"/>
      <c r="G256" s="2"/>
      <c r="H256" s="2"/>
      <c r="I256" s="2"/>
      <c r="J256" s="770"/>
      <c r="K256" s="2"/>
      <c r="L256" s="770"/>
      <c r="M256" s="2"/>
      <c r="N256" s="2"/>
      <c r="O256" s="2"/>
      <c r="P256" s="770"/>
      <c r="Q256" s="2"/>
      <c r="R256" s="770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770"/>
      <c r="E257" s="2"/>
      <c r="F257" s="770"/>
      <c r="G257" s="2"/>
      <c r="H257" s="2"/>
      <c r="I257" s="2"/>
      <c r="J257" s="770"/>
      <c r="K257" s="2"/>
      <c r="L257" s="770"/>
      <c r="M257" s="2"/>
      <c r="N257" s="2"/>
      <c r="O257" s="2"/>
      <c r="P257" s="770"/>
      <c r="Q257" s="2"/>
      <c r="R257" s="770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770"/>
      <c r="E258" s="2"/>
      <c r="F258" s="770"/>
      <c r="G258" s="2"/>
      <c r="H258" s="2"/>
      <c r="I258" s="2"/>
      <c r="J258" s="770"/>
      <c r="K258" s="2"/>
      <c r="L258" s="770"/>
      <c r="M258" s="2"/>
      <c r="N258" s="2"/>
      <c r="O258" s="2"/>
      <c r="P258" s="770"/>
      <c r="Q258" s="2"/>
      <c r="R258" s="770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770"/>
      <c r="E259" s="2"/>
      <c r="F259" s="770"/>
      <c r="G259" s="2"/>
      <c r="H259" s="2"/>
      <c r="I259" s="2"/>
      <c r="J259" s="770"/>
      <c r="K259" s="2"/>
      <c r="L259" s="770"/>
      <c r="M259" s="2"/>
      <c r="N259" s="2"/>
      <c r="O259" s="2"/>
      <c r="P259" s="770"/>
      <c r="Q259" s="2"/>
      <c r="R259" s="770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770"/>
      <c r="E260" s="2"/>
      <c r="F260" s="770"/>
      <c r="G260" s="2"/>
      <c r="H260" s="2"/>
      <c r="I260" s="2"/>
      <c r="J260" s="770"/>
      <c r="K260" s="2"/>
      <c r="L260" s="770"/>
      <c r="M260" s="2"/>
      <c r="N260" s="2"/>
      <c r="O260" s="2"/>
      <c r="P260" s="770"/>
      <c r="Q260" s="2"/>
      <c r="R260" s="770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770"/>
      <c r="E261" s="2"/>
      <c r="F261" s="770"/>
      <c r="G261" s="2"/>
      <c r="H261" s="2"/>
      <c r="I261" s="2"/>
      <c r="J261" s="770"/>
      <c r="K261" s="2"/>
      <c r="L261" s="770"/>
      <c r="M261" s="2"/>
      <c r="N261" s="2"/>
      <c r="O261" s="2"/>
      <c r="P261" s="770"/>
      <c r="Q261" s="2"/>
      <c r="R261" s="770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770"/>
      <c r="E262" s="2"/>
      <c r="F262" s="770"/>
      <c r="G262" s="2"/>
      <c r="H262" s="2"/>
      <c r="I262" s="2"/>
      <c r="J262" s="770"/>
      <c r="K262" s="2"/>
      <c r="L262" s="770"/>
      <c r="M262" s="2"/>
      <c r="N262" s="2"/>
      <c r="O262" s="2"/>
      <c r="P262" s="770"/>
      <c r="Q262" s="2"/>
      <c r="R262" s="770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770"/>
      <c r="E263" s="2"/>
      <c r="F263" s="770"/>
      <c r="G263" s="2"/>
      <c r="H263" s="2"/>
      <c r="I263" s="2"/>
      <c r="J263" s="770"/>
      <c r="K263" s="2"/>
      <c r="L263" s="770"/>
      <c r="M263" s="2"/>
      <c r="N263" s="2"/>
      <c r="O263" s="2"/>
      <c r="P263" s="770"/>
      <c r="Q263" s="2"/>
      <c r="R263" s="770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770"/>
      <c r="E264" s="2"/>
      <c r="F264" s="770"/>
      <c r="G264" s="2"/>
      <c r="H264" s="2"/>
      <c r="I264" s="2"/>
      <c r="J264" s="770"/>
      <c r="K264" s="2"/>
      <c r="L264" s="770"/>
      <c r="M264" s="2"/>
      <c r="N264" s="2"/>
      <c r="O264" s="2"/>
      <c r="P264" s="770"/>
      <c r="Q264" s="2"/>
      <c r="R264" s="770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770"/>
      <c r="E265" s="2"/>
      <c r="F265" s="770"/>
      <c r="G265" s="2"/>
      <c r="H265" s="2"/>
      <c r="I265" s="2"/>
      <c r="J265" s="770"/>
      <c r="K265" s="2"/>
      <c r="L265" s="770"/>
      <c r="M265" s="2"/>
      <c r="N265" s="2"/>
      <c r="O265" s="2"/>
      <c r="P265" s="770"/>
      <c r="Q265" s="2"/>
      <c r="R265" s="770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770"/>
      <c r="E266" s="2"/>
      <c r="F266" s="770"/>
      <c r="G266" s="2"/>
      <c r="H266" s="2"/>
      <c r="I266" s="2"/>
      <c r="J266" s="770"/>
      <c r="K266" s="2"/>
      <c r="L266" s="770"/>
      <c r="M266" s="2"/>
      <c r="N266" s="2"/>
      <c r="O266" s="2"/>
      <c r="P266" s="770"/>
      <c r="Q266" s="2"/>
      <c r="R266" s="770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770"/>
      <c r="E267" s="2"/>
      <c r="F267" s="770"/>
      <c r="G267" s="2"/>
      <c r="H267" s="2"/>
      <c r="I267" s="2"/>
      <c r="J267" s="770"/>
      <c r="K267" s="2"/>
      <c r="L267" s="770"/>
      <c r="M267" s="2"/>
      <c r="N267" s="2"/>
      <c r="O267" s="2"/>
      <c r="P267" s="770"/>
      <c r="Q267" s="2"/>
      <c r="R267" s="770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770"/>
      <c r="E268" s="2"/>
      <c r="F268" s="770"/>
      <c r="G268" s="2"/>
      <c r="H268" s="2"/>
      <c r="I268" s="2"/>
      <c r="J268" s="770"/>
      <c r="K268" s="2"/>
      <c r="L268" s="770"/>
      <c r="M268" s="2"/>
      <c r="N268" s="2"/>
      <c r="O268" s="2"/>
      <c r="P268" s="770"/>
      <c r="Q268" s="2"/>
      <c r="R268" s="770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770"/>
      <c r="E269" s="2"/>
      <c r="F269" s="770"/>
      <c r="G269" s="2"/>
      <c r="H269" s="2"/>
      <c r="I269" s="2"/>
      <c r="J269" s="770"/>
      <c r="K269" s="2"/>
      <c r="L269" s="770"/>
      <c r="M269" s="2"/>
      <c r="N269" s="2"/>
      <c r="O269" s="2"/>
      <c r="P269" s="770"/>
      <c r="Q269" s="2"/>
      <c r="R269" s="770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770"/>
      <c r="E270" s="2"/>
      <c r="F270" s="770"/>
      <c r="G270" s="2"/>
      <c r="H270" s="2"/>
      <c r="I270" s="2"/>
      <c r="J270" s="770"/>
      <c r="K270" s="2"/>
      <c r="L270" s="770"/>
      <c r="M270" s="2"/>
      <c r="N270" s="2"/>
      <c r="O270" s="2"/>
      <c r="P270" s="770"/>
      <c r="Q270" s="2"/>
      <c r="R270" s="770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770"/>
      <c r="E271" s="2"/>
      <c r="F271" s="770"/>
      <c r="G271" s="2"/>
      <c r="H271" s="2"/>
      <c r="I271" s="2"/>
      <c r="J271" s="770"/>
      <c r="K271" s="2"/>
      <c r="L271" s="770"/>
      <c r="M271" s="2"/>
      <c r="N271" s="2"/>
      <c r="O271" s="2"/>
      <c r="P271" s="770"/>
      <c r="Q271" s="2"/>
      <c r="R271" s="770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770"/>
      <c r="E272" s="2"/>
      <c r="F272" s="770"/>
      <c r="G272" s="2"/>
      <c r="H272" s="2"/>
      <c r="I272" s="2"/>
      <c r="J272" s="770"/>
      <c r="K272" s="2"/>
      <c r="L272" s="770"/>
      <c r="M272" s="2"/>
      <c r="N272" s="2"/>
      <c r="O272" s="2"/>
      <c r="P272" s="770"/>
      <c r="Q272" s="2"/>
      <c r="R272" s="770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770"/>
      <c r="E273" s="2"/>
      <c r="F273" s="770"/>
      <c r="G273" s="2"/>
      <c r="H273" s="2"/>
      <c r="I273" s="2"/>
      <c r="J273" s="770"/>
      <c r="K273" s="2"/>
      <c r="L273" s="770"/>
      <c r="M273" s="2"/>
      <c r="N273" s="2"/>
      <c r="O273" s="2"/>
      <c r="P273" s="770"/>
      <c r="Q273" s="2"/>
      <c r="R273" s="770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770"/>
      <c r="E274" s="2"/>
      <c r="F274" s="770"/>
      <c r="G274" s="2"/>
      <c r="H274" s="2"/>
      <c r="I274" s="2"/>
      <c r="J274" s="770"/>
      <c r="K274" s="2"/>
      <c r="L274" s="770"/>
      <c r="M274" s="2"/>
      <c r="N274" s="2"/>
      <c r="O274" s="2"/>
      <c r="P274" s="770"/>
      <c r="Q274" s="2"/>
      <c r="R274" s="770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770"/>
      <c r="E275" s="2"/>
      <c r="F275" s="770"/>
      <c r="G275" s="2"/>
      <c r="H275" s="2"/>
      <c r="I275" s="2"/>
      <c r="J275" s="770"/>
      <c r="K275" s="2"/>
      <c r="L275" s="770"/>
      <c r="M275" s="2"/>
      <c r="N275" s="2"/>
      <c r="O275" s="2"/>
      <c r="P275" s="770"/>
      <c r="Q275" s="2"/>
      <c r="R275" s="770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770"/>
      <c r="E276" s="2"/>
      <c r="F276" s="770"/>
      <c r="G276" s="2"/>
      <c r="H276" s="2"/>
      <c r="I276" s="2"/>
      <c r="J276" s="770"/>
      <c r="K276" s="2"/>
      <c r="L276" s="770"/>
      <c r="M276" s="2"/>
      <c r="N276" s="2"/>
      <c r="O276" s="2"/>
      <c r="P276" s="770"/>
      <c r="Q276" s="2"/>
      <c r="R276" s="770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770"/>
      <c r="E277" s="2"/>
      <c r="F277" s="770"/>
      <c r="G277" s="2"/>
      <c r="H277" s="2"/>
      <c r="I277" s="2"/>
      <c r="J277" s="770"/>
      <c r="K277" s="2"/>
      <c r="L277" s="770"/>
      <c r="M277" s="2"/>
      <c r="N277" s="2"/>
      <c r="O277" s="2"/>
      <c r="P277" s="770"/>
      <c r="Q277" s="2"/>
      <c r="R277" s="770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770"/>
      <c r="E278" s="2"/>
      <c r="F278" s="770"/>
      <c r="G278" s="2"/>
      <c r="H278" s="2"/>
      <c r="I278" s="2"/>
      <c r="J278" s="770"/>
      <c r="K278" s="2"/>
      <c r="L278" s="770"/>
      <c r="M278" s="2"/>
      <c r="N278" s="2"/>
      <c r="O278" s="2"/>
      <c r="P278" s="770"/>
      <c r="Q278" s="2"/>
      <c r="R278" s="770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770"/>
      <c r="E279" s="2"/>
      <c r="F279" s="770"/>
      <c r="G279" s="2"/>
      <c r="H279" s="2"/>
      <c r="I279" s="2"/>
      <c r="J279" s="770"/>
      <c r="K279" s="2"/>
      <c r="L279" s="770"/>
      <c r="M279" s="2"/>
      <c r="N279" s="2"/>
      <c r="O279" s="2"/>
      <c r="P279" s="770"/>
      <c r="Q279" s="2"/>
      <c r="R279" s="770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770"/>
      <c r="E280" s="2"/>
      <c r="F280" s="770"/>
      <c r="G280" s="2"/>
      <c r="H280" s="2"/>
      <c r="I280" s="2"/>
      <c r="J280" s="770"/>
      <c r="K280" s="2"/>
      <c r="L280" s="770"/>
      <c r="M280" s="2"/>
      <c r="N280" s="2"/>
      <c r="O280" s="2"/>
      <c r="P280" s="770"/>
      <c r="Q280" s="2"/>
      <c r="R280" s="770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770"/>
      <c r="E281" s="2"/>
      <c r="F281" s="770"/>
      <c r="G281" s="2"/>
      <c r="H281" s="2"/>
      <c r="I281" s="2"/>
      <c r="J281" s="770"/>
      <c r="K281" s="2"/>
      <c r="L281" s="770"/>
      <c r="M281" s="2"/>
      <c r="N281" s="2"/>
      <c r="O281" s="2"/>
      <c r="P281" s="770"/>
      <c r="Q281" s="2"/>
      <c r="R281" s="770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770"/>
      <c r="E282" s="2"/>
      <c r="F282" s="770"/>
      <c r="G282" s="2"/>
      <c r="H282" s="2"/>
      <c r="I282" s="2"/>
      <c r="J282" s="770"/>
      <c r="K282" s="2"/>
      <c r="L282" s="770"/>
      <c r="M282" s="2"/>
      <c r="N282" s="2"/>
      <c r="O282" s="2"/>
      <c r="P282" s="770"/>
      <c r="Q282" s="2"/>
      <c r="R282" s="770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770"/>
      <c r="E283" s="2"/>
      <c r="F283" s="770"/>
      <c r="G283" s="2"/>
      <c r="H283" s="2"/>
      <c r="I283" s="2"/>
      <c r="J283" s="770"/>
      <c r="K283" s="2"/>
      <c r="L283" s="770"/>
      <c r="M283" s="2"/>
      <c r="N283" s="2"/>
      <c r="O283" s="2"/>
      <c r="P283" s="770"/>
      <c r="Q283" s="2"/>
      <c r="R283" s="770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770"/>
      <c r="E284" s="2"/>
      <c r="F284" s="770"/>
      <c r="G284" s="2"/>
      <c r="H284" s="2"/>
      <c r="I284" s="2"/>
      <c r="J284" s="770"/>
      <c r="K284" s="2"/>
      <c r="L284" s="770"/>
      <c r="M284" s="2"/>
      <c r="N284" s="2"/>
      <c r="O284" s="2"/>
      <c r="P284" s="770"/>
      <c r="Q284" s="2"/>
      <c r="R284" s="770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770"/>
      <c r="E285" s="2"/>
      <c r="F285" s="770"/>
      <c r="G285" s="2"/>
      <c r="H285" s="2"/>
      <c r="I285" s="2"/>
      <c r="J285" s="770"/>
      <c r="K285" s="2"/>
      <c r="L285" s="770"/>
      <c r="M285" s="2"/>
      <c r="N285" s="2"/>
      <c r="O285" s="2"/>
      <c r="P285" s="770"/>
      <c r="Q285" s="2"/>
      <c r="R285" s="770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770"/>
      <c r="E286" s="2"/>
      <c r="F286" s="770"/>
      <c r="G286" s="2"/>
      <c r="H286" s="2"/>
      <c r="I286" s="2"/>
      <c r="J286" s="770"/>
      <c r="K286" s="2"/>
      <c r="L286" s="770"/>
      <c r="M286" s="2"/>
      <c r="N286" s="2"/>
      <c r="O286" s="2"/>
      <c r="P286" s="770"/>
      <c r="Q286" s="2"/>
      <c r="R286" s="770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770"/>
      <c r="E287" s="2"/>
      <c r="F287" s="770"/>
      <c r="G287" s="2"/>
      <c r="H287" s="2"/>
      <c r="I287" s="2"/>
      <c r="J287" s="770"/>
      <c r="K287" s="2"/>
      <c r="L287" s="770"/>
      <c r="M287" s="2"/>
      <c r="N287" s="2"/>
      <c r="O287" s="2"/>
      <c r="P287" s="770"/>
      <c r="Q287" s="2"/>
      <c r="R287" s="770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770"/>
      <c r="E288" s="2"/>
      <c r="F288" s="770"/>
      <c r="G288" s="2"/>
      <c r="H288" s="2"/>
      <c r="I288" s="2"/>
      <c r="J288" s="770"/>
      <c r="K288" s="2"/>
      <c r="L288" s="770"/>
      <c r="M288" s="2"/>
      <c r="N288" s="2"/>
      <c r="O288" s="2"/>
      <c r="P288" s="770"/>
      <c r="Q288" s="2"/>
      <c r="R288" s="770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770"/>
      <c r="E289" s="2"/>
      <c r="F289" s="770"/>
      <c r="G289" s="2"/>
      <c r="H289" s="2"/>
      <c r="I289" s="2"/>
      <c r="J289" s="770"/>
      <c r="K289" s="2"/>
      <c r="L289" s="770"/>
      <c r="M289" s="2"/>
      <c r="N289" s="2"/>
      <c r="O289" s="2"/>
      <c r="P289" s="770"/>
      <c r="Q289" s="2"/>
      <c r="R289" s="770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770"/>
      <c r="E290" s="2"/>
      <c r="F290" s="770"/>
      <c r="G290" s="2"/>
      <c r="H290" s="2"/>
      <c r="I290" s="2"/>
      <c r="J290" s="770"/>
      <c r="K290" s="2"/>
      <c r="L290" s="770"/>
      <c r="M290" s="2"/>
      <c r="N290" s="2"/>
      <c r="O290" s="2"/>
      <c r="P290" s="770"/>
      <c r="Q290" s="2"/>
      <c r="R290" s="770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770"/>
      <c r="E291" s="2"/>
      <c r="F291" s="770"/>
      <c r="G291" s="2"/>
      <c r="H291" s="2"/>
      <c r="I291" s="2"/>
      <c r="J291" s="770"/>
      <c r="K291" s="2"/>
      <c r="L291" s="770"/>
      <c r="M291" s="2"/>
      <c r="N291" s="2"/>
      <c r="O291" s="2"/>
      <c r="P291" s="770"/>
      <c r="Q291" s="2"/>
      <c r="R291" s="770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770"/>
      <c r="E292" s="2"/>
      <c r="F292" s="770"/>
      <c r="G292" s="2"/>
      <c r="H292" s="2"/>
      <c r="I292" s="2"/>
      <c r="J292" s="770"/>
      <c r="K292" s="2"/>
      <c r="L292" s="770"/>
      <c r="M292" s="2"/>
      <c r="N292" s="2"/>
      <c r="O292" s="2"/>
      <c r="P292" s="770"/>
      <c r="Q292" s="2"/>
      <c r="R292" s="770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770"/>
      <c r="E293" s="2"/>
      <c r="F293" s="770"/>
      <c r="G293" s="2"/>
      <c r="H293" s="2"/>
      <c r="I293" s="2"/>
      <c r="J293" s="770"/>
      <c r="K293" s="2"/>
      <c r="L293" s="770"/>
      <c r="M293" s="2"/>
      <c r="N293" s="2"/>
      <c r="O293" s="2"/>
      <c r="P293" s="770"/>
      <c r="Q293" s="2"/>
      <c r="R293" s="770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770"/>
      <c r="E294" s="2"/>
      <c r="F294" s="770"/>
      <c r="G294" s="2"/>
      <c r="H294" s="2"/>
      <c r="I294" s="2"/>
      <c r="J294" s="770"/>
      <c r="K294" s="2"/>
      <c r="L294" s="770"/>
      <c r="M294" s="2"/>
      <c r="N294" s="2"/>
      <c r="O294" s="2"/>
      <c r="P294" s="770"/>
      <c r="Q294" s="2"/>
      <c r="R294" s="770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770"/>
      <c r="E295" s="2"/>
      <c r="F295" s="770"/>
      <c r="G295" s="2"/>
      <c r="H295" s="2"/>
      <c r="I295" s="2"/>
      <c r="J295" s="770"/>
      <c r="K295" s="2"/>
      <c r="L295" s="770"/>
      <c r="M295" s="2"/>
      <c r="N295" s="2"/>
      <c r="O295" s="2"/>
      <c r="P295" s="770"/>
      <c r="Q295" s="2"/>
      <c r="R295" s="770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770"/>
      <c r="E296" s="2"/>
      <c r="F296" s="770"/>
      <c r="G296" s="2"/>
      <c r="H296" s="2"/>
      <c r="I296" s="2"/>
      <c r="J296" s="770"/>
      <c r="K296" s="2"/>
      <c r="L296" s="770"/>
      <c r="M296" s="2"/>
      <c r="N296" s="2"/>
      <c r="O296" s="2"/>
      <c r="P296" s="770"/>
      <c r="Q296" s="2"/>
      <c r="R296" s="770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770"/>
      <c r="E297" s="2"/>
      <c r="F297" s="770"/>
      <c r="G297" s="2"/>
      <c r="H297" s="2"/>
      <c r="I297" s="2"/>
      <c r="J297" s="770"/>
      <c r="K297" s="2"/>
      <c r="L297" s="770"/>
      <c r="M297" s="2"/>
      <c r="N297" s="2"/>
      <c r="O297" s="2"/>
      <c r="P297" s="770"/>
      <c r="Q297" s="2"/>
      <c r="R297" s="770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770"/>
      <c r="E298" s="2"/>
      <c r="F298" s="770"/>
      <c r="G298" s="2"/>
      <c r="H298" s="2"/>
      <c r="I298" s="2"/>
      <c r="J298" s="770"/>
      <c r="K298" s="2"/>
      <c r="L298" s="770"/>
      <c r="M298" s="2"/>
      <c r="N298" s="2"/>
      <c r="O298" s="2"/>
      <c r="P298" s="770"/>
      <c r="Q298" s="2"/>
      <c r="R298" s="770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770"/>
      <c r="E299" s="2"/>
      <c r="F299" s="770"/>
      <c r="G299" s="2"/>
      <c r="H299" s="2"/>
      <c r="I299" s="2"/>
      <c r="J299" s="770"/>
      <c r="K299" s="2"/>
      <c r="L299" s="770"/>
      <c r="M299" s="2"/>
      <c r="N299" s="2"/>
      <c r="O299" s="2"/>
      <c r="P299" s="770"/>
      <c r="Q299" s="2"/>
      <c r="R299" s="770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770"/>
      <c r="E300" s="2"/>
      <c r="F300" s="770"/>
      <c r="G300" s="2"/>
      <c r="H300" s="2"/>
      <c r="I300" s="2"/>
      <c r="J300" s="770"/>
      <c r="K300" s="2"/>
      <c r="L300" s="770"/>
      <c r="M300" s="2"/>
      <c r="N300" s="2"/>
      <c r="O300" s="2"/>
      <c r="P300" s="770"/>
      <c r="Q300" s="2"/>
      <c r="R300" s="770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770"/>
      <c r="E301" s="2"/>
      <c r="F301" s="770"/>
      <c r="G301" s="2"/>
      <c r="H301" s="2"/>
      <c r="I301" s="2"/>
      <c r="J301" s="770"/>
      <c r="K301" s="2"/>
      <c r="L301" s="770"/>
      <c r="M301" s="2"/>
      <c r="N301" s="2"/>
      <c r="O301" s="2"/>
      <c r="P301" s="770"/>
      <c r="Q301" s="2"/>
      <c r="R301" s="770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770"/>
      <c r="E302" s="2"/>
      <c r="F302" s="770"/>
      <c r="G302" s="2"/>
      <c r="H302" s="2"/>
      <c r="I302" s="2"/>
      <c r="J302" s="770"/>
      <c r="K302" s="2"/>
      <c r="L302" s="770"/>
      <c r="M302" s="2"/>
      <c r="N302" s="2"/>
      <c r="O302" s="2"/>
      <c r="P302" s="770"/>
      <c r="Q302" s="2"/>
      <c r="R302" s="770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770"/>
      <c r="E303" s="2"/>
      <c r="F303" s="770"/>
      <c r="G303" s="2"/>
      <c r="H303" s="2"/>
      <c r="I303" s="2"/>
      <c r="J303" s="770"/>
      <c r="K303" s="2"/>
      <c r="L303" s="770"/>
      <c r="M303" s="2"/>
      <c r="N303" s="2"/>
      <c r="O303" s="2"/>
      <c r="P303" s="770"/>
      <c r="Q303" s="2"/>
      <c r="R303" s="770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770"/>
      <c r="E304" s="2"/>
      <c r="F304" s="770"/>
      <c r="G304" s="2"/>
      <c r="H304" s="2"/>
      <c r="I304" s="2"/>
      <c r="J304" s="770"/>
      <c r="K304" s="2"/>
      <c r="L304" s="770"/>
      <c r="M304" s="2"/>
      <c r="N304" s="2"/>
      <c r="O304" s="2"/>
      <c r="P304" s="770"/>
      <c r="Q304" s="2"/>
      <c r="R304" s="770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770"/>
      <c r="E305" s="2"/>
      <c r="F305" s="770"/>
      <c r="G305" s="2"/>
      <c r="H305" s="2"/>
      <c r="I305" s="2"/>
      <c r="J305" s="770"/>
      <c r="K305" s="2"/>
      <c r="L305" s="770"/>
      <c r="M305" s="2"/>
      <c r="N305" s="2"/>
      <c r="O305" s="2"/>
      <c r="P305" s="770"/>
      <c r="Q305" s="2"/>
      <c r="R305" s="770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770"/>
      <c r="E306" s="2"/>
      <c r="F306" s="770"/>
      <c r="G306" s="2"/>
      <c r="H306" s="2"/>
      <c r="I306" s="2"/>
      <c r="J306" s="770"/>
      <c r="K306" s="2"/>
      <c r="L306" s="770"/>
      <c r="M306" s="2"/>
      <c r="N306" s="2"/>
      <c r="O306" s="2"/>
      <c r="P306" s="770"/>
      <c r="Q306" s="2"/>
      <c r="R306" s="770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770"/>
      <c r="E307" s="2"/>
      <c r="F307" s="770"/>
      <c r="G307" s="2"/>
      <c r="H307" s="2"/>
      <c r="I307" s="2"/>
      <c r="J307" s="770"/>
      <c r="K307" s="2"/>
      <c r="L307" s="770"/>
      <c r="M307" s="2"/>
      <c r="N307" s="2"/>
      <c r="O307" s="2"/>
      <c r="P307" s="770"/>
      <c r="Q307" s="2"/>
      <c r="R307" s="770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770"/>
      <c r="E308" s="2"/>
      <c r="F308" s="770"/>
      <c r="G308" s="2"/>
      <c r="H308" s="2"/>
      <c r="I308" s="2"/>
      <c r="J308" s="770"/>
      <c r="K308" s="2"/>
      <c r="L308" s="770"/>
      <c r="M308" s="2"/>
      <c r="N308" s="2"/>
      <c r="O308" s="2"/>
      <c r="P308" s="770"/>
      <c r="Q308" s="2"/>
      <c r="R308" s="770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770"/>
      <c r="E309" s="2"/>
      <c r="F309" s="770"/>
      <c r="G309" s="2"/>
      <c r="H309" s="2"/>
      <c r="I309" s="2"/>
      <c r="J309" s="770"/>
      <c r="K309" s="2"/>
      <c r="L309" s="770"/>
      <c r="M309" s="2"/>
      <c r="N309" s="2"/>
      <c r="O309" s="2"/>
      <c r="P309" s="770"/>
      <c r="Q309" s="2"/>
      <c r="R309" s="770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770"/>
      <c r="E310" s="2"/>
      <c r="F310" s="770"/>
      <c r="G310" s="2"/>
      <c r="H310" s="2"/>
      <c r="I310" s="2"/>
      <c r="J310" s="770"/>
      <c r="K310" s="2"/>
      <c r="L310" s="770"/>
      <c r="M310" s="2"/>
      <c r="N310" s="2"/>
      <c r="O310" s="2"/>
      <c r="P310" s="770"/>
      <c r="Q310" s="2"/>
      <c r="R310" s="770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770"/>
      <c r="E311" s="2"/>
      <c r="F311" s="770"/>
      <c r="G311" s="2"/>
      <c r="H311" s="2"/>
      <c r="I311" s="2"/>
      <c r="J311" s="770"/>
      <c r="K311" s="2"/>
      <c r="L311" s="770"/>
      <c r="M311" s="2"/>
      <c r="N311" s="2"/>
      <c r="O311" s="2"/>
      <c r="P311" s="770"/>
      <c r="Q311" s="2"/>
      <c r="R311" s="770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770"/>
      <c r="E312" s="2"/>
      <c r="F312" s="770"/>
      <c r="G312" s="2"/>
      <c r="H312" s="2"/>
      <c r="I312" s="2"/>
      <c r="J312" s="770"/>
      <c r="K312" s="2"/>
      <c r="L312" s="770"/>
      <c r="M312" s="2"/>
      <c r="N312" s="2"/>
      <c r="O312" s="2"/>
      <c r="P312" s="770"/>
      <c r="Q312" s="2"/>
      <c r="R312" s="770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770"/>
      <c r="E313" s="2"/>
      <c r="F313" s="770"/>
      <c r="G313" s="2"/>
      <c r="H313" s="2"/>
      <c r="I313" s="2"/>
      <c r="J313" s="770"/>
      <c r="K313" s="2"/>
      <c r="L313" s="770"/>
      <c r="M313" s="2"/>
      <c r="N313" s="2"/>
      <c r="O313" s="2"/>
      <c r="P313" s="770"/>
      <c r="Q313" s="2"/>
      <c r="R313" s="770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770"/>
      <c r="E314" s="2"/>
      <c r="F314" s="770"/>
      <c r="G314" s="2"/>
      <c r="H314" s="2"/>
      <c r="I314" s="2"/>
      <c r="J314" s="770"/>
      <c r="K314" s="2"/>
      <c r="L314" s="770"/>
      <c r="M314" s="2"/>
      <c r="N314" s="2"/>
      <c r="O314" s="2"/>
      <c r="P314" s="770"/>
      <c r="Q314" s="2"/>
      <c r="R314" s="770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770"/>
      <c r="E315" s="2"/>
      <c r="F315" s="770"/>
      <c r="G315" s="2"/>
      <c r="H315" s="2"/>
      <c r="I315" s="2"/>
      <c r="J315" s="770"/>
      <c r="K315" s="2"/>
      <c r="L315" s="770"/>
      <c r="M315" s="2"/>
      <c r="N315" s="2"/>
      <c r="O315" s="2"/>
      <c r="P315" s="770"/>
      <c r="Q315" s="2"/>
      <c r="R315" s="770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770"/>
      <c r="E316" s="2"/>
      <c r="F316" s="770"/>
      <c r="G316" s="2"/>
      <c r="H316" s="2"/>
      <c r="I316" s="2"/>
      <c r="J316" s="770"/>
      <c r="K316" s="2"/>
      <c r="L316" s="770"/>
      <c r="M316" s="2"/>
      <c r="N316" s="2"/>
      <c r="O316" s="2"/>
      <c r="P316" s="770"/>
      <c r="Q316" s="2"/>
      <c r="R316" s="770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770"/>
      <c r="E317" s="2"/>
      <c r="F317" s="770"/>
      <c r="G317" s="2"/>
      <c r="H317" s="2"/>
      <c r="I317" s="2"/>
      <c r="J317" s="770"/>
      <c r="K317" s="2"/>
      <c r="L317" s="770"/>
      <c r="M317" s="2"/>
      <c r="N317" s="2"/>
      <c r="O317" s="2"/>
      <c r="P317" s="770"/>
      <c r="Q317" s="2"/>
      <c r="R317" s="770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770"/>
      <c r="E318" s="2"/>
      <c r="F318" s="770"/>
      <c r="G318" s="2"/>
      <c r="H318" s="2"/>
      <c r="I318" s="2"/>
      <c r="J318" s="770"/>
      <c r="K318" s="2"/>
      <c r="L318" s="770"/>
      <c r="M318" s="2"/>
      <c r="N318" s="2"/>
      <c r="O318" s="2"/>
      <c r="P318" s="770"/>
      <c r="Q318" s="2"/>
      <c r="R318" s="770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770"/>
      <c r="E319" s="2"/>
      <c r="F319" s="770"/>
      <c r="G319" s="2"/>
      <c r="H319" s="2"/>
      <c r="I319" s="2"/>
      <c r="J319" s="770"/>
      <c r="K319" s="2"/>
      <c r="L319" s="770"/>
      <c r="M319" s="2"/>
      <c r="N319" s="2"/>
      <c r="O319" s="2"/>
      <c r="P319" s="770"/>
      <c r="Q319" s="2"/>
      <c r="R319" s="770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770"/>
      <c r="E320" s="2"/>
      <c r="F320" s="770"/>
      <c r="G320" s="2"/>
      <c r="H320" s="2"/>
      <c r="I320" s="2"/>
      <c r="J320" s="770"/>
      <c r="K320" s="2"/>
      <c r="L320" s="770"/>
      <c r="M320" s="2"/>
      <c r="N320" s="2"/>
      <c r="O320" s="2"/>
      <c r="P320" s="770"/>
      <c r="Q320" s="2"/>
      <c r="R320" s="770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770"/>
      <c r="E321" s="2"/>
      <c r="F321" s="770"/>
      <c r="G321" s="2"/>
      <c r="H321" s="2"/>
      <c r="I321" s="2"/>
      <c r="J321" s="770"/>
      <c r="K321" s="2"/>
      <c r="L321" s="770"/>
      <c r="M321" s="2"/>
      <c r="N321" s="2"/>
      <c r="O321" s="2"/>
      <c r="P321" s="770"/>
      <c r="Q321" s="2"/>
      <c r="R321" s="770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770"/>
      <c r="E322" s="2"/>
      <c r="F322" s="770"/>
      <c r="G322" s="2"/>
      <c r="H322" s="2"/>
      <c r="I322" s="2"/>
      <c r="J322" s="770"/>
      <c r="K322" s="2"/>
      <c r="L322" s="770"/>
      <c r="M322" s="2"/>
      <c r="N322" s="2"/>
      <c r="O322" s="2"/>
      <c r="P322" s="770"/>
      <c r="Q322" s="2"/>
      <c r="R322" s="770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770"/>
      <c r="E323" s="2"/>
      <c r="F323" s="770"/>
      <c r="G323" s="2"/>
      <c r="H323" s="2"/>
      <c r="I323" s="2"/>
      <c r="J323" s="770"/>
      <c r="K323" s="2"/>
      <c r="L323" s="770"/>
      <c r="M323" s="2"/>
      <c r="N323" s="2"/>
      <c r="O323" s="2"/>
      <c r="P323" s="770"/>
      <c r="Q323" s="2"/>
      <c r="R323" s="770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770"/>
      <c r="E324" s="2"/>
      <c r="F324" s="770"/>
      <c r="G324" s="2"/>
      <c r="H324" s="2"/>
      <c r="I324" s="2"/>
      <c r="J324" s="770"/>
      <c r="K324" s="2"/>
      <c r="L324" s="770"/>
      <c r="M324" s="2"/>
      <c r="N324" s="2"/>
      <c r="O324" s="2"/>
      <c r="P324" s="770"/>
      <c r="Q324" s="2"/>
      <c r="R324" s="770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770"/>
      <c r="E325" s="2"/>
      <c r="F325" s="770"/>
      <c r="G325" s="2"/>
      <c r="H325" s="2"/>
      <c r="I325" s="2"/>
      <c r="J325" s="770"/>
      <c r="K325" s="2"/>
      <c r="L325" s="770"/>
      <c r="M325" s="2"/>
      <c r="N325" s="2"/>
      <c r="O325" s="2"/>
      <c r="P325" s="770"/>
      <c r="Q325" s="2"/>
      <c r="R325" s="770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770"/>
      <c r="E326" s="2"/>
      <c r="F326" s="770"/>
      <c r="G326" s="2"/>
      <c r="H326" s="2"/>
      <c r="I326" s="2"/>
      <c r="J326" s="770"/>
      <c r="K326" s="2"/>
      <c r="L326" s="770"/>
      <c r="M326" s="2"/>
      <c r="N326" s="2"/>
      <c r="O326" s="2"/>
      <c r="P326" s="770"/>
      <c r="Q326" s="2"/>
      <c r="R326" s="770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770"/>
      <c r="E327" s="2"/>
      <c r="F327" s="770"/>
      <c r="G327" s="2"/>
      <c r="H327" s="2"/>
      <c r="I327" s="2"/>
      <c r="J327" s="770"/>
      <c r="K327" s="2"/>
      <c r="L327" s="770"/>
      <c r="M327" s="2"/>
      <c r="N327" s="2"/>
      <c r="O327" s="2"/>
      <c r="P327" s="770"/>
      <c r="Q327" s="2"/>
      <c r="R327" s="770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770"/>
      <c r="E328" s="2"/>
      <c r="F328" s="770"/>
      <c r="G328" s="2"/>
      <c r="H328" s="2"/>
      <c r="I328" s="2"/>
      <c r="J328" s="770"/>
      <c r="K328" s="2"/>
      <c r="L328" s="770"/>
      <c r="M328" s="2"/>
      <c r="N328" s="2"/>
      <c r="O328" s="2"/>
      <c r="P328" s="770"/>
      <c r="Q328" s="2"/>
      <c r="R328" s="770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770"/>
      <c r="E329" s="2"/>
      <c r="F329" s="770"/>
      <c r="G329" s="2"/>
      <c r="H329" s="2"/>
      <c r="I329" s="2"/>
      <c r="J329" s="770"/>
      <c r="K329" s="2"/>
      <c r="L329" s="770"/>
      <c r="M329" s="2"/>
      <c r="N329" s="2"/>
      <c r="O329" s="2"/>
      <c r="P329" s="770"/>
      <c r="Q329" s="2"/>
      <c r="R329" s="770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770"/>
      <c r="E330" s="2"/>
      <c r="F330" s="770"/>
      <c r="G330" s="2"/>
      <c r="H330" s="2"/>
      <c r="I330" s="2"/>
      <c r="J330" s="770"/>
      <c r="K330" s="2"/>
      <c r="L330" s="770"/>
      <c r="M330" s="2"/>
      <c r="N330" s="2"/>
      <c r="O330" s="2"/>
      <c r="P330" s="770"/>
      <c r="Q330" s="2"/>
      <c r="R330" s="770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770"/>
      <c r="E331" s="2"/>
      <c r="F331" s="770"/>
      <c r="G331" s="2"/>
      <c r="H331" s="2"/>
      <c r="I331" s="2"/>
      <c r="J331" s="770"/>
      <c r="K331" s="2"/>
      <c r="L331" s="770"/>
      <c r="M331" s="2"/>
      <c r="N331" s="2"/>
      <c r="O331" s="2"/>
      <c r="P331" s="770"/>
      <c r="Q331" s="2"/>
      <c r="R331" s="770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770"/>
      <c r="E332" s="2"/>
      <c r="F332" s="770"/>
      <c r="G332" s="2"/>
      <c r="H332" s="2"/>
      <c r="I332" s="2"/>
      <c r="J332" s="770"/>
      <c r="K332" s="2"/>
      <c r="L332" s="770"/>
      <c r="M332" s="2"/>
      <c r="N332" s="2"/>
      <c r="O332" s="2"/>
      <c r="P332" s="770"/>
      <c r="Q332" s="2"/>
      <c r="R332" s="770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770"/>
      <c r="E333" s="2"/>
      <c r="F333" s="770"/>
      <c r="G333" s="2"/>
      <c r="H333" s="2"/>
      <c r="I333" s="2"/>
      <c r="J333" s="770"/>
      <c r="K333" s="2"/>
      <c r="L333" s="770"/>
      <c r="M333" s="2"/>
      <c r="N333" s="2"/>
      <c r="O333" s="2"/>
      <c r="P333" s="770"/>
      <c r="Q333" s="2"/>
      <c r="R333" s="770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770"/>
      <c r="E334" s="2"/>
      <c r="F334" s="770"/>
      <c r="G334" s="2"/>
      <c r="H334" s="2"/>
      <c r="I334" s="2"/>
      <c r="J334" s="770"/>
      <c r="K334" s="2"/>
      <c r="L334" s="770"/>
      <c r="M334" s="2"/>
      <c r="N334" s="2"/>
      <c r="O334" s="2"/>
      <c r="P334" s="770"/>
      <c r="Q334" s="2"/>
      <c r="R334" s="770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770"/>
      <c r="E335" s="2"/>
      <c r="F335" s="770"/>
      <c r="G335" s="2"/>
      <c r="H335" s="2"/>
      <c r="I335" s="2"/>
      <c r="J335" s="770"/>
      <c r="K335" s="2"/>
      <c r="L335" s="770"/>
      <c r="M335" s="2"/>
      <c r="N335" s="2"/>
      <c r="O335" s="2"/>
      <c r="P335" s="770"/>
      <c r="Q335" s="2"/>
      <c r="R335" s="770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770"/>
      <c r="E336" s="2"/>
      <c r="F336" s="770"/>
      <c r="G336" s="2"/>
      <c r="H336" s="2"/>
      <c r="I336" s="2"/>
      <c r="J336" s="770"/>
      <c r="K336" s="2"/>
      <c r="L336" s="770"/>
      <c r="M336" s="2"/>
      <c r="N336" s="2"/>
      <c r="O336" s="2"/>
      <c r="P336" s="770"/>
      <c r="Q336" s="2"/>
      <c r="R336" s="770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4:B5"/>
    <mergeCell ref="C4:C5"/>
    <mergeCell ref="D4:I4"/>
    <mergeCell ref="J4:O4"/>
    <mergeCell ref="P4:U4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38"/>
    <col customWidth="1" min="4" max="4" width="12.63"/>
    <col customWidth="1" hidden="1" min="5" max="5" width="9.63"/>
    <col customWidth="1" hidden="1" min="6" max="6" width="13.38"/>
    <col customWidth="1" hidden="1" min="7" max="7" width="8.88"/>
    <col customWidth="1" hidden="1" min="8" max="8" width="11.88"/>
    <col customWidth="1" hidden="1" min="9" max="9" width="13.0"/>
    <col customWidth="1" min="10" max="10" width="12.63"/>
    <col customWidth="1" hidden="1" min="11" max="11" width="9.63"/>
    <col customWidth="1" hidden="1" min="12" max="12" width="13.38"/>
    <col customWidth="1" hidden="1" min="13" max="13" width="8.88"/>
    <col customWidth="1" hidden="1" min="14" max="14" width="11.88"/>
    <col customWidth="1" hidden="1" min="15" max="15" width="13.0"/>
    <col customWidth="1" min="16" max="16" width="11.25"/>
    <col customWidth="1" hidden="1" min="17" max="17" width="9.63"/>
    <col customWidth="1" hidden="1" min="18" max="18" width="13.38"/>
    <col customWidth="1" hidden="1" min="19" max="19" width="8.88"/>
    <col customWidth="1" hidden="1" min="20" max="20" width="11.88"/>
    <col customWidth="1" hidden="1" min="21" max="21" width="13.0"/>
  </cols>
  <sheetData>
    <row r="1" ht="15.75" customHeight="1">
      <c r="A1" s="425"/>
      <c r="B1" s="426" t="s">
        <v>0</v>
      </c>
      <c r="C1" s="425"/>
      <c r="D1" s="425"/>
      <c r="E1" s="860"/>
      <c r="F1" s="425"/>
      <c r="G1" s="425"/>
      <c r="H1" s="425"/>
      <c r="I1" s="425"/>
      <c r="J1" s="425"/>
      <c r="K1" s="860"/>
      <c r="L1" s="425"/>
      <c r="M1" s="425"/>
      <c r="N1" s="425"/>
      <c r="O1" s="425"/>
      <c r="P1" s="425"/>
      <c r="Q1" s="860"/>
      <c r="R1" s="425"/>
      <c r="S1" s="425"/>
      <c r="T1" s="425"/>
      <c r="U1" s="425"/>
    </row>
    <row r="2" ht="15.75" customHeight="1">
      <c r="A2" s="425"/>
      <c r="B2" s="427" t="s">
        <v>328</v>
      </c>
      <c r="C2" s="425"/>
      <c r="D2" s="425"/>
      <c r="E2" s="860"/>
      <c r="F2" s="425"/>
      <c r="G2" s="425"/>
      <c r="H2" s="425"/>
      <c r="I2" s="425"/>
      <c r="J2" s="425"/>
      <c r="K2" s="860"/>
      <c r="L2" s="425"/>
      <c r="M2" s="425"/>
      <c r="N2" s="425"/>
      <c r="O2" s="425"/>
      <c r="P2" s="425"/>
      <c r="Q2" s="860"/>
      <c r="R2" s="425"/>
      <c r="S2" s="425"/>
      <c r="T2" s="425"/>
      <c r="U2" s="425"/>
    </row>
    <row r="3" ht="15.75" customHeight="1">
      <c r="A3" s="425"/>
      <c r="B3" s="425"/>
      <c r="C3" s="425"/>
      <c r="D3" s="425"/>
      <c r="E3" s="860"/>
      <c r="F3" s="425"/>
      <c r="G3" s="425"/>
      <c r="H3" s="425"/>
      <c r="I3" s="425"/>
      <c r="J3" s="425"/>
      <c r="K3" s="860"/>
      <c r="L3" s="425"/>
      <c r="M3" s="425"/>
      <c r="N3" s="425"/>
      <c r="O3" s="425"/>
      <c r="P3" s="425"/>
      <c r="Q3" s="860"/>
      <c r="R3" s="425"/>
      <c r="S3" s="425"/>
      <c r="T3" s="425"/>
      <c r="U3" s="425"/>
    </row>
    <row r="4" ht="15.75" customHeight="1">
      <c r="A4" s="425"/>
      <c r="B4" s="428" t="s">
        <v>165</v>
      </c>
      <c r="C4" s="428" t="s">
        <v>166</v>
      </c>
      <c r="D4" s="861" t="s">
        <v>167</v>
      </c>
      <c r="E4" s="10"/>
      <c r="F4" s="10"/>
      <c r="G4" s="10"/>
      <c r="H4" s="10"/>
      <c r="I4" s="12"/>
      <c r="J4" s="862" t="s">
        <v>168</v>
      </c>
      <c r="K4" s="10"/>
      <c r="L4" s="10"/>
      <c r="M4" s="10"/>
      <c r="N4" s="10"/>
      <c r="O4" s="12"/>
      <c r="P4" s="862" t="s">
        <v>169</v>
      </c>
      <c r="Q4" s="10"/>
      <c r="R4" s="10"/>
      <c r="S4" s="10"/>
      <c r="T4" s="10"/>
      <c r="U4" s="12"/>
    </row>
    <row r="5" ht="15.75" customHeight="1">
      <c r="A5" s="432"/>
      <c r="B5" s="433"/>
      <c r="C5" s="433"/>
      <c r="D5" s="863" t="s">
        <v>170</v>
      </c>
      <c r="E5" s="864" t="s">
        <v>18</v>
      </c>
      <c r="F5" s="865" t="s">
        <v>19</v>
      </c>
      <c r="G5" s="866" t="s">
        <v>18</v>
      </c>
      <c r="H5" s="866" t="s">
        <v>172</v>
      </c>
      <c r="I5" s="867" t="s">
        <v>172</v>
      </c>
      <c r="J5" s="868" t="s">
        <v>170</v>
      </c>
      <c r="K5" s="869" t="s">
        <v>18</v>
      </c>
      <c r="L5" s="868" t="s">
        <v>19</v>
      </c>
      <c r="M5" s="870" t="s">
        <v>18</v>
      </c>
      <c r="N5" s="870" t="s">
        <v>172</v>
      </c>
      <c r="O5" s="870" t="s">
        <v>172</v>
      </c>
      <c r="P5" s="868" t="s">
        <v>170</v>
      </c>
      <c r="Q5" s="869" t="s">
        <v>18</v>
      </c>
      <c r="R5" s="868" t="s">
        <v>19</v>
      </c>
      <c r="S5" s="870" t="s">
        <v>18</v>
      </c>
      <c r="T5" s="870" t="s">
        <v>172</v>
      </c>
      <c r="U5" s="870" t="s">
        <v>172</v>
      </c>
    </row>
    <row r="6" ht="15.75" hidden="1" customHeight="1">
      <c r="A6" s="425"/>
      <c r="B6" s="871"/>
      <c r="C6" s="872" t="s">
        <v>76</v>
      </c>
      <c r="D6" s="873">
        <v>0.0</v>
      </c>
      <c r="E6" s="874"/>
      <c r="F6" s="875"/>
      <c r="G6" s="876"/>
      <c r="H6" s="877"/>
      <c r="I6" s="878"/>
      <c r="J6" s="879">
        <v>0.0</v>
      </c>
      <c r="K6" s="874"/>
      <c r="L6" s="875"/>
      <c r="M6" s="876"/>
      <c r="N6" s="877"/>
      <c r="O6" s="876"/>
      <c r="P6" s="879">
        <v>0.0</v>
      </c>
      <c r="Q6" s="874"/>
      <c r="R6" s="875"/>
      <c r="S6" s="876"/>
      <c r="T6" s="877"/>
      <c r="U6" s="876"/>
    </row>
    <row r="7" ht="15.75" hidden="1" customHeight="1">
      <c r="A7" s="425"/>
      <c r="B7" s="880"/>
      <c r="C7" s="881" t="s">
        <v>83</v>
      </c>
      <c r="D7" s="882">
        <v>0.0</v>
      </c>
      <c r="E7" s="883"/>
      <c r="F7" s="884"/>
      <c r="G7" s="885"/>
      <c r="H7" s="886"/>
      <c r="I7" s="887"/>
      <c r="J7" s="888">
        <v>0.0</v>
      </c>
      <c r="K7" s="883"/>
      <c r="L7" s="884"/>
      <c r="M7" s="885"/>
      <c r="N7" s="886"/>
      <c r="O7" s="885"/>
      <c r="P7" s="888">
        <v>0.0</v>
      </c>
      <c r="Q7" s="883"/>
      <c r="R7" s="884"/>
      <c r="S7" s="885"/>
      <c r="T7" s="886"/>
      <c r="U7" s="885"/>
    </row>
    <row r="8" ht="15.75" hidden="1" customHeight="1">
      <c r="A8" s="425"/>
      <c r="B8" s="880"/>
      <c r="C8" s="881" t="s">
        <v>90</v>
      </c>
      <c r="D8" s="882">
        <f>D16+D24+D25+D28</f>
        <v>460551</v>
      </c>
      <c r="E8" s="883"/>
      <c r="F8" s="884"/>
      <c r="G8" s="885"/>
      <c r="H8" s="886"/>
      <c r="I8" s="887"/>
      <c r="J8" s="888">
        <f>J16+J24+J25+J28</f>
        <v>460464</v>
      </c>
      <c r="K8" s="883"/>
      <c r="L8" s="884"/>
      <c r="M8" s="885"/>
      <c r="N8" s="886"/>
      <c r="O8" s="885"/>
      <c r="P8" s="888">
        <f>P16+P24+P25+P28</f>
        <v>0</v>
      </c>
      <c r="Q8" s="883"/>
      <c r="R8" s="884"/>
      <c r="S8" s="885"/>
      <c r="T8" s="886"/>
      <c r="U8" s="885"/>
    </row>
    <row r="9" ht="15.75" hidden="1" customHeight="1">
      <c r="A9" s="425"/>
      <c r="B9" s="880"/>
      <c r="C9" s="881" t="s">
        <v>97</v>
      </c>
      <c r="D9" s="882">
        <f>D17+D18+D20+D21</f>
        <v>49978.82</v>
      </c>
      <c r="E9" s="883"/>
      <c r="F9" s="884"/>
      <c r="G9" s="885"/>
      <c r="H9" s="886"/>
      <c r="I9" s="887"/>
      <c r="J9" s="888">
        <f>J17+J18+J20+J21</f>
        <v>0</v>
      </c>
      <c r="K9" s="883"/>
      <c r="L9" s="884"/>
      <c r="M9" s="885"/>
      <c r="N9" s="886"/>
      <c r="O9" s="885"/>
      <c r="P9" s="888">
        <f>P17+P18+P20+P21</f>
        <v>0</v>
      </c>
      <c r="Q9" s="883"/>
      <c r="R9" s="884"/>
      <c r="S9" s="885"/>
      <c r="T9" s="886"/>
      <c r="U9" s="885"/>
    </row>
    <row r="10" ht="15.75" hidden="1" customHeight="1">
      <c r="A10" s="425"/>
      <c r="B10" s="880"/>
      <c r="C10" s="881" t="s">
        <v>104</v>
      </c>
      <c r="D10" s="882">
        <f>SUM(D8:D9)-D29</f>
        <v>0</v>
      </c>
      <c r="E10" s="883"/>
      <c r="F10" s="884"/>
      <c r="G10" s="885"/>
      <c r="H10" s="886"/>
      <c r="I10" s="887"/>
      <c r="J10" s="888">
        <f>SUM(J8:J9)-J29</f>
        <v>0</v>
      </c>
      <c r="K10" s="883"/>
      <c r="L10" s="884"/>
      <c r="M10" s="885"/>
      <c r="N10" s="886"/>
      <c r="O10" s="885"/>
      <c r="P10" s="888">
        <f>SUM(P8:P9)-P29</f>
        <v>0</v>
      </c>
      <c r="Q10" s="883"/>
      <c r="R10" s="884"/>
      <c r="S10" s="885"/>
      <c r="T10" s="886"/>
      <c r="U10" s="885"/>
    </row>
    <row r="11" ht="15.75" hidden="1" customHeight="1">
      <c r="A11" s="425"/>
      <c r="B11" s="880"/>
      <c r="C11" s="881" t="s">
        <v>111</v>
      </c>
      <c r="D11" s="882"/>
      <c r="E11" s="883"/>
      <c r="F11" s="884"/>
      <c r="G11" s="885"/>
      <c r="H11" s="886"/>
      <c r="I11" s="887"/>
      <c r="J11" s="888"/>
      <c r="K11" s="883"/>
      <c r="L11" s="884"/>
      <c r="M11" s="885"/>
      <c r="N11" s="886"/>
      <c r="O11" s="885"/>
      <c r="P11" s="888"/>
      <c r="Q11" s="883"/>
      <c r="R11" s="884"/>
      <c r="S11" s="885"/>
      <c r="T11" s="886"/>
      <c r="U11" s="885"/>
    </row>
    <row r="12" ht="15.75" hidden="1" customHeight="1">
      <c r="A12" s="425"/>
      <c r="B12" s="880"/>
      <c r="C12" s="881" t="s">
        <v>118</v>
      </c>
      <c r="D12" s="882"/>
      <c r="E12" s="883"/>
      <c r="F12" s="884"/>
      <c r="G12" s="885"/>
      <c r="H12" s="886"/>
      <c r="I12" s="887"/>
      <c r="J12" s="888"/>
      <c r="K12" s="883"/>
      <c r="L12" s="884"/>
      <c r="M12" s="885"/>
      <c r="N12" s="886"/>
      <c r="O12" s="885"/>
      <c r="P12" s="888"/>
      <c r="Q12" s="883"/>
      <c r="R12" s="884"/>
      <c r="S12" s="885"/>
      <c r="T12" s="886"/>
      <c r="U12" s="885"/>
    </row>
    <row r="13" ht="15.75" hidden="1" customHeight="1">
      <c r="A13" s="425"/>
      <c r="B13" s="454"/>
      <c r="C13" s="450"/>
      <c r="D13" s="882"/>
      <c r="E13" s="889"/>
      <c r="F13" s="884"/>
      <c r="G13" s="38"/>
      <c r="H13" s="886"/>
      <c r="I13" s="890"/>
      <c r="J13" s="888"/>
      <c r="K13" s="889"/>
      <c r="L13" s="884"/>
      <c r="M13" s="38"/>
      <c r="N13" s="886"/>
      <c r="O13" s="38"/>
      <c r="P13" s="888"/>
      <c r="Q13" s="889"/>
      <c r="R13" s="884"/>
      <c r="S13" s="38"/>
      <c r="T13" s="886"/>
      <c r="U13" s="38"/>
    </row>
    <row r="14" ht="15.75" hidden="1" customHeight="1">
      <c r="A14" s="425"/>
      <c r="B14" s="525"/>
      <c r="C14" s="468"/>
      <c r="D14" s="891"/>
      <c r="E14" s="892"/>
      <c r="F14" s="893"/>
      <c r="G14" s="48"/>
      <c r="H14" s="894"/>
      <c r="I14" s="895"/>
      <c r="J14" s="896"/>
      <c r="K14" s="892"/>
      <c r="L14" s="893"/>
      <c r="M14" s="48"/>
      <c r="N14" s="894"/>
      <c r="O14" s="48"/>
      <c r="P14" s="896"/>
      <c r="Q14" s="892"/>
      <c r="R14" s="893"/>
      <c r="S14" s="48"/>
      <c r="T14" s="894"/>
      <c r="U14" s="48"/>
    </row>
    <row r="15" ht="15.75" customHeight="1">
      <c r="A15" s="425"/>
      <c r="B15" s="897" t="s">
        <v>173</v>
      </c>
      <c r="C15" s="474" t="s">
        <v>322</v>
      </c>
      <c r="D15" s="801">
        <f>SUM(D16:D21)</f>
        <v>510529.82</v>
      </c>
      <c r="E15" s="898"/>
      <c r="F15" s="899"/>
      <c r="G15" s="848"/>
      <c r="H15" s="900"/>
      <c r="I15" s="848"/>
      <c r="J15" s="801">
        <f>SUM(J16:J20)</f>
        <v>460464</v>
      </c>
      <c r="K15" s="898"/>
      <c r="L15" s="899"/>
      <c r="M15" s="848"/>
      <c r="N15" s="900"/>
      <c r="O15" s="848"/>
      <c r="P15" s="801">
        <f>SUM(P16:P20)</f>
        <v>0</v>
      </c>
      <c r="Q15" s="898"/>
      <c r="R15" s="899"/>
      <c r="S15" s="848"/>
      <c r="T15" s="900"/>
      <c r="U15" s="848"/>
    </row>
    <row r="16" ht="15.75" customHeight="1">
      <c r="A16" s="425"/>
      <c r="B16" s="446" t="s">
        <v>23</v>
      </c>
      <c r="C16" s="481" t="s">
        <v>329</v>
      </c>
      <c r="D16" s="873">
        <f>208061+212122+40368</f>
        <v>460551</v>
      </c>
      <c r="E16" s="73"/>
      <c r="F16" s="875"/>
      <c r="G16" s="25"/>
      <c r="H16" s="877">
        <f>D16-F16</f>
        <v>460551</v>
      </c>
      <c r="I16" s="901"/>
      <c r="J16" s="879">
        <f>240517+219947</f>
        <v>460464</v>
      </c>
      <c r="K16" s="73"/>
      <c r="L16" s="875"/>
      <c r="M16" s="25"/>
      <c r="N16" s="877">
        <f>J16-L16</f>
        <v>460464</v>
      </c>
      <c r="O16" s="25"/>
      <c r="P16" s="784"/>
      <c r="Q16" s="902"/>
      <c r="R16" s="875"/>
      <c r="S16" s="25"/>
      <c r="T16" s="877">
        <f>P16-R16</f>
        <v>0</v>
      </c>
      <c r="U16" s="25"/>
    </row>
    <row r="17" ht="15.75" customHeight="1">
      <c r="A17" s="425"/>
      <c r="B17" s="450"/>
      <c r="C17" s="450"/>
      <c r="D17" s="882"/>
      <c r="E17" s="889"/>
      <c r="F17" s="884"/>
      <c r="G17" s="38"/>
      <c r="H17" s="886"/>
      <c r="I17" s="890"/>
      <c r="J17" s="888"/>
      <c r="K17" s="889"/>
      <c r="L17" s="884"/>
      <c r="M17" s="38"/>
      <c r="N17" s="886"/>
      <c r="O17" s="38"/>
      <c r="P17" s="790"/>
      <c r="Q17" s="903"/>
      <c r="R17" s="884"/>
      <c r="S17" s="38"/>
      <c r="T17" s="886"/>
      <c r="U17" s="38"/>
    </row>
    <row r="18" ht="15.75" customHeight="1">
      <c r="A18" s="425"/>
      <c r="B18" s="450"/>
      <c r="C18" s="450" t="s">
        <v>330</v>
      </c>
      <c r="D18" s="882">
        <v>25840.0</v>
      </c>
      <c r="E18" s="889"/>
      <c r="F18" s="884"/>
      <c r="G18" s="38"/>
      <c r="H18" s="886"/>
      <c r="I18" s="890"/>
      <c r="J18" s="888">
        <v>0.0</v>
      </c>
      <c r="K18" s="889"/>
      <c r="L18" s="884"/>
      <c r="M18" s="38"/>
      <c r="N18" s="886"/>
      <c r="O18" s="38"/>
      <c r="P18" s="790"/>
      <c r="Q18" s="903"/>
      <c r="R18" s="884"/>
      <c r="S18" s="38"/>
      <c r="T18" s="886"/>
      <c r="U18" s="38"/>
    </row>
    <row r="19" ht="15.75" customHeight="1">
      <c r="A19" s="425"/>
      <c r="B19" s="450"/>
      <c r="C19" s="450"/>
      <c r="D19" s="882"/>
      <c r="E19" s="889"/>
      <c r="F19" s="884"/>
      <c r="G19" s="38"/>
      <c r="H19" s="886"/>
      <c r="I19" s="890"/>
      <c r="J19" s="888"/>
      <c r="K19" s="889"/>
      <c r="L19" s="884"/>
      <c r="M19" s="38"/>
      <c r="N19" s="886"/>
      <c r="O19" s="38"/>
      <c r="P19" s="790"/>
      <c r="Q19" s="903"/>
      <c r="R19" s="884"/>
      <c r="S19" s="38"/>
      <c r="T19" s="886"/>
      <c r="U19" s="38"/>
    </row>
    <row r="20" ht="15.75" customHeight="1">
      <c r="A20" s="425"/>
      <c r="B20" s="450"/>
      <c r="C20" s="788" t="s">
        <v>178</v>
      </c>
      <c r="D20" s="882">
        <f>10268.05+85</f>
        <v>10353.05</v>
      </c>
      <c r="E20" s="889"/>
      <c r="F20" s="884"/>
      <c r="G20" s="38"/>
      <c r="H20" s="886"/>
      <c r="I20" s="890"/>
      <c r="J20" s="888"/>
      <c r="K20" s="889"/>
      <c r="L20" s="884"/>
      <c r="M20" s="38"/>
      <c r="N20" s="886"/>
      <c r="O20" s="38"/>
      <c r="P20" s="790"/>
      <c r="Q20" s="903"/>
      <c r="R20" s="884"/>
      <c r="S20" s="38"/>
      <c r="T20" s="886"/>
      <c r="U20" s="38"/>
    </row>
    <row r="21" ht="15.75" customHeight="1">
      <c r="A21" s="425"/>
      <c r="B21" s="450"/>
      <c r="C21" s="450" t="s">
        <v>179</v>
      </c>
      <c r="D21" s="882">
        <f>11780.5+2005.27</f>
        <v>13785.77</v>
      </c>
      <c r="E21" s="889"/>
      <c r="F21" s="884"/>
      <c r="G21" s="38"/>
      <c r="H21" s="886"/>
      <c r="I21" s="890"/>
      <c r="J21" s="888"/>
      <c r="K21" s="889"/>
      <c r="L21" s="884"/>
      <c r="M21" s="38"/>
      <c r="N21" s="886"/>
      <c r="O21" s="38"/>
      <c r="P21" s="790"/>
      <c r="Q21" s="903"/>
      <c r="R21" s="884"/>
      <c r="S21" s="38"/>
      <c r="T21" s="886"/>
      <c r="U21" s="38"/>
    </row>
    <row r="22" ht="15.75" customHeight="1">
      <c r="A22" s="425"/>
      <c r="B22" s="450"/>
      <c r="C22" s="450" t="s">
        <v>263</v>
      </c>
      <c r="D22" s="882"/>
      <c r="E22" s="889"/>
      <c r="F22" s="884"/>
      <c r="G22" s="38"/>
      <c r="H22" s="886"/>
      <c r="I22" s="890"/>
      <c r="J22" s="888"/>
      <c r="K22" s="889"/>
      <c r="L22" s="884"/>
      <c r="M22" s="38"/>
      <c r="N22" s="886"/>
      <c r="O22" s="38"/>
      <c r="P22" s="790"/>
      <c r="Q22" s="903"/>
      <c r="R22" s="884"/>
      <c r="S22" s="38"/>
      <c r="T22" s="886"/>
      <c r="U22" s="38"/>
    </row>
    <row r="23" ht="15.75" customHeight="1">
      <c r="A23" s="425"/>
      <c r="B23" s="454"/>
      <c r="C23" s="450"/>
      <c r="D23" s="882"/>
      <c r="E23" s="889"/>
      <c r="F23" s="884"/>
      <c r="G23" s="38"/>
      <c r="H23" s="886"/>
      <c r="I23" s="890"/>
      <c r="J23" s="888"/>
      <c r="K23" s="889"/>
      <c r="L23" s="884"/>
      <c r="M23" s="38"/>
      <c r="N23" s="886"/>
      <c r="O23" s="38"/>
      <c r="P23" s="790"/>
      <c r="Q23" s="903"/>
      <c r="R23" s="884"/>
      <c r="S23" s="38"/>
      <c r="T23" s="886"/>
      <c r="U23" s="38"/>
    </row>
    <row r="24" ht="15.75" customHeight="1">
      <c r="A24" s="425"/>
      <c r="B24" s="454" t="s">
        <v>21</v>
      </c>
      <c r="C24" s="450" t="s">
        <v>21</v>
      </c>
      <c r="D24" s="882"/>
      <c r="E24" s="889"/>
      <c r="F24" s="884">
        <v>0.0</v>
      </c>
      <c r="G24" s="38"/>
      <c r="H24" s="886">
        <v>0.0</v>
      </c>
      <c r="I24" s="890"/>
      <c r="J24" s="888"/>
      <c r="K24" s="889"/>
      <c r="L24" s="884">
        <v>0.0</v>
      </c>
      <c r="M24" s="38"/>
      <c r="N24" s="886">
        <v>0.0</v>
      </c>
      <c r="O24" s="38"/>
      <c r="P24" s="790"/>
      <c r="Q24" s="903"/>
      <c r="R24" s="884">
        <v>0.0</v>
      </c>
      <c r="S24" s="38"/>
      <c r="T24" s="886">
        <v>0.0</v>
      </c>
      <c r="U24" s="38"/>
    </row>
    <row r="25" ht="15.75" customHeight="1">
      <c r="A25" s="425"/>
      <c r="B25" s="454" t="s">
        <v>22</v>
      </c>
      <c r="C25" s="450" t="s">
        <v>22</v>
      </c>
      <c r="D25" s="904"/>
      <c r="E25" s="889"/>
      <c r="F25" s="905">
        <v>0.0</v>
      </c>
      <c r="G25" s="38"/>
      <c r="H25" s="906">
        <v>0.0</v>
      </c>
      <c r="I25" s="890"/>
      <c r="J25" s="888"/>
      <c r="K25" s="889"/>
      <c r="L25" s="905">
        <v>0.0</v>
      </c>
      <c r="M25" s="38"/>
      <c r="N25" s="906">
        <v>0.0</v>
      </c>
      <c r="O25" s="38"/>
      <c r="P25" s="790"/>
      <c r="Q25" s="903"/>
      <c r="R25" s="905">
        <v>0.0</v>
      </c>
      <c r="S25" s="38"/>
      <c r="T25" s="906">
        <v>0.0</v>
      </c>
      <c r="U25" s="38"/>
    </row>
    <row r="26" ht="15.75" customHeight="1">
      <c r="A26" s="425"/>
      <c r="B26" s="454" t="s">
        <v>23</v>
      </c>
      <c r="C26" s="450" t="s">
        <v>180</v>
      </c>
      <c r="D26" s="460">
        <f>SUM(D16:D22)</f>
        <v>510529.82</v>
      </c>
      <c r="E26" s="889"/>
      <c r="F26" s="884">
        <f>SUM(F16:F21)</f>
        <v>0</v>
      </c>
      <c r="G26" s="38"/>
      <c r="H26" s="43">
        <f>SUM(H16:H21)</f>
        <v>460551</v>
      </c>
      <c r="I26" s="890"/>
      <c r="J26" s="888">
        <f>SUM(J16:J22)</f>
        <v>460464</v>
      </c>
      <c r="K26" s="889"/>
      <c r="L26" s="884">
        <f>SUM(L16:L21)</f>
        <v>0</v>
      </c>
      <c r="M26" s="38"/>
      <c r="N26" s="43">
        <f>SUM(N16:N21)</f>
        <v>460464</v>
      </c>
      <c r="O26" s="38"/>
      <c r="P26" s="790"/>
      <c r="Q26" s="903"/>
      <c r="R26" s="884">
        <f>SUM(R16:R21)</f>
        <v>0</v>
      </c>
      <c r="S26" s="38"/>
      <c r="T26" s="43">
        <f>SUM(T16:T21)</f>
        <v>0</v>
      </c>
      <c r="U26" s="38"/>
    </row>
    <row r="27" ht="15.75" customHeight="1">
      <c r="A27" s="425"/>
      <c r="B27" s="450"/>
      <c r="C27" s="450"/>
      <c r="D27" s="882"/>
      <c r="E27" s="889"/>
      <c r="F27" s="884"/>
      <c r="G27" s="38"/>
      <c r="H27" s="38"/>
      <c r="I27" s="890"/>
      <c r="J27" s="888"/>
      <c r="K27" s="889"/>
      <c r="L27" s="884"/>
      <c r="M27" s="38"/>
      <c r="N27" s="38"/>
      <c r="O27" s="38"/>
      <c r="P27" s="790"/>
      <c r="Q27" s="903"/>
      <c r="R27" s="884"/>
      <c r="S27" s="38"/>
      <c r="T27" s="38"/>
      <c r="U27" s="38"/>
    </row>
    <row r="28" ht="15.75" customHeight="1">
      <c r="A28" s="425"/>
      <c r="B28" s="468"/>
      <c r="C28" s="468" t="s">
        <v>181</v>
      </c>
      <c r="D28" s="907"/>
      <c r="E28" s="908"/>
      <c r="F28" s="909"/>
      <c r="G28" s="910"/>
      <c r="H28" s="911"/>
      <c r="I28" s="912"/>
      <c r="J28" s="888"/>
      <c r="K28" s="908"/>
      <c r="L28" s="909"/>
      <c r="M28" s="910"/>
      <c r="N28" s="911"/>
      <c r="O28" s="910"/>
      <c r="P28" s="790"/>
      <c r="Q28" s="913"/>
      <c r="R28" s="909"/>
      <c r="S28" s="910"/>
      <c r="T28" s="911"/>
      <c r="U28" s="910"/>
    </row>
    <row r="29" ht="15.75" customHeight="1">
      <c r="A29" s="425"/>
      <c r="B29" s="474"/>
      <c r="C29" s="443" t="s">
        <v>182</v>
      </c>
      <c r="D29" s="914">
        <f>D24+D25+D26+D28</f>
        <v>510529.82</v>
      </c>
      <c r="E29" s="915"/>
      <c r="F29" s="916">
        <f>F24+F25+F26+F28</f>
        <v>0</v>
      </c>
      <c r="G29" s="917"/>
      <c r="H29" s="918">
        <f>H24+H25+H26+H28</f>
        <v>460551</v>
      </c>
      <c r="I29" s="919"/>
      <c r="J29" s="914">
        <f>J24+J25+J26+J28</f>
        <v>460464</v>
      </c>
      <c r="K29" s="915"/>
      <c r="L29" s="916">
        <f>L24+L25+L26+L28</f>
        <v>0</v>
      </c>
      <c r="M29" s="917"/>
      <c r="N29" s="918">
        <f>N24+N25+N26+N28</f>
        <v>460464</v>
      </c>
      <c r="O29" s="917"/>
      <c r="P29" s="801">
        <f>P24+P25+P26+P28</f>
        <v>0</v>
      </c>
      <c r="Q29" s="920"/>
      <c r="R29" s="916">
        <f>R24+R25+R26+R28</f>
        <v>0</v>
      </c>
      <c r="S29" s="917"/>
      <c r="T29" s="918">
        <f>T24+T25+T26+T28</f>
        <v>0</v>
      </c>
      <c r="U29" s="917"/>
    </row>
    <row r="30" ht="15.75" hidden="1" customHeight="1">
      <c r="A30" s="425"/>
      <c r="B30" s="446"/>
      <c r="C30" s="481"/>
      <c r="D30" s="873"/>
      <c r="E30" s="874"/>
      <c r="F30" s="875"/>
      <c r="G30" s="877"/>
      <c r="H30" s="877"/>
      <c r="I30" s="921"/>
      <c r="J30" s="879"/>
      <c r="K30" s="874"/>
      <c r="L30" s="875"/>
      <c r="M30" s="877"/>
      <c r="N30" s="877"/>
      <c r="O30" s="877"/>
      <c r="P30" s="784"/>
      <c r="Q30" s="922"/>
      <c r="R30" s="875"/>
      <c r="S30" s="877"/>
      <c r="T30" s="877"/>
      <c r="U30" s="877"/>
    </row>
    <row r="31" ht="15.75" hidden="1" customHeight="1">
      <c r="A31" s="425"/>
      <c r="B31" s="450"/>
      <c r="C31" s="450"/>
      <c r="D31" s="882"/>
      <c r="E31" s="883"/>
      <c r="F31" s="884"/>
      <c r="G31" s="886"/>
      <c r="H31" s="886"/>
      <c r="I31" s="923"/>
      <c r="J31" s="888"/>
      <c r="K31" s="883"/>
      <c r="L31" s="884"/>
      <c r="M31" s="886"/>
      <c r="N31" s="886"/>
      <c r="O31" s="886"/>
      <c r="P31" s="790"/>
      <c r="Q31" s="924"/>
      <c r="R31" s="884"/>
      <c r="S31" s="886"/>
      <c r="T31" s="886"/>
      <c r="U31" s="886"/>
    </row>
    <row r="32" ht="15.75" hidden="1" customHeight="1">
      <c r="A32" s="425"/>
      <c r="B32" s="450"/>
      <c r="C32" s="450"/>
      <c r="D32" s="882"/>
      <c r="E32" s="883"/>
      <c r="F32" s="884"/>
      <c r="G32" s="886"/>
      <c r="H32" s="886"/>
      <c r="I32" s="923"/>
      <c r="J32" s="888"/>
      <c r="K32" s="883"/>
      <c r="L32" s="884"/>
      <c r="M32" s="886"/>
      <c r="N32" s="886"/>
      <c r="O32" s="886"/>
      <c r="P32" s="790"/>
      <c r="Q32" s="924"/>
      <c r="R32" s="884"/>
      <c r="S32" s="886"/>
      <c r="T32" s="886"/>
      <c r="U32" s="886"/>
    </row>
    <row r="33" ht="15.75" hidden="1" customHeight="1">
      <c r="A33" s="425"/>
      <c r="B33" s="450"/>
      <c r="C33" s="450"/>
      <c r="D33" s="882"/>
      <c r="E33" s="883"/>
      <c r="F33" s="884"/>
      <c r="G33" s="886"/>
      <c r="H33" s="886"/>
      <c r="I33" s="923"/>
      <c r="J33" s="888"/>
      <c r="K33" s="883"/>
      <c r="L33" s="884"/>
      <c r="M33" s="886"/>
      <c r="N33" s="886"/>
      <c r="O33" s="886"/>
      <c r="P33" s="790"/>
      <c r="Q33" s="924"/>
      <c r="R33" s="884"/>
      <c r="S33" s="886"/>
      <c r="T33" s="886"/>
      <c r="U33" s="886"/>
    </row>
    <row r="34" ht="15.75" hidden="1" customHeight="1">
      <c r="A34" s="425"/>
      <c r="B34" s="450"/>
      <c r="C34" s="450"/>
      <c r="D34" s="882"/>
      <c r="E34" s="883"/>
      <c r="F34" s="884"/>
      <c r="G34" s="886"/>
      <c r="H34" s="886"/>
      <c r="I34" s="923"/>
      <c r="J34" s="888"/>
      <c r="K34" s="883"/>
      <c r="L34" s="884"/>
      <c r="M34" s="886"/>
      <c r="N34" s="886"/>
      <c r="O34" s="886"/>
      <c r="P34" s="790"/>
      <c r="Q34" s="924"/>
      <c r="R34" s="884"/>
      <c r="S34" s="886"/>
      <c r="T34" s="886"/>
      <c r="U34" s="886"/>
    </row>
    <row r="35" ht="15.75" hidden="1" customHeight="1">
      <c r="A35" s="425"/>
      <c r="B35" s="450"/>
      <c r="C35" s="450"/>
      <c r="D35" s="882"/>
      <c r="E35" s="883"/>
      <c r="F35" s="884"/>
      <c r="G35" s="886"/>
      <c r="H35" s="886"/>
      <c r="I35" s="923"/>
      <c r="J35" s="888"/>
      <c r="K35" s="883"/>
      <c r="L35" s="884"/>
      <c r="M35" s="886"/>
      <c r="N35" s="886"/>
      <c r="O35" s="886"/>
      <c r="P35" s="790"/>
      <c r="Q35" s="924"/>
      <c r="R35" s="884"/>
      <c r="S35" s="886"/>
      <c r="T35" s="886"/>
      <c r="U35" s="886"/>
    </row>
    <row r="36" ht="15.75" hidden="1" customHeight="1">
      <c r="A36" s="425"/>
      <c r="B36" s="450"/>
      <c r="C36" s="450"/>
      <c r="D36" s="925"/>
      <c r="E36" s="926"/>
      <c r="F36" s="927"/>
      <c r="G36" s="928"/>
      <c r="H36" s="928"/>
      <c r="I36" s="929"/>
      <c r="J36" s="930"/>
      <c r="K36" s="926"/>
      <c r="L36" s="927"/>
      <c r="M36" s="928"/>
      <c r="N36" s="928"/>
      <c r="O36" s="928"/>
      <c r="P36" s="821"/>
      <c r="Q36" s="931"/>
      <c r="R36" s="927"/>
      <c r="S36" s="928"/>
      <c r="T36" s="928"/>
      <c r="U36" s="928"/>
    </row>
    <row r="37" ht="15.75" hidden="1" customHeight="1">
      <c r="A37" s="425"/>
      <c r="B37" s="450"/>
      <c r="C37" s="450"/>
      <c r="D37" s="174"/>
      <c r="E37" s="889"/>
      <c r="F37" s="149"/>
      <c r="G37" s="38"/>
      <c r="H37" s="38"/>
      <c r="I37" s="890"/>
      <c r="J37" s="34"/>
      <c r="K37" s="889"/>
      <c r="L37" s="149"/>
      <c r="M37" s="38"/>
      <c r="N37" s="38"/>
      <c r="O37" s="38"/>
      <c r="P37" s="826"/>
      <c r="Q37" s="903"/>
      <c r="R37" s="149"/>
      <c r="S37" s="38"/>
      <c r="T37" s="38"/>
      <c r="U37" s="38"/>
    </row>
    <row r="38" ht="15.75" customHeight="1">
      <c r="A38" s="425"/>
      <c r="B38" s="454"/>
      <c r="C38" s="454"/>
      <c r="D38" s="174"/>
      <c r="E38" s="889"/>
      <c r="F38" s="149"/>
      <c r="G38" s="38"/>
      <c r="H38" s="38"/>
      <c r="I38" s="890"/>
      <c r="J38" s="34"/>
      <c r="K38" s="889"/>
      <c r="L38" s="149"/>
      <c r="M38" s="38"/>
      <c r="N38" s="38"/>
      <c r="O38" s="38"/>
      <c r="P38" s="826"/>
      <c r="Q38" s="903"/>
      <c r="R38" s="149"/>
      <c r="S38" s="38"/>
      <c r="T38" s="38"/>
      <c r="U38" s="38"/>
    </row>
    <row r="39" ht="15.75" customHeight="1">
      <c r="A39" s="425"/>
      <c r="B39" s="466" t="s">
        <v>186</v>
      </c>
      <c r="C39" s="450"/>
      <c r="D39" s="174"/>
      <c r="E39" s="889"/>
      <c r="F39" s="149"/>
      <c r="G39" s="38"/>
      <c r="H39" s="38"/>
      <c r="I39" s="890"/>
      <c r="J39" s="34"/>
      <c r="K39" s="889"/>
      <c r="L39" s="149"/>
      <c r="M39" s="38"/>
      <c r="N39" s="38"/>
      <c r="O39" s="38"/>
      <c r="P39" s="826"/>
      <c r="Q39" s="903"/>
      <c r="R39" s="149"/>
      <c r="S39" s="38"/>
      <c r="T39" s="38"/>
      <c r="U39" s="38"/>
    </row>
    <row r="40" ht="15.75" customHeight="1">
      <c r="A40" s="425"/>
      <c r="B40" s="454" t="s">
        <v>28</v>
      </c>
      <c r="C40" s="450"/>
      <c r="D40" s="174"/>
      <c r="E40" s="889"/>
      <c r="F40" s="149"/>
      <c r="G40" s="38"/>
      <c r="H40" s="38"/>
      <c r="I40" s="890"/>
      <c r="J40" s="34"/>
      <c r="K40" s="889"/>
      <c r="L40" s="149"/>
      <c r="M40" s="38"/>
      <c r="N40" s="38"/>
      <c r="O40" s="38"/>
      <c r="P40" s="826"/>
      <c r="Q40" s="903"/>
      <c r="R40" s="149"/>
      <c r="S40" s="38"/>
      <c r="T40" s="38"/>
      <c r="U40" s="38"/>
    </row>
    <row r="41" ht="15.75" customHeight="1">
      <c r="A41" s="425"/>
      <c r="B41" s="450"/>
      <c r="C41" s="558" t="s">
        <v>187</v>
      </c>
      <c r="D41" s="174"/>
      <c r="E41" s="889"/>
      <c r="F41" s="149"/>
      <c r="G41" s="38"/>
      <c r="H41" s="38"/>
      <c r="I41" s="890"/>
      <c r="J41" s="34"/>
      <c r="K41" s="889"/>
      <c r="L41" s="149"/>
      <c r="M41" s="38"/>
      <c r="N41" s="38"/>
      <c r="O41" s="38"/>
      <c r="P41" s="826"/>
      <c r="Q41" s="903"/>
      <c r="R41" s="149"/>
      <c r="S41" s="38"/>
      <c r="T41" s="38"/>
      <c r="U41" s="38"/>
    </row>
    <row r="42" ht="15.75" customHeight="1">
      <c r="A42" s="425"/>
      <c r="B42" s="450"/>
      <c r="C42" s="450" t="s">
        <v>188</v>
      </c>
      <c r="D42" s="174">
        <f>'MSBC CK Allocation'!C35</f>
        <v>561823.4009</v>
      </c>
      <c r="E42" s="889">
        <f>D42/D$29</f>
        <v>1.100471273</v>
      </c>
      <c r="F42" s="149"/>
      <c r="G42" s="38"/>
      <c r="H42" s="149">
        <f t="shared" ref="H42:H46" si="1">D42-F42</f>
        <v>561823.4009</v>
      </c>
      <c r="I42" s="890"/>
      <c r="J42" s="34">
        <f>'MSBC CK Allocation'!D35</f>
        <v>622359.6862</v>
      </c>
      <c r="K42" s="889">
        <f>J42/J$29</f>
        <v>1.351592494</v>
      </c>
      <c r="L42" s="149"/>
      <c r="M42" s="38"/>
      <c r="N42" s="149">
        <f t="shared" ref="N42:N46" si="2">J42-L42</f>
        <v>622359.6862</v>
      </c>
      <c r="O42" s="38"/>
      <c r="P42" s="826"/>
      <c r="Q42" s="903" t="str">
        <f>P42/P$29</f>
        <v>#DIV/0!</v>
      </c>
      <c r="R42" s="149"/>
      <c r="S42" s="38"/>
      <c r="T42" s="149">
        <f t="shared" ref="T42:T46" si="3">P42-R42</f>
        <v>0</v>
      </c>
      <c r="U42" s="38"/>
    </row>
    <row r="43" ht="15.75" customHeight="1">
      <c r="A43" s="425"/>
      <c r="B43" s="450"/>
      <c r="C43" s="450" t="s">
        <v>189</v>
      </c>
      <c r="D43" s="932">
        <v>258286.94697961808</v>
      </c>
      <c r="E43" s="889"/>
      <c r="F43" s="149"/>
      <c r="G43" s="38"/>
      <c r="H43" s="149">
        <f t="shared" si="1"/>
        <v>258286.947</v>
      </c>
      <c r="I43" s="890"/>
      <c r="J43" s="34">
        <v>255013.45</v>
      </c>
      <c r="K43" s="889"/>
      <c r="L43" s="149"/>
      <c r="M43" s="38"/>
      <c r="N43" s="149">
        <f t="shared" si="2"/>
        <v>255013.45</v>
      </c>
      <c r="O43" s="38"/>
      <c r="P43" s="826"/>
      <c r="Q43" s="903"/>
      <c r="R43" s="149"/>
      <c r="S43" s="38"/>
      <c r="T43" s="149">
        <f t="shared" si="3"/>
        <v>0</v>
      </c>
      <c r="U43" s="38"/>
    </row>
    <row r="44" ht="15.75" customHeight="1">
      <c r="A44" s="425"/>
      <c r="B44" s="450"/>
      <c r="C44" s="450" t="s">
        <v>21</v>
      </c>
      <c r="D44" s="174">
        <v>0.0</v>
      </c>
      <c r="E44" s="889"/>
      <c r="F44" s="149"/>
      <c r="G44" s="38"/>
      <c r="H44" s="149">
        <f t="shared" si="1"/>
        <v>0</v>
      </c>
      <c r="I44" s="890"/>
      <c r="J44" s="34">
        <v>0.0</v>
      </c>
      <c r="K44" s="889"/>
      <c r="L44" s="149"/>
      <c r="M44" s="38"/>
      <c r="N44" s="149">
        <f t="shared" si="2"/>
        <v>0</v>
      </c>
      <c r="O44" s="38"/>
      <c r="P44" s="826"/>
      <c r="Q44" s="903"/>
      <c r="R44" s="149"/>
      <c r="S44" s="38"/>
      <c r="T44" s="149">
        <f t="shared" si="3"/>
        <v>0</v>
      </c>
      <c r="U44" s="38"/>
    </row>
    <row r="45" ht="15.75" customHeight="1">
      <c r="A45" s="425"/>
      <c r="B45" s="450"/>
      <c r="C45" s="450" t="s">
        <v>22</v>
      </c>
      <c r="D45" s="174">
        <v>0.0</v>
      </c>
      <c r="E45" s="889"/>
      <c r="F45" s="149"/>
      <c r="G45" s="38"/>
      <c r="H45" s="149">
        <f t="shared" si="1"/>
        <v>0</v>
      </c>
      <c r="I45" s="890"/>
      <c r="J45" s="34">
        <v>0.0</v>
      </c>
      <c r="K45" s="889"/>
      <c r="L45" s="149"/>
      <c r="M45" s="38"/>
      <c r="N45" s="149">
        <f t="shared" si="2"/>
        <v>0</v>
      </c>
      <c r="O45" s="38"/>
      <c r="P45" s="826"/>
      <c r="Q45" s="903"/>
      <c r="R45" s="149"/>
      <c r="S45" s="38"/>
      <c r="T45" s="149">
        <f t="shared" si="3"/>
        <v>0</v>
      </c>
      <c r="U45" s="38"/>
    </row>
    <row r="46" ht="15.75" customHeight="1">
      <c r="A46" s="425"/>
      <c r="B46" s="468"/>
      <c r="C46" s="468" t="s">
        <v>190</v>
      </c>
      <c r="D46" s="933">
        <v>0.0</v>
      </c>
      <c r="E46" s="892">
        <f t="shared" ref="E46:E47" si="4">D46/D$29</f>
        <v>0</v>
      </c>
      <c r="F46" s="79"/>
      <c r="G46" s="48"/>
      <c r="H46" s="79">
        <f t="shared" si="1"/>
        <v>0</v>
      </c>
      <c r="I46" s="895"/>
      <c r="J46" s="52">
        <v>0.0</v>
      </c>
      <c r="K46" s="892">
        <f t="shared" ref="K46:K47" si="5">J46/J$29</f>
        <v>0</v>
      </c>
      <c r="L46" s="79"/>
      <c r="M46" s="48"/>
      <c r="N46" s="79">
        <f t="shared" si="2"/>
        <v>0</v>
      </c>
      <c r="O46" s="48"/>
      <c r="P46" s="829"/>
      <c r="Q46" s="934" t="str">
        <f t="shared" ref="Q46:Q47" si="6">P46/P$29</f>
        <v>#DIV/0!</v>
      </c>
      <c r="R46" s="79"/>
      <c r="S46" s="48"/>
      <c r="T46" s="79">
        <f t="shared" si="3"/>
        <v>0</v>
      </c>
      <c r="U46" s="48"/>
    </row>
    <row r="47" ht="15.75" customHeight="1">
      <c r="A47" s="425"/>
      <c r="B47" s="477"/>
      <c r="C47" s="474" t="s">
        <v>191</v>
      </c>
      <c r="D47" s="210">
        <f>SUM(D42:D46)</f>
        <v>820110.3479</v>
      </c>
      <c r="E47" s="111">
        <f t="shared" si="4"/>
        <v>1.606390686</v>
      </c>
      <c r="F47" s="935">
        <f>SUM(F42:F46)</f>
        <v>0</v>
      </c>
      <c r="G47" s="936"/>
      <c r="H47" s="935">
        <f>SUM(H42:H46)</f>
        <v>820110.3479</v>
      </c>
      <c r="I47" s="937"/>
      <c r="J47" s="118">
        <f>SUM(J42:J46)</f>
        <v>877373.1362</v>
      </c>
      <c r="K47" s="111">
        <f t="shared" si="5"/>
        <v>1.905410925</v>
      </c>
      <c r="L47" s="935">
        <f>SUM(L42:L46)</f>
        <v>0</v>
      </c>
      <c r="M47" s="936"/>
      <c r="N47" s="935">
        <f>SUM(N42:N46)</f>
        <v>877373.1362</v>
      </c>
      <c r="O47" s="936"/>
      <c r="P47" s="830">
        <f>SUM(P42:P46)</f>
        <v>0</v>
      </c>
      <c r="Q47" s="938" t="str">
        <f t="shared" si="6"/>
        <v>#DIV/0!</v>
      </c>
      <c r="R47" s="935">
        <f>SUM(R42:R46)</f>
        <v>0</v>
      </c>
      <c r="S47" s="936"/>
      <c r="T47" s="935">
        <f>SUM(T42:T46)</f>
        <v>0</v>
      </c>
      <c r="U47" s="936"/>
    </row>
    <row r="48" ht="15.75" customHeight="1">
      <c r="A48" s="425"/>
      <c r="B48" s="508"/>
      <c r="C48" s="939" t="s">
        <v>192</v>
      </c>
      <c r="D48" s="932">
        <v>93423.5</v>
      </c>
      <c r="E48" s="940">
        <f>D48/D29</f>
        <v>0.1829932285</v>
      </c>
      <c r="F48" s="941"/>
      <c r="G48" s="942"/>
      <c r="H48" s="942"/>
      <c r="I48" s="943"/>
      <c r="J48" s="944">
        <f>108073+1580</f>
        <v>109653</v>
      </c>
      <c r="K48" s="945">
        <f>J48/J29</f>
        <v>0.2381358803</v>
      </c>
      <c r="L48" s="941"/>
      <c r="M48" s="942"/>
      <c r="N48" s="942"/>
      <c r="O48" s="942"/>
      <c r="P48" s="944"/>
      <c r="Q48" s="945" t="str">
        <f>P48/P29</f>
        <v>#DIV/0!</v>
      </c>
      <c r="R48" s="941"/>
      <c r="S48" s="942"/>
      <c r="T48" s="942"/>
      <c r="U48" s="942"/>
    </row>
    <row r="49" ht="15.75" customHeight="1">
      <c r="A49" s="425"/>
      <c r="B49" s="474"/>
      <c r="C49" s="443" t="s">
        <v>193</v>
      </c>
      <c r="D49" s="118">
        <f>D47+D48</f>
        <v>913533.8479</v>
      </c>
      <c r="E49" s="111">
        <f>D49/D$29</f>
        <v>1.789383915</v>
      </c>
      <c r="F49" s="115">
        <f>F47+F48</f>
        <v>0</v>
      </c>
      <c r="G49" s="116"/>
      <c r="H49" s="115">
        <f>H47+H48</f>
        <v>820110.3479</v>
      </c>
      <c r="I49" s="946"/>
      <c r="J49" s="118">
        <f>J47+J48</f>
        <v>987026.1362</v>
      </c>
      <c r="K49" s="111">
        <f>J49/J$29</f>
        <v>2.143546805</v>
      </c>
      <c r="L49" s="115">
        <f>L47+L48</f>
        <v>0</v>
      </c>
      <c r="M49" s="116"/>
      <c r="N49" s="115">
        <f>N47+N48</f>
        <v>877373.1362</v>
      </c>
      <c r="O49" s="116"/>
      <c r="P49" s="830">
        <f>P47+P48</f>
        <v>0</v>
      </c>
      <c r="Q49" s="938" t="str">
        <f>P49/P$29</f>
        <v>#DIV/0!</v>
      </c>
      <c r="R49" s="115">
        <f>R47+R48</f>
        <v>0</v>
      </c>
      <c r="S49" s="116"/>
      <c r="T49" s="115">
        <f>T47+T48</f>
        <v>0</v>
      </c>
      <c r="U49" s="116"/>
    </row>
    <row r="50" ht="15.75" customHeight="1">
      <c r="A50" s="425"/>
      <c r="B50" s="442"/>
      <c r="C50" s="947" t="s">
        <v>32</v>
      </c>
      <c r="D50" s="118">
        <f>D29-D49</f>
        <v>-403004.0279</v>
      </c>
      <c r="E50" s="111">
        <f>D50/D29</f>
        <v>-0.7893839147</v>
      </c>
      <c r="F50" s="935">
        <f>F29-F49</f>
        <v>0</v>
      </c>
      <c r="G50" s="936" t="str">
        <f>F49/F$29</f>
        <v>#DIV/0!</v>
      </c>
      <c r="H50" s="948">
        <f>H29-H49</f>
        <v>-359559.3479</v>
      </c>
      <c r="I50" s="937">
        <f>H49/H$29</f>
        <v>1.780715595</v>
      </c>
      <c r="J50" s="118">
        <f>J29-J49</f>
        <v>-526562.1362</v>
      </c>
      <c r="K50" s="111">
        <f>J50/J29</f>
        <v>-1.143546805</v>
      </c>
      <c r="L50" s="935">
        <f>L29-L49</f>
        <v>0</v>
      </c>
      <c r="M50" s="936" t="str">
        <f>L49/L$29</f>
        <v>#DIV/0!</v>
      </c>
      <c r="N50" s="948">
        <f>N29-N49</f>
        <v>-416909.1362</v>
      </c>
      <c r="O50" s="936">
        <f>N49/N$29</f>
        <v>1.905410925</v>
      </c>
      <c r="P50" s="830">
        <f>P29-P49</f>
        <v>0</v>
      </c>
      <c r="Q50" s="938" t="str">
        <f>P50/P29</f>
        <v>#DIV/0!</v>
      </c>
      <c r="R50" s="935">
        <f>R29-R49</f>
        <v>0</v>
      </c>
      <c r="S50" s="936" t="str">
        <f>R49/R$29</f>
        <v>#DIV/0!</v>
      </c>
      <c r="T50" s="948">
        <f>T29-T49</f>
        <v>0</v>
      </c>
      <c r="U50" s="936" t="str">
        <f>T49/T$29</f>
        <v>#DIV/0!</v>
      </c>
    </row>
    <row r="51" ht="15.75" customHeight="1">
      <c r="A51" s="425"/>
      <c r="B51" s="481"/>
      <c r="C51" s="481"/>
      <c r="D51" s="140"/>
      <c r="E51" s="73"/>
      <c r="F51" s="74"/>
      <c r="G51" s="25"/>
      <c r="H51" s="25"/>
      <c r="I51" s="901"/>
      <c r="J51" s="33"/>
      <c r="K51" s="73"/>
      <c r="L51" s="74"/>
      <c r="M51" s="25"/>
      <c r="N51" s="25"/>
      <c r="O51" s="25"/>
      <c r="P51" s="838"/>
      <c r="Q51" s="902"/>
      <c r="R51" s="74"/>
      <c r="S51" s="25"/>
      <c r="T51" s="25"/>
      <c r="U51" s="25"/>
    </row>
    <row r="52" ht="15.75" customHeight="1">
      <c r="A52" s="425"/>
      <c r="B52" s="450"/>
      <c r="C52" s="622" t="s">
        <v>194</v>
      </c>
      <c r="D52" s="174"/>
      <c r="E52" s="889"/>
      <c r="F52" s="149"/>
      <c r="G52" s="38"/>
      <c r="H52" s="149">
        <f t="shared" ref="H52:H58" si="7">D52-F52</f>
        <v>0</v>
      </c>
      <c r="I52" s="890"/>
      <c r="J52" s="34"/>
      <c r="K52" s="889"/>
      <c r="L52" s="149"/>
      <c r="M52" s="38"/>
      <c r="N52" s="149">
        <f t="shared" ref="N52:N58" si="8">J52-L52</f>
        <v>0</v>
      </c>
      <c r="O52" s="38"/>
      <c r="P52" s="826"/>
      <c r="Q52" s="903"/>
      <c r="R52" s="149"/>
      <c r="S52" s="38"/>
      <c r="T52" s="149">
        <f t="shared" ref="T52:T58" si="9">P52-R52</f>
        <v>0</v>
      </c>
      <c r="U52" s="38"/>
    </row>
    <row r="53" ht="15.75" customHeight="1">
      <c r="A53" s="425"/>
      <c r="B53" s="450"/>
      <c r="C53" s="450" t="s">
        <v>195</v>
      </c>
      <c r="D53" s="174">
        <v>3107.0</v>
      </c>
      <c r="E53" s="889">
        <f t="shared" ref="E53:E59" si="10">D53/D$29</f>
        <v>0.006085834516</v>
      </c>
      <c r="F53" s="149"/>
      <c r="G53" s="38"/>
      <c r="H53" s="149">
        <f t="shared" si="7"/>
        <v>3107</v>
      </c>
      <c r="I53" s="890"/>
      <c r="J53" s="34">
        <v>6000.0</v>
      </c>
      <c r="K53" s="889">
        <f t="shared" ref="K53:K59" si="11">J53/J$29</f>
        <v>0.01303033462</v>
      </c>
      <c r="L53" s="149"/>
      <c r="M53" s="38"/>
      <c r="N53" s="149">
        <f t="shared" si="8"/>
        <v>6000</v>
      </c>
      <c r="O53" s="38"/>
      <c r="P53" s="826"/>
      <c r="Q53" s="903" t="str">
        <f t="shared" ref="Q53:Q59" si="12">P53/P$29</f>
        <v>#DIV/0!</v>
      </c>
      <c r="R53" s="149"/>
      <c r="S53" s="38"/>
      <c r="T53" s="149">
        <f t="shared" si="9"/>
        <v>0</v>
      </c>
      <c r="U53" s="38"/>
    </row>
    <row r="54" ht="15.75" customHeight="1">
      <c r="A54" s="425"/>
      <c r="B54" s="450"/>
      <c r="C54" s="450" t="s">
        <v>196</v>
      </c>
      <c r="D54" s="174">
        <v>1721.19</v>
      </c>
      <c r="E54" s="889">
        <f t="shared" si="10"/>
        <v>0.003371379952</v>
      </c>
      <c r="F54" s="149"/>
      <c r="G54" s="38"/>
      <c r="H54" s="149">
        <f t="shared" si="7"/>
        <v>1721.19</v>
      </c>
      <c r="I54" s="890"/>
      <c r="J54" s="34">
        <v>17939.0</v>
      </c>
      <c r="K54" s="889">
        <f t="shared" si="11"/>
        <v>0.03895852879</v>
      </c>
      <c r="L54" s="149"/>
      <c r="M54" s="38"/>
      <c r="N54" s="149">
        <f t="shared" si="8"/>
        <v>17939</v>
      </c>
      <c r="O54" s="38"/>
      <c r="P54" s="826"/>
      <c r="Q54" s="903" t="str">
        <f t="shared" si="12"/>
        <v>#DIV/0!</v>
      </c>
      <c r="R54" s="149"/>
      <c r="S54" s="38"/>
      <c r="T54" s="149">
        <f t="shared" si="9"/>
        <v>0</v>
      </c>
      <c r="U54" s="38"/>
    </row>
    <row r="55" ht="15.75" customHeight="1">
      <c r="A55" s="425"/>
      <c r="B55" s="450"/>
      <c r="C55" s="450" t="s">
        <v>266</v>
      </c>
      <c r="D55" s="174">
        <v>0.0</v>
      </c>
      <c r="E55" s="889">
        <f t="shared" si="10"/>
        <v>0</v>
      </c>
      <c r="F55" s="149"/>
      <c r="G55" s="38"/>
      <c r="H55" s="149">
        <f t="shared" si="7"/>
        <v>0</v>
      </c>
      <c r="I55" s="890"/>
      <c r="J55" s="34">
        <v>0.0</v>
      </c>
      <c r="K55" s="889">
        <f t="shared" si="11"/>
        <v>0</v>
      </c>
      <c r="L55" s="149"/>
      <c r="M55" s="38"/>
      <c r="N55" s="149">
        <f t="shared" si="8"/>
        <v>0</v>
      </c>
      <c r="O55" s="38"/>
      <c r="P55" s="826"/>
      <c r="Q55" s="903" t="str">
        <f t="shared" si="12"/>
        <v>#DIV/0!</v>
      </c>
      <c r="R55" s="149"/>
      <c r="S55" s="38"/>
      <c r="T55" s="149">
        <f t="shared" si="9"/>
        <v>0</v>
      </c>
      <c r="U55" s="38"/>
    </row>
    <row r="56" ht="15.75" customHeight="1">
      <c r="A56" s="425"/>
      <c r="B56" s="450"/>
      <c r="C56" s="450" t="s">
        <v>197</v>
      </c>
      <c r="D56" s="174">
        <v>8134.67</v>
      </c>
      <c r="E56" s="889">
        <f t="shared" si="10"/>
        <v>0.01593378032</v>
      </c>
      <c r="F56" s="149"/>
      <c r="G56" s="38"/>
      <c r="H56" s="149">
        <f t="shared" si="7"/>
        <v>8134.67</v>
      </c>
      <c r="I56" s="890"/>
      <c r="J56" s="34">
        <v>2902.0</v>
      </c>
      <c r="K56" s="889">
        <f t="shared" si="11"/>
        <v>0.006302338511</v>
      </c>
      <c r="L56" s="149"/>
      <c r="M56" s="38"/>
      <c r="N56" s="149">
        <f t="shared" si="8"/>
        <v>2902</v>
      </c>
      <c r="O56" s="38"/>
      <c r="P56" s="826"/>
      <c r="Q56" s="903" t="str">
        <f t="shared" si="12"/>
        <v>#DIV/0!</v>
      </c>
      <c r="R56" s="149"/>
      <c r="S56" s="38"/>
      <c r="T56" s="149">
        <f t="shared" si="9"/>
        <v>0</v>
      </c>
      <c r="U56" s="38"/>
    </row>
    <row r="57" ht="15.75" customHeight="1">
      <c r="A57" s="425"/>
      <c r="B57" s="450"/>
      <c r="C57" s="450" t="s">
        <v>198</v>
      </c>
      <c r="D57" s="174">
        <v>15721.0</v>
      </c>
      <c r="E57" s="889">
        <f t="shared" si="10"/>
        <v>0.03079349998</v>
      </c>
      <c r="F57" s="149"/>
      <c r="G57" s="38"/>
      <c r="H57" s="149">
        <f t="shared" si="7"/>
        <v>15721</v>
      </c>
      <c r="I57" s="890"/>
      <c r="J57" s="34">
        <v>15674.0</v>
      </c>
      <c r="K57" s="889">
        <f t="shared" si="11"/>
        <v>0.03403957747</v>
      </c>
      <c r="L57" s="149"/>
      <c r="M57" s="38"/>
      <c r="N57" s="149">
        <f t="shared" si="8"/>
        <v>15674</v>
      </c>
      <c r="O57" s="38"/>
      <c r="P57" s="826"/>
      <c r="Q57" s="903" t="str">
        <f t="shared" si="12"/>
        <v>#DIV/0!</v>
      </c>
      <c r="R57" s="149"/>
      <c r="S57" s="38"/>
      <c r="T57" s="149">
        <f t="shared" si="9"/>
        <v>0</v>
      </c>
      <c r="U57" s="38"/>
    </row>
    <row r="58" ht="15.75" customHeight="1">
      <c r="A58" s="425"/>
      <c r="B58" s="468"/>
      <c r="C58" s="468" t="s">
        <v>199</v>
      </c>
      <c r="D58" s="949">
        <v>0.0</v>
      </c>
      <c r="E58" s="908">
        <f t="shared" si="10"/>
        <v>0</v>
      </c>
      <c r="F58" s="950"/>
      <c r="G58" s="950"/>
      <c r="H58" s="950">
        <f t="shared" si="7"/>
        <v>0</v>
      </c>
      <c r="I58" s="951"/>
      <c r="J58" s="952">
        <v>0.0</v>
      </c>
      <c r="K58" s="908">
        <f t="shared" si="11"/>
        <v>0</v>
      </c>
      <c r="L58" s="950"/>
      <c r="M58" s="950"/>
      <c r="N58" s="950">
        <f t="shared" si="8"/>
        <v>0</v>
      </c>
      <c r="O58" s="950"/>
      <c r="P58" s="953"/>
      <c r="Q58" s="913" t="str">
        <f t="shared" si="12"/>
        <v>#DIV/0!</v>
      </c>
      <c r="R58" s="950"/>
      <c r="S58" s="950"/>
      <c r="T58" s="950">
        <f t="shared" si="9"/>
        <v>0</v>
      </c>
      <c r="U58" s="950"/>
    </row>
    <row r="59" ht="15.75" customHeight="1">
      <c r="A59" s="425"/>
      <c r="B59" s="474"/>
      <c r="C59" s="474" t="s">
        <v>200</v>
      </c>
      <c r="D59" s="210">
        <f>SUM(D53:D58)</f>
        <v>28683.86</v>
      </c>
      <c r="E59" s="111">
        <f t="shared" si="10"/>
        <v>0.05618449477</v>
      </c>
      <c r="F59" s="935">
        <f>SUM(F53:F58)</f>
        <v>0</v>
      </c>
      <c r="G59" s="936"/>
      <c r="H59" s="935">
        <f>SUM(H53:H58)</f>
        <v>28683.86</v>
      </c>
      <c r="I59" s="937"/>
      <c r="J59" s="118">
        <f>SUM(J53:J58)</f>
        <v>42515</v>
      </c>
      <c r="K59" s="111">
        <f t="shared" si="11"/>
        <v>0.09233077939</v>
      </c>
      <c r="L59" s="935">
        <f>SUM(L53:L58)</f>
        <v>0</v>
      </c>
      <c r="M59" s="936"/>
      <c r="N59" s="935">
        <f>SUM(N53:N58)</f>
        <v>42515</v>
      </c>
      <c r="O59" s="936"/>
      <c r="P59" s="830">
        <f>SUM(P53:P58)</f>
        <v>0</v>
      </c>
      <c r="Q59" s="938" t="str">
        <f t="shared" si="12"/>
        <v>#DIV/0!</v>
      </c>
      <c r="R59" s="935">
        <f>SUM(R53:R58)</f>
        <v>0</v>
      </c>
      <c r="S59" s="936"/>
      <c r="T59" s="935">
        <f>SUM(T53:T58)</f>
        <v>0</v>
      </c>
      <c r="U59" s="936"/>
    </row>
    <row r="60" ht="15.75" customHeight="1">
      <c r="A60" s="425"/>
      <c r="B60" s="954" t="s">
        <v>204</v>
      </c>
      <c r="C60" s="955"/>
      <c r="D60" s="956"/>
      <c r="E60" s="957"/>
      <c r="F60" s="958"/>
      <c r="G60" s="959"/>
      <c r="H60" s="959"/>
      <c r="I60" s="960"/>
      <c r="J60" s="961"/>
      <c r="K60" s="957"/>
      <c r="L60" s="958"/>
      <c r="M60" s="959"/>
      <c r="N60" s="959"/>
      <c r="O60" s="959"/>
      <c r="P60" s="962"/>
      <c r="Q60" s="963"/>
      <c r="R60" s="958"/>
      <c r="S60" s="959"/>
      <c r="T60" s="959"/>
      <c r="U60" s="959"/>
    </row>
    <row r="61" ht="15.75" customHeight="1">
      <c r="A61" s="425"/>
      <c r="B61" s="964" t="s">
        <v>205</v>
      </c>
      <c r="C61" s="12"/>
      <c r="D61" s="965">
        <f>SUM(D62:D67)</f>
        <v>77809.78</v>
      </c>
      <c r="E61" s="915">
        <f t="shared" ref="E61:E67" si="13">D61/D$29</f>
        <v>0.1524098631</v>
      </c>
      <c r="F61" s="916">
        <f>SUM(F62:F67)</f>
        <v>0</v>
      </c>
      <c r="G61" s="917" t="str">
        <f t="shared" ref="G61:G65" si="14">F61/F$29</f>
        <v>#DIV/0!</v>
      </c>
      <c r="H61" s="916">
        <f>SUM(H62:H67)</f>
        <v>21534</v>
      </c>
      <c r="I61" s="919">
        <f t="shared" ref="I61:I65" si="15">H61/H$29</f>
        <v>0.04675703668</v>
      </c>
      <c r="J61" s="914">
        <f>SUM(J62:J67)</f>
        <v>25981</v>
      </c>
      <c r="K61" s="915">
        <f t="shared" ref="K61:K67" si="16">J61/J$29</f>
        <v>0.05642352062</v>
      </c>
      <c r="L61" s="916">
        <f>SUM(L62:L67)</f>
        <v>0</v>
      </c>
      <c r="M61" s="917" t="str">
        <f t="shared" ref="M61:M65" si="17">L61/L$29</f>
        <v>#DIV/0!</v>
      </c>
      <c r="N61" s="916">
        <f>SUM(N62:N67)</f>
        <v>0</v>
      </c>
      <c r="O61" s="917">
        <f t="shared" ref="O61:O65" si="18">N61/N$29</f>
        <v>0</v>
      </c>
      <c r="P61" s="801">
        <f>SUM(P62:P67)</f>
        <v>0</v>
      </c>
      <c r="Q61" s="920" t="str">
        <f t="shared" ref="Q61:Q67" si="19">P61/P$29</f>
        <v>#DIV/0!</v>
      </c>
      <c r="R61" s="916">
        <f>SUM(R62:R67)</f>
        <v>0</v>
      </c>
      <c r="S61" s="917" t="str">
        <f t="shared" ref="S61:S65" si="20">R61/R$29</f>
        <v>#DIV/0!</v>
      </c>
      <c r="T61" s="916">
        <f>SUM(T62:T67)</f>
        <v>0</v>
      </c>
      <c r="U61" s="917" t="str">
        <f t="shared" ref="U61:U65" si="21">T61/T$29</f>
        <v>#DIV/0!</v>
      </c>
    </row>
    <row r="62" ht="15.75" customHeight="1">
      <c r="A62" s="425"/>
      <c r="B62" s="481"/>
      <c r="C62" s="481" t="s">
        <v>268</v>
      </c>
      <c r="D62" s="873">
        <v>21534.0</v>
      </c>
      <c r="E62" s="874">
        <f t="shared" si="13"/>
        <v>0.04217971048</v>
      </c>
      <c r="F62" s="875">
        <v>0.0</v>
      </c>
      <c r="G62" s="876" t="str">
        <f t="shared" si="14"/>
        <v>#DIV/0!</v>
      </c>
      <c r="H62" s="875">
        <f>D62-F62</f>
        <v>21534</v>
      </c>
      <c r="I62" s="878">
        <f t="shared" si="15"/>
        <v>0.04675703668</v>
      </c>
      <c r="J62" s="879"/>
      <c r="K62" s="874">
        <f t="shared" si="16"/>
        <v>0</v>
      </c>
      <c r="L62" s="875">
        <v>0.0</v>
      </c>
      <c r="M62" s="876" t="str">
        <f t="shared" si="17"/>
        <v>#DIV/0!</v>
      </c>
      <c r="N62" s="875">
        <f>J62-L62</f>
        <v>0</v>
      </c>
      <c r="O62" s="876">
        <f t="shared" si="18"/>
        <v>0</v>
      </c>
      <c r="P62" s="784"/>
      <c r="Q62" s="922" t="str">
        <f t="shared" si="19"/>
        <v>#DIV/0!</v>
      </c>
      <c r="R62" s="875">
        <v>0.0</v>
      </c>
      <c r="S62" s="876" t="str">
        <f t="shared" si="20"/>
        <v>#DIV/0!</v>
      </c>
      <c r="T62" s="875">
        <f>P62-R62</f>
        <v>0</v>
      </c>
      <c r="U62" s="876" t="str">
        <f t="shared" si="21"/>
        <v>#DIV/0!</v>
      </c>
    </row>
    <row r="63" ht="15.75" customHeight="1">
      <c r="A63" s="425"/>
      <c r="B63" s="450"/>
      <c r="C63" s="508" t="s">
        <v>269</v>
      </c>
      <c r="D63" s="882">
        <v>17370.78</v>
      </c>
      <c r="E63" s="883">
        <f t="shared" si="13"/>
        <v>0.03402500563</v>
      </c>
      <c r="F63" s="884"/>
      <c r="G63" s="885" t="str">
        <f t="shared" si="14"/>
        <v>#DIV/0!</v>
      </c>
      <c r="H63" s="885">
        <v>0.0</v>
      </c>
      <c r="I63" s="887">
        <f t="shared" si="15"/>
        <v>0</v>
      </c>
      <c r="J63" s="888"/>
      <c r="K63" s="883">
        <f t="shared" si="16"/>
        <v>0</v>
      </c>
      <c r="L63" s="884"/>
      <c r="M63" s="885" t="str">
        <f t="shared" si="17"/>
        <v>#DIV/0!</v>
      </c>
      <c r="N63" s="885">
        <v>0.0</v>
      </c>
      <c r="O63" s="885">
        <f t="shared" si="18"/>
        <v>0</v>
      </c>
      <c r="P63" s="790"/>
      <c r="Q63" s="924" t="str">
        <f t="shared" si="19"/>
        <v>#DIV/0!</v>
      </c>
      <c r="R63" s="884"/>
      <c r="S63" s="885" t="str">
        <f t="shared" si="20"/>
        <v>#DIV/0!</v>
      </c>
      <c r="T63" s="885">
        <v>0.0</v>
      </c>
      <c r="U63" s="885" t="str">
        <f t="shared" si="21"/>
        <v>#DIV/0!</v>
      </c>
    </row>
    <row r="64" ht="15.75" customHeight="1">
      <c r="A64" s="425"/>
      <c r="B64" s="450"/>
      <c r="C64" s="450" t="s">
        <v>212</v>
      </c>
      <c r="D64" s="882">
        <v>0.0</v>
      </c>
      <c r="E64" s="883">
        <f t="shared" si="13"/>
        <v>0</v>
      </c>
      <c r="F64" s="884">
        <v>0.0</v>
      </c>
      <c r="G64" s="885" t="str">
        <f t="shared" si="14"/>
        <v>#DIV/0!</v>
      </c>
      <c r="H64" s="884">
        <f t="shared" ref="H64:H65" si="22">D64-F64</f>
        <v>0</v>
      </c>
      <c r="I64" s="887">
        <f t="shared" si="15"/>
        <v>0</v>
      </c>
      <c r="J64" s="888">
        <v>0.0</v>
      </c>
      <c r="K64" s="883">
        <f t="shared" si="16"/>
        <v>0</v>
      </c>
      <c r="L64" s="884">
        <v>0.0</v>
      </c>
      <c r="M64" s="885" t="str">
        <f t="shared" si="17"/>
        <v>#DIV/0!</v>
      </c>
      <c r="N64" s="884">
        <f t="shared" ref="N64:N65" si="23">J64-L64</f>
        <v>0</v>
      </c>
      <c r="O64" s="885">
        <f t="shared" si="18"/>
        <v>0</v>
      </c>
      <c r="P64" s="790"/>
      <c r="Q64" s="924" t="str">
        <f t="shared" si="19"/>
        <v>#DIV/0!</v>
      </c>
      <c r="R64" s="884">
        <v>0.0</v>
      </c>
      <c r="S64" s="885" t="str">
        <f t="shared" si="20"/>
        <v>#DIV/0!</v>
      </c>
      <c r="T64" s="884">
        <f t="shared" ref="T64:T65" si="24">P64-R64</f>
        <v>0</v>
      </c>
      <c r="U64" s="885" t="str">
        <f t="shared" si="21"/>
        <v>#DIV/0!</v>
      </c>
    </row>
    <row r="65" ht="15.75" customHeight="1">
      <c r="A65" s="425"/>
      <c r="B65" s="450"/>
      <c r="C65" s="450" t="s">
        <v>307</v>
      </c>
      <c r="D65" s="882">
        <v>0.0</v>
      </c>
      <c r="E65" s="883">
        <f t="shared" si="13"/>
        <v>0</v>
      </c>
      <c r="F65" s="884">
        <v>0.0</v>
      </c>
      <c r="G65" s="885" t="str">
        <f t="shared" si="14"/>
        <v>#DIV/0!</v>
      </c>
      <c r="H65" s="884">
        <f t="shared" si="22"/>
        <v>0</v>
      </c>
      <c r="I65" s="887">
        <f t="shared" si="15"/>
        <v>0</v>
      </c>
      <c r="J65" s="888">
        <v>0.0</v>
      </c>
      <c r="K65" s="883">
        <f t="shared" si="16"/>
        <v>0</v>
      </c>
      <c r="L65" s="884">
        <v>0.0</v>
      </c>
      <c r="M65" s="885" t="str">
        <f t="shared" si="17"/>
        <v>#DIV/0!</v>
      </c>
      <c r="N65" s="884">
        <f t="shared" si="23"/>
        <v>0</v>
      </c>
      <c r="O65" s="885">
        <f t="shared" si="18"/>
        <v>0</v>
      </c>
      <c r="P65" s="790"/>
      <c r="Q65" s="924" t="str">
        <f t="shared" si="19"/>
        <v>#DIV/0!</v>
      </c>
      <c r="R65" s="884">
        <v>0.0</v>
      </c>
      <c r="S65" s="885" t="str">
        <f t="shared" si="20"/>
        <v>#DIV/0!</v>
      </c>
      <c r="T65" s="884">
        <f t="shared" si="24"/>
        <v>0</v>
      </c>
      <c r="U65" s="885" t="str">
        <f t="shared" si="21"/>
        <v>#DIV/0!</v>
      </c>
    </row>
    <row r="66" ht="15.75" customHeight="1">
      <c r="A66" s="425"/>
      <c r="B66" s="450"/>
      <c r="C66" s="450" t="s">
        <v>286</v>
      </c>
      <c r="D66" s="882">
        <v>0.0</v>
      </c>
      <c r="E66" s="883">
        <f t="shared" si="13"/>
        <v>0</v>
      </c>
      <c r="F66" s="884"/>
      <c r="G66" s="885" t="str">
        <f>F66/F$30</f>
        <v>#DIV/0!</v>
      </c>
      <c r="H66" s="885"/>
      <c r="I66" s="887"/>
      <c r="J66" s="888">
        <v>0.0</v>
      </c>
      <c r="K66" s="883">
        <f t="shared" si="16"/>
        <v>0</v>
      </c>
      <c r="L66" s="884"/>
      <c r="M66" s="885" t="str">
        <f>L66/L$30</f>
        <v>#DIV/0!</v>
      </c>
      <c r="N66" s="885"/>
      <c r="O66" s="885"/>
      <c r="P66" s="790"/>
      <c r="Q66" s="924" t="str">
        <f t="shared" si="19"/>
        <v>#DIV/0!</v>
      </c>
      <c r="R66" s="884"/>
      <c r="S66" s="885" t="str">
        <f>R66/R$30</f>
        <v>#DIV/0!</v>
      </c>
      <c r="T66" s="885"/>
      <c r="U66" s="885"/>
    </row>
    <row r="67" ht="15.75" customHeight="1">
      <c r="A67" s="425"/>
      <c r="B67" s="450"/>
      <c r="C67" s="450" t="s">
        <v>271</v>
      </c>
      <c r="D67" s="882">
        <v>38905.0</v>
      </c>
      <c r="E67" s="883">
        <f t="shared" si="13"/>
        <v>0.07620514704</v>
      </c>
      <c r="F67" s="884"/>
      <c r="G67" s="883"/>
      <c r="H67" s="885"/>
      <c r="I67" s="966"/>
      <c r="J67" s="888">
        <v>25981.0</v>
      </c>
      <c r="K67" s="883">
        <f t="shared" si="16"/>
        <v>0.05642352062</v>
      </c>
      <c r="L67" s="884"/>
      <c r="M67" s="883"/>
      <c r="N67" s="885"/>
      <c r="O67" s="883"/>
      <c r="P67" s="790"/>
      <c r="Q67" s="924" t="str">
        <f t="shared" si="19"/>
        <v>#DIV/0!</v>
      </c>
      <c r="R67" s="884"/>
      <c r="S67" s="883"/>
      <c r="T67" s="885"/>
      <c r="U67" s="883"/>
    </row>
    <row r="68" ht="15.75" customHeight="1">
      <c r="A68" s="425"/>
      <c r="B68" s="468"/>
      <c r="C68" s="578"/>
      <c r="D68" s="933"/>
      <c r="E68" s="892"/>
      <c r="F68" s="79"/>
      <c r="G68" s="48"/>
      <c r="H68" s="48"/>
      <c r="I68" s="895"/>
      <c r="J68" s="52"/>
      <c r="K68" s="892"/>
      <c r="L68" s="79"/>
      <c r="M68" s="48"/>
      <c r="N68" s="48"/>
      <c r="O68" s="48"/>
      <c r="P68" s="829"/>
      <c r="Q68" s="934"/>
      <c r="R68" s="79"/>
      <c r="S68" s="48"/>
      <c r="T68" s="48"/>
      <c r="U68" s="48"/>
    </row>
    <row r="69" ht="15.75" customHeight="1">
      <c r="A69" s="425"/>
      <c r="B69" s="477"/>
      <c r="C69" s="492" t="s">
        <v>35</v>
      </c>
      <c r="D69" s="210">
        <f>SUM(D70:D73)</f>
        <v>39923.37</v>
      </c>
      <c r="E69" s="111">
        <f>D69/D$29</f>
        <v>0.07819987871</v>
      </c>
      <c r="F69" s="935">
        <f>SUM(F70:F73)</f>
        <v>0</v>
      </c>
      <c r="G69" s="936" t="str">
        <f>F69/F$29</f>
        <v>#DIV/0!</v>
      </c>
      <c r="H69" s="935">
        <f>SUM(H70:H73)</f>
        <v>39923.37</v>
      </c>
      <c r="I69" s="937"/>
      <c r="J69" s="830">
        <f>SUM(J70:J73)</f>
        <v>38464</v>
      </c>
      <c r="K69" s="938">
        <f>J69/J$29</f>
        <v>0.0835331318</v>
      </c>
      <c r="L69" s="935">
        <f>SUM(L70:L73)</f>
        <v>0</v>
      </c>
      <c r="M69" s="936" t="str">
        <f>L69/L$29</f>
        <v>#DIV/0!</v>
      </c>
      <c r="N69" s="935">
        <f>SUM(N70:N73)</f>
        <v>38464</v>
      </c>
      <c r="O69" s="936"/>
      <c r="P69" s="830">
        <f>SUM(P70:P73)</f>
        <v>0</v>
      </c>
      <c r="Q69" s="938" t="str">
        <f>P69/P$29</f>
        <v>#DIV/0!</v>
      </c>
      <c r="R69" s="935">
        <f>SUM(R70:R73)</f>
        <v>0</v>
      </c>
      <c r="S69" s="936" t="str">
        <f>R69/R$29</f>
        <v>#DIV/0!</v>
      </c>
      <c r="T69" s="935">
        <f>SUM(T70:T73)</f>
        <v>0</v>
      </c>
      <c r="U69" s="936"/>
    </row>
    <row r="70" ht="15.75" customHeight="1">
      <c r="A70" s="425"/>
      <c r="B70" s="481"/>
      <c r="C70" s="481" t="s">
        <v>215</v>
      </c>
      <c r="D70" s="174">
        <v>0.0</v>
      </c>
      <c r="E70" s="889"/>
      <c r="F70" s="149"/>
      <c r="G70" s="38"/>
      <c r="H70" s="149">
        <f t="shared" ref="H70:H73" si="25">D70-F70</f>
        <v>0</v>
      </c>
      <c r="I70" s="890"/>
      <c r="J70" s="33">
        <v>0.0</v>
      </c>
      <c r="K70" s="889"/>
      <c r="L70" s="149"/>
      <c r="M70" s="38"/>
      <c r="N70" s="149">
        <f t="shared" ref="N70:N73" si="26">J70-L70</f>
        <v>0</v>
      </c>
      <c r="O70" s="38"/>
      <c r="P70" s="838"/>
      <c r="Q70" s="903"/>
      <c r="R70" s="149"/>
      <c r="S70" s="38"/>
      <c r="T70" s="149">
        <f t="shared" ref="T70:T73" si="27">P70-R70</f>
        <v>0</v>
      </c>
      <c r="U70" s="38"/>
    </row>
    <row r="71" ht="15.75" customHeight="1">
      <c r="A71" s="425"/>
      <c r="B71" s="450"/>
      <c r="C71" s="450" t="s">
        <v>216</v>
      </c>
      <c r="D71" s="140">
        <v>0.0</v>
      </c>
      <c r="E71" s="73"/>
      <c r="F71" s="74"/>
      <c r="G71" s="25"/>
      <c r="H71" s="74">
        <f t="shared" si="25"/>
        <v>0</v>
      </c>
      <c r="I71" s="901"/>
      <c r="J71" s="34">
        <v>0.0</v>
      </c>
      <c r="K71" s="73"/>
      <c r="L71" s="74"/>
      <c r="M71" s="25"/>
      <c r="N71" s="74">
        <f t="shared" si="26"/>
        <v>0</v>
      </c>
      <c r="O71" s="25"/>
      <c r="P71" s="826"/>
      <c r="Q71" s="902"/>
      <c r="R71" s="74"/>
      <c r="S71" s="25"/>
      <c r="T71" s="74">
        <f t="shared" si="27"/>
        <v>0</v>
      </c>
      <c r="U71" s="25"/>
    </row>
    <row r="72" ht="15.75" customHeight="1">
      <c r="A72" s="425"/>
      <c r="B72" s="450"/>
      <c r="C72" s="450" t="s">
        <v>272</v>
      </c>
      <c r="D72" s="174">
        <v>33758.17</v>
      </c>
      <c r="E72" s="889">
        <f t="shared" ref="E72:E73" si="28">IFERROR((D72/D$29),"")</f>
        <v>0.06612379665</v>
      </c>
      <c r="F72" s="149">
        <f>75%*(F$17+F$18)*17.8%</f>
        <v>0</v>
      </c>
      <c r="G72" s="38" t="str">
        <f t="shared" ref="G72:G73" si="29">IFERROR((F72/F$29),"")</f>
        <v/>
      </c>
      <c r="H72" s="149">
        <f t="shared" si="25"/>
        <v>33758.17</v>
      </c>
      <c r="I72" s="890"/>
      <c r="J72" s="613">
        <v>33274.0</v>
      </c>
      <c r="K72" s="889">
        <f t="shared" ref="K72:K73" si="30">IFERROR((J72/J$29),"")</f>
        <v>0.07226189235</v>
      </c>
      <c r="L72" s="149">
        <f>75%*(L$17+L$18)*17.8%</f>
        <v>0</v>
      </c>
      <c r="M72" s="38" t="str">
        <f t="shared" ref="M72:M73" si="31">IFERROR((L72/L$29),"")</f>
        <v/>
      </c>
      <c r="N72" s="149">
        <f t="shared" si="26"/>
        <v>33274</v>
      </c>
      <c r="O72" s="38"/>
      <c r="P72" s="498"/>
      <c r="Q72" s="903" t="str">
        <f t="shared" ref="Q72:Q73" si="32">IFERROR((P72/P$29),"")</f>
        <v/>
      </c>
      <c r="R72" s="149">
        <f>75%*(R$17+R$18)*17.8%</f>
        <v>0</v>
      </c>
      <c r="S72" s="38" t="str">
        <f t="shared" ref="S72:S73" si="33">IFERROR((R72/R$29),"")</f>
        <v/>
      </c>
      <c r="T72" s="149">
        <f t="shared" si="27"/>
        <v>0</v>
      </c>
      <c r="U72" s="38"/>
    </row>
    <row r="73" ht="15.75" customHeight="1">
      <c r="A73" s="425"/>
      <c r="B73" s="450"/>
      <c r="C73" s="450" t="s">
        <v>308</v>
      </c>
      <c r="D73" s="174">
        <v>6165.2</v>
      </c>
      <c r="E73" s="889">
        <f t="shared" si="28"/>
        <v>0.01207608206</v>
      </c>
      <c r="F73" s="149">
        <f>25%*(F$17+F$18)*14%</f>
        <v>0</v>
      </c>
      <c r="G73" s="38" t="str">
        <f t="shared" si="29"/>
        <v/>
      </c>
      <c r="H73" s="149">
        <f t="shared" si="25"/>
        <v>6165.2</v>
      </c>
      <c r="I73" s="890"/>
      <c r="J73" s="613">
        <v>5190.0</v>
      </c>
      <c r="K73" s="889">
        <f t="shared" si="30"/>
        <v>0.01127123945</v>
      </c>
      <c r="L73" s="149">
        <f>25%*(L$17+L$18)*14%</f>
        <v>0</v>
      </c>
      <c r="M73" s="38" t="str">
        <f t="shared" si="31"/>
        <v/>
      </c>
      <c r="N73" s="149">
        <f t="shared" si="26"/>
        <v>5190</v>
      </c>
      <c r="O73" s="38"/>
      <c r="P73" s="498"/>
      <c r="Q73" s="903" t="str">
        <f t="shared" si="32"/>
        <v/>
      </c>
      <c r="R73" s="149">
        <f>25%*(R$17+R$18)*14%</f>
        <v>0</v>
      </c>
      <c r="S73" s="38" t="str">
        <f t="shared" si="33"/>
        <v/>
      </c>
      <c r="T73" s="149">
        <f t="shared" si="27"/>
        <v>0</v>
      </c>
      <c r="U73" s="38"/>
    </row>
    <row r="74" ht="15.75" customHeight="1">
      <c r="A74" s="425"/>
      <c r="B74" s="468"/>
      <c r="C74" s="468"/>
      <c r="D74" s="933"/>
      <c r="E74" s="892"/>
      <c r="F74" s="79"/>
      <c r="G74" s="48"/>
      <c r="H74" s="48"/>
      <c r="I74" s="895"/>
      <c r="J74" s="52"/>
      <c r="K74" s="892"/>
      <c r="L74" s="79"/>
      <c r="M74" s="48"/>
      <c r="N74" s="48"/>
      <c r="O74" s="48"/>
      <c r="P74" s="829"/>
      <c r="Q74" s="934"/>
      <c r="R74" s="79"/>
      <c r="S74" s="48"/>
      <c r="T74" s="48"/>
      <c r="U74" s="48"/>
    </row>
    <row r="75" ht="15.75" customHeight="1">
      <c r="A75" s="425"/>
      <c r="B75" s="477"/>
      <c r="C75" s="492" t="s">
        <v>219</v>
      </c>
      <c r="D75" s="210">
        <f>SUM(D76:D79)</f>
        <v>253151</v>
      </c>
      <c r="E75" s="111">
        <f>D75/D$29</f>
        <v>0.49585938</v>
      </c>
      <c r="F75" s="935">
        <f>SUM(F76:F79)</f>
        <v>155723</v>
      </c>
      <c r="G75" s="936" t="str">
        <f>F75/F$29</f>
        <v>#DIV/0!</v>
      </c>
      <c r="H75" s="935">
        <f>SUM(H76:H79)</f>
        <v>229351</v>
      </c>
      <c r="I75" s="937"/>
      <c r="J75" s="830">
        <f>SUM(J76:J79)</f>
        <v>236678</v>
      </c>
      <c r="K75" s="938">
        <f>J75/J$29</f>
        <v>0.5139989228</v>
      </c>
      <c r="L75" s="935">
        <f>SUM(L76:L79)</f>
        <v>0</v>
      </c>
      <c r="M75" s="936" t="str">
        <f>L75/L$29</f>
        <v>#DIV/0!</v>
      </c>
      <c r="N75" s="935">
        <f>SUM(N76:N79)</f>
        <v>207478</v>
      </c>
      <c r="O75" s="936"/>
      <c r="P75" s="830">
        <f>SUM(P76:P79)</f>
        <v>0</v>
      </c>
      <c r="Q75" s="938" t="str">
        <f>P75/P$29</f>
        <v>#DIV/0!</v>
      </c>
      <c r="R75" s="935">
        <f>SUM(R76:R79)</f>
        <v>0</v>
      </c>
      <c r="S75" s="936" t="str">
        <f>R75/R$29</f>
        <v>#DIV/0!</v>
      </c>
      <c r="T75" s="935">
        <f>SUM(T76:T79)</f>
        <v>0</v>
      </c>
      <c r="U75" s="936"/>
    </row>
    <row r="76" ht="15.75" customHeight="1">
      <c r="A76" s="425"/>
      <c r="B76" s="481"/>
      <c r="C76" s="481" t="s">
        <v>220</v>
      </c>
      <c r="D76" s="140">
        <v>155723.0</v>
      </c>
      <c r="E76" s="140">
        <v>155723.0</v>
      </c>
      <c r="F76" s="140">
        <v>155723.0</v>
      </c>
      <c r="G76" s="140">
        <v>155723.0</v>
      </c>
      <c r="H76" s="140">
        <v>155723.0</v>
      </c>
      <c r="I76" s="967">
        <v>155723.0</v>
      </c>
      <c r="J76" s="33">
        <v>155723.0</v>
      </c>
      <c r="K76" s="73">
        <f t="shared" ref="K76:K78" si="34">IFERROR((J76/J$29),"")</f>
        <v>0.338187133</v>
      </c>
      <c r="L76" s="74"/>
      <c r="M76" s="25" t="str">
        <f t="shared" ref="M76:M77" si="35">IFERROR((L76/L$29),"")</f>
        <v/>
      </c>
      <c r="N76" s="74">
        <f t="shared" ref="N76:N77" si="36">J76-L76</f>
        <v>155723</v>
      </c>
      <c r="O76" s="25"/>
      <c r="P76" s="838"/>
      <c r="Q76" s="902" t="str">
        <f t="shared" ref="Q76:Q78" si="37">IFERROR((P76/P$29),"")</f>
        <v/>
      </c>
      <c r="R76" s="74"/>
      <c r="S76" s="25" t="str">
        <f t="shared" ref="S76:S77" si="38">IFERROR((R76/R$29),"")</f>
        <v/>
      </c>
      <c r="T76" s="74">
        <f t="shared" ref="T76:T77" si="39">P76-R76</f>
        <v>0</v>
      </c>
      <c r="U76" s="25"/>
    </row>
    <row r="77" ht="15.75" customHeight="1">
      <c r="A77" s="425"/>
      <c r="B77" s="450"/>
      <c r="C77" s="450" t="s">
        <v>221</v>
      </c>
      <c r="D77" s="140">
        <v>73628.0</v>
      </c>
      <c r="E77" s="73">
        <f t="shared" ref="E77:E78" si="40">IFERROR((D77/D$29),"")</f>
        <v>0.1442188039</v>
      </c>
      <c r="F77" s="74"/>
      <c r="G77" s="25" t="str">
        <f>IFERROR((F77/F$29),"")</f>
        <v/>
      </c>
      <c r="H77" s="74">
        <f>D77-F77</f>
        <v>73628</v>
      </c>
      <c r="I77" s="901"/>
      <c r="J77" s="33">
        <v>51755.0</v>
      </c>
      <c r="K77" s="73">
        <f t="shared" si="34"/>
        <v>0.1123974947</v>
      </c>
      <c r="L77" s="74"/>
      <c r="M77" s="25" t="str">
        <f t="shared" si="35"/>
        <v/>
      </c>
      <c r="N77" s="74">
        <f t="shared" si="36"/>
        <v>51755</v>
      </c>
      <c r="O77" s="25"/>
      <c r="P77" s="838"/>
      <c r="Q77" s="902" t="str">
        <f t="shared" si="37"/>
        <v/>
      </c>
      <c r="R77" s="74"/>
      <c r="S77" s="25" t="str">
        <f t="shared" si="38"/>
        <v/>
      </c>
      <c r="T77" s="74">
        <f t="shared" si="39"/>
        <v>0</v>
      </c>
      <c r="U77" s="25"/>
    </row>
    <row r="78" ht="15.75" customHeight="1">
      <c r="A78" s="425"/>
      <c r="B78" s="450"/>
      <c r="C78" s="450" t="s">
        <v>222</v>
      </c>
      <c r="D78" s="174">
        <v>23800.0</v>
      </c>
      <c r="E78" s="889">
        <f t="shared" si="40"/>
        <v>0.04661823672</v>
      </c>
      <c r="F78" s="149"/>
      <c r="G78" s="38"/>
      <c r="H78" s="38"/>
      <c r="I78" s="890"/>
      <c r="J78" s="34">
        <v>28200.0</v>
      </c>
      <c r="K78" s="889">
        <f t="shared" si="34"/>
        <v>0.06124257271</v>
      </c>
      <c r="L78" s="149"/>
      <c r="M78" s="38"/>
      <c r="N78" s="38"/>
      <c r="O78" s="38"/>
      <c r="P78" s="826"/>
      <c r="Q78" s="903" t="str">
        <f t="shared" si="37"/>
        <v/>
      </c>
      <c r="R78" s="149"/>
      <c r="S78" s="38"/>
      <c r="T78" s="38"/>
      <c r="U78" s="38"/>
    </row>
    <row r="79" ht="15.75" customHeight="1">
      <c r="A79" s="425"/>
      <c r="B79" s="450"/>
      <c r="C79" s="450" t="s">
        <v>223</v>
      </c>
      <c r="D79" s="174">
        <v>0.0</v>
      </c>
      <c r="E79" s="889"/>
      <c r="F79" s="149"/>
      <c r="G79" s="38"/>
      <c r="H79" s="38"/>
      <c r="I79" s="890"/>
      <c r="J79" s="34">
        <v>1000.0</v>
      </c>
      <c r="K79" s="889"/>
      <c r="L79" s="149"/>
      <c r="M79" s="38"/>
      <c r="N79" s="38"/>
      <c r="O79" s="38"/>
      <c r="P79" s="826"/>
      <c r="Q79" s="903"/>
      <c r="R79" s="149"/>
      <c r="S79" s="38"/>
      <c r="T79" s="38"/>
      <c r="U79" s="38"/>
    </row>
    <row r="80" ht="15.75" customHeight="1">
      <c r="A80" s="425"/>
      <c r="B80" s="468"/>
      <c r="C80" s="578"/>
      <c r="D80" s="933"/>
      <c r="E80" s="892"/>
      <c r="F80" s="79"/>
      <c r="G80" s="48"/>
      <c r="H80" s="48"/>
      <c r="I80" s="895"/>
      <c r="J80" s="52"/>
      <c r="K80" s="892"/>
      <c r="L80" s="79"/>
      <c r="M80" s="48"/>
      <c r="N80" s="48"/>
      <c r="O80" s="48"/>
      <c r="P80" s="829"/>
      <c r="Q80" s="934"/>
      <c r="R80" s="79"/>
      <c r="S80" s="48"/>
      <c r="T80" s="48"/>
      <c r="U80" s="48"/>
    </row>
    <row r="81" ht="15.75" customHeight="1">
      <c r="A81" s="425"/>
      <c r="B81" s="477"/>
      <c r="C81" s="492" t="s">
        <v>37</v>
      </c>
      <c r="D81" s="210">
        <f>SUM(D82:D90)</f>
        <v>1480962.86</v>
      </c>
      <c r="E81" s="111">
        <f>D81/D$29</f>
        <v>2.900835176</v>
      </c>
      <c r="F81" s="115">
        <f>SUM(F82:F89)</f>
        <v>94400</v>
      </c>
      <c r="G81" s="116" t="str">
        <f>F81/F$29</f>
        <v>#DIV/0!</v>
      </c>
      <c r="H81" s="116">
        <f>SUM(H82:H89)</f>
        <v>94400</v>
      </c>
      <c r="I81" s="946"/>
      <c r="J81" s="830">
        <f>SUM(J82:J90)</f>
        <v>1547667.72</v>
      </c>
      <c r="K81" s="968">
        <f>J81/J$29</f>
        <v>3.361104712</v>
      </c>
      <c r="L81" s="830">
        <f>SUM(L82:L89)</f>
        <v>0</v>
      </c>
      <c r="M81" s="800" t="str">
        <f>L81/L$29</f>
        <v>#DIV/0!</v>
      </c>
      <c r="N81" s="800">
        <f>SUM(N82:N89)</f>
        <v>0</v>
      </c>
      <c r="O81" s="800"/>
      <c r="P81" s="830">
        <f>SUM(P82:P90)</f>
        <v>0</v>
      </c>
      <c r="Q81" s="968" t="str">
        <f>P81/P$29</f>
        <v>#DIV/0!</v>
      </c>
      <c r="R81" s="830">
        <f>SUM(R82:R89)</f>
        <v>0</v>
      </c>
      <c r="S81" s="800" t="str">
        <f>R81/R$29</f>
        <v>#DIV/0!</v>
      </c>
      <c r="T81" s="800">
        <f>SUM(T82:T89)</f>
        <v>0</v>
      </c>
      <c r="U81" s="800"/>
    </row>
    <row r="82" ht="15.75" customHeight="1">
      <c r="A82" s="425"/>
      <c r="B82" s="481"/>
      <c r="C82" s="481" t="s">
        <v>224</v>
      </c>
      <c r="D82" s="140"/>
      <c r="E82" s="73"/>
      <c r="F82" s="74"/>
      <c r="G82" s="25"/>
      <c r="H82" s="25"/>
      <c r="I82" s="901"/>
      <c r="J82" s="33"/>
      <c r="K82" s="902"/>
      <c r="L82" s="74"/>
      <c r="M82" s="25"/>
      <c r="N82" s="25"/>
      <c r="O82" s="25"/>
      <c r="P82" s="838"/>
      <c r="Q82" s="902"/>
      <c r="R82" s="74"/>
      <c r="S82" s="25"/>
      <c r="T82" s="25"/>
      <c r="U82" s="25"/>
    </row>
    <row r="83" ht="15.75" customHeight="1">
      <c r="A83" s="425"/>
      <c r="B83" s="450"/>
      <c r="C83" s="450" t="s">
        <v>225</v>
      </c>
      <c r="D83" s="174">
        <v>920296.0</v>
      </c>
      <c r="E83" s="889"/>
      <c r="F83" s="149"/>
      <c r="G83" s="38"/>
      <c r="H83" s="38"/>
      <c r="I83" s="890"/>
      <c r="J83" s="613">
        <v>1000862.0</v>
      </c>
      <c r="K83" s="903"/>
      <c r="L83" s="149"/>
      <c r="M83" s="38"/>
      <c r="N83" s="38"/>
      <c r="O83" s="38"/>
      <c r="P83" s="498"/>
      <c r="Q83" s="903"/>
      <c r="R83" s="149"/>
      <c r="S83" s="38"/>
      <c r="T83" s="38"/>
      <c r="U83" s="38"/>
    </row>
    <row r="84" ht="15.75" customHeight="1">
      <c r="A84" s="425"/>
      <c r="B84" s="450"/>
      <c r="C84" s="450" t="s">
        <v>331</v>
      </c>
      <c r="D84" s="140">
        <v>371700.0</v>
      </c>
      <c r="E84" s="73"/>
      <c r="F84" s="74"/>
      <c r="G84" s="25"/>
      <c r="H84" s="25"/>
      <c r="I84" s="901"/>
      <c r="J84" s="613">
        <v>371700.0</v>
      </c>
      <c r="K84" s="902"/>
      <c r="L84" s="74"/>
      <c r="M84" s="25"/>
      <c r="N84" s="25"/>
      <c r="O84" s="25"/>
      <c r="P84" s="498"/>
      <c r="Q84" s="902"/>
      <c r="R84" s="74"/>
      <c r="S84" s="25"/>
      <c r="T84" s="25"/>
      <c r="U84" s="25"/>
    </row>
    <row r="85" ht="15.75" customHeight="1">
      <c r="A85" s="425"/>
      <c r="B85" s="450"/>
      <c r="C85" s="450" t="s">
        <v>226</v>
      </c>
      <c r="D85" s="140">
        <v>4267.0</v>
      </c>
      <c r="E85" s="73"/>
      <c r="F85" s="74"/>
      <c r="G85" s="25"/>
      <c r="H85" s="25"/>
      <c r="I85" s="901"/>
      <c r="J85" s="613">
        <v>3656.0</v>
      </c>
      <c r="K85" s="902"/>
      <c r="L85" s="74"/>
      <c r="M85" s="25"/>
      <c r="N85" s="25"/>
      <c r="O85" s="25"/>
      <c r="P85" s="498"/>
      <c r="Q85" s="902"/>
      <c r="R85" s="74"/>
      <c r="S85" s="25"/>
      <c r="T85" s="25"/>
      <c r="U85" s="25"/>
    </row>
    <row r="86" ht="15.75" customHeight="1">
      <c r="A86" s="425"/>
      <c r="B86" s="450"/>
      <c r="C86" s="450" t="s">
        <v>228</v>
      </c>
      <c r="D86" s="174">
        <v>71463.86</v>
      </c>
      <c r="E86" s="889"/>
      <c r="F86" s="149"/>
      <c r="G86" s="38"/>
      <c r="H86" s="38"/>
      <c r="I86" s="890"/>
      <c r="J86" s="969">
        <v>64359.72</v>
      </c>
      <c r="K86" s="903"/>
      <c r="L86" s="149"/>
      <c r="M86" s="38"/>
      <c r="N86" s="38"/>
      <c r="O86" s="38"/>
      <c r="P86" s="944"/>
      <c r="Q86" s="903"/>
      <c r="R86" s="149"/>
      <c r="S86" s="38"/>
      <c r="T86" s="38"/>
      <c r="U86" s="38"/>
    </row>
    <row r="87" ht="15.75" customHeight="1">
      <c r="A87" s="425"/>
      <c r="B87" s="450"/>
      <c r="C87" s="450" t="s">
        <v>229</v>
      </c>
      <c r="D87" s="174">
        <v>94400.0</v>
      </c>
      <c r="E87" s="174">
        <v>94400.0</v>
      </c>
      <c r="F87" s="174">
        <v>94400.0</v>
      </c>
      <c r="G87" s="174">
        <v>94400.0</v>
      </c>
      <c r="H87" s="174">
        <v>94400.0</v>
      </c>
      <c r="I87" s="970">
        <v>94400.0</v>
      </c>
      <c r="J87" s="34">
        <v>94400.0</v>
      </c>
      <c r="K87" s="903"/>
      <c r="L87" s="149"/>
      <c r="M87" s="38"/>
      <c r="N87" s="38"/>
      <c r="O87" s="38"/>
      <c r="P87" s="826"/>
      <c r="Q87" s="903"/>
      <c r="R87" s="149"/>
      <c r="S87" s="38"/>
      <c r="T87" s="38"/>
      <c r="U87" s="38"/>
    </row>
    <row r="88" ht="15.75" customHeight="1">
      <c r="A88" s="425"/>
      <c r="B88" s="450"/>
      <c r="C88" s="450" t="s">
        <v>230</v>
      </c>
      <c r="D88" s="174">
        <v>18836.0</v>
      </c>
      <c r="E88" s="889"/>
      <c r="F88" s="149"/>
      <c r="G88" s="38"/>
      <c r="H88" s="38"/>
      <c r="I88" s="890"/>
      <c r="J88" s="613">
        <f>11800+890</f>
        <v>12690</v>
      </c>
      <c r="K88" s="903"/>
      <c r="L88" s="149"/>
      <c r="M88" s="38"/>
      <c r="N88" s="38"/>
      <c r="O88" s="38"/>
      <c r="P88" s="498"/>
      <c r="Q88" s="903"/>
      <c r="R88" s="149"/>
      <c r="S88" s="38"/>
      <c r="T88" s="38"/>
      <c r="U88" s="38"/>
    </row>
    <row r="89" ht="15.75" customHeight="1">
      <c r="A89" s="425"/>
      <c r="B89" s="450"/>
      <c r="C89" s="450" t="s">
        <v>231</v>
      </c>
      <c r="D89" s="933">
        <v>0.0</v>
      </c>
      <c r="E89" s="892"/>
      <c r="F89" s="79"/>
      <c r="G89" s="48"/>
      <c r="H89" s="48"/>
      <c r="I89" s="895"/>
      <c r="J89" s="90">
        <v>0.0</v>
      </c>
      <c r="K89" s="892"/>
      <c r="L89" s="79"/>
      <c r="M89" s="48"/>
      <c r="N89" s="48"/>
      <c r="O89" s="48"/>
      <c r="P89" s="859"/>
      <c r="Q89" s="934"/>
      <c r="R89" s="79"/>
      <c r="S89" s="48"/>
      <c r="T89" s="48"/>
      <c r="U89" s="48"/>
    </row>
    <row r="90" ht="15.75" customHeight="1">
      <c r="A90" s="425"/>
      <c r="B90" s="450"/>
      <c r="C90" s="450" t="s">
        <v>232</v>
      </c>
      <c r="D90" s="174">
        <v>0.0</v>
      </c>
      <c r="E90" s="889"/>
      <c r="F90" s="149"/>
      <c r="G90" s="38"/>
      <c r="H90" s="38"/>
      <c r="I90" s="890"/>
      <c r="J90" s="34">
        <v>0.0</v>
      </c>
      <c r="K90" s="889"/>
      <c r="L90" s="149"/>
      <c r="M90" s="38"/>
      <c r="N90" s="38"/>
      <c r="O90" s="38"/>
      <c r="P90" s="826"/>
      <c r="Q90" s="903"/>
      <c r="R90" s="149"/>
      <c r="S90" s="38"/>
      <c r="T90" s="38"/>
      <c r="U90" s="38"/>
    </row>
    <row r="91" ht="15.75" customHeight="1">
      <c r="A91" s="425"/>
      <c r="B91" s="468"/>
      <c r="C91" s="578"/>
      <c r="D91" s="183"/>
      <c r="E91" s="971"/>
      <c r="F91" s="91"/>
      <c r="G91" s="94"/>
      <c r="H91" s="94"/>
      <c r="I91" s="972"/>
      <c r="J91" s="90"/>
      <c r="K91" s="971"/>
      <c r="L91" s="91"/>
      <c r="M91" s="94"/>
      <c r="N91" s="94"/>
      <c r="O91" s="94"/>
      <c r="P91" s="859"/>
      <c r="Q91" s="973"/>
      <c r="R91" s="91"/>
      <c r="S91" s="94"/>
      <c r="T91" s="94"/>
      <c r="U91" s="94"/>
    </row>
    <row r="92" ht="15.75" customHeight="1">
      <c r="A92" s="425"/>
      <c r="B92" s="477"/>
      <c r="C92" s="492" t="s">
        <v>38</v>
      </c>
      <c r="D92" s="210">
        <f>SUM(D93)</f>
        <v>5730.42</v>
      </c>
      <c r="E92" s="111">
        <f>D92/D$29</f>
        <v>0.01122445698</v>
      </c>
      <c r="F92" s="115">
        <f>SUM(F93)</f>
        <v>0</v>
      </c>
      <c r="G92" s="116" t="str">
        <f>F92/F$29</f>
        <v>#DIV/0!</v>
      </c>
      <c r="H92" s="116">
        <f>SUM(H93)</f>
        <v>0</v>
      </c>
      <c r="I92" s="946"/>
      <c r="J92" s="118">
        <f>SUM(J93)</f>
        <v>5388</v>
      </c>
      <c r="K92" s="111">
        <f>J92/J$29</f>
        <v>0.01170124049</v>
      </c>
      <c r="L92" s="115">
        <f>SUM(L93)</f>
        <v>0</v>
      </c>
      <c r="M92" s="116" t="str">
        <f>L92/L$29</f>
        <v>#DIV/0!</v>
      </c>
      <c r="N92" s="116">
        <f>SUM(N93)</f>
        <v>0</v>
      </c>
      <c r="O92" s="116"/>
      <c r="P92" s="830">
        <f>SUM(P93)</f>
        <v>0</v>
      </c>
      <c r="Q92" s="938" t="str">
        <f>P92/P$29</f>
        <v>#DIV/0!</v>
      </c>
      <c r="R92" s="115">
        <f>SUM(R93)</f>
        <v>0</v>
      </c>
      <c r="S92" s="116" t="str">
        <f>R92/R$29</f>
        <v>#DIV/0!</v>
      </c>
      <c r="T92" s="116">
        <f>SUM(T93)</f>
        <v>0</v>
      </c>
      <c r="U92" s="116"/>
    </row>
    <row r="93" ht="15.75" customHeight="1">
      <c r="A93" s="425"/>
      <c r="B93" s="481"/>
      <c r="C93" s="481" t="s">
        <v>276</v>
      </c>
      <c r="D93" s="140">
        <v>5730.42</v>
      </c>
      <c r="E93" s="73"/>
      <c r="F93" s="74"/>
      <c r="G93" s="25"/>
      <c r="H93" s="25"/>
      <c r="I93" s="901"/>
      <c r="J93" s="33">
        <v>5388.0</v>
      </c>
      <c r="K93" s="73"/>
      <c r="L93" s="74"/>
      <c r="M93" s="25"/>
      <c r="N93" s="25"/>
      <c r="O93" s="25"/>
      <c r="P93" s="838"/>
      <c r="Q93" s="902"/>
      <c r="R93" s="74"/>
      <c r="S93" s="25"/>
      <c r="T93" s="25"/>
      <c r="U93" s="25"/>
    </row>
    <row r="94" ht="15.75" customHeight="1">
      <c r="A94" s="425"/>
      <c r="B94" s="468"/>
      <c r="C94" s="468"/>
      <c r="D94" s="933"/>
      <c r="E94" s="892"/>
      <c r="F94" s="79"/>
      <c r="G94" s="48"/>
      <c r="H94" s="48"/>
      <c r="I94" s="895"/>
      <c r="J94" s="52"/>
      <c r="K94" s="892"/>
      <c r="L94" s="79"/>
      <c r="M94" s="48"/>
      <c r="N94" s="48"/>
      <c r="O94" s="48"/>
      <c r="P94" s="829"/>
      <c r="Q94" s="934"/>
      <c r="R94" s="79"/>
      <c r="S94" s="48"/>
      <c r="T94" s="48"/>
      <c r="U94" s="48"/>
    </row>
    <row r="95" ht="15.75" customHeight="1">
      <c r="A95" s="425"/>
      <c r="B95" s="477"/>
      <c r="C95" s="490" t="s">
        <v>238</v>
      </c>
      <c r="D95" s="118">
        <f>SUM(D96:D97)</f>
        <v>36280.33333</v>
      </c>
      <c r="E95" s="111">
        <f>D95/D$29</f>
        <v>0.07106408267</v>
      </c>
      <c r="F95" s="115">
        <f>SUM(F96:F97)</f>
        <v>0</v>
      </c>
      <c r="G95" s="116" t="str">
        <f>F95/F$29</f>
        <v>#DIV/0!</v>
      </c>
      <c r="H95" s="116">
        <f>SUM(H96:H97)</f>
        <v>0</v>
      </c>
      <c r="I95" s="946"/>
      <c r="J95" s="118">
        <f>SUM(J96:J97)</f>
        <v>36281</v>
      </c>
      <c r="K95" s="111">
        <f>J95/J$29</f>
        <v>0.07879226172</v>
      </c>
      <c r="L95" s="115">
        <f>SUM(L96:L97)</f>
        <v>0</v>
      </c>
      <c r="M95" s="116" t="str">
        <f>L95/L$29</f>
        <v>#DIV/0!</v>
      </c>
      <c r="N95" s="116">
        <f>SUM(N96:N97)</f>
        <v>0</v>
      </c>
      <c r="O95" s="116"/>
      <c r="P95" s="830">
        <f>SUM(P96:P97)</f>
        <v>0</v>
      </c>
      <c r="Q95" s="938" t="str">
        <f>P95/P$29</f>
        <v>#DIV/0!</v>
      </c>
      <c r="R95" s="115">
        <f>SUM(R96:R97)</f>
        <v>0</v>
      </c>
      <c r="S95" s="116" t="str">
        <f>R95/R$29</f>
        <v>#DIV/0!</v>
      </c>
      <c r="T95" s="116">
        <f>SUM(T96:T97)</f>
        <v>0</v>
      </c>
      <c r="U95" s="116"/>
    </row>
    <row r="96" ht="15.75" customHeight="1">
      <c r="A96" s="425"/>
      <c r="B96" s="481"/>
      <c r="C96" s="481" t="s">
        <v>239</v>
      </c>
      <c r="D96" s="140"/>
      <c r="E96" s="73"/>
      <c r="F96" s="74"/>
      <c r="G96" s="25"/>
      <c r="H96" s="25"/>
      <c r="I96" s="901"/>
      <c r="J96" s="33"/>
      <c r="K96" s="73"/>
      <c r="L96" s="74"/>
      <c r="M96" s="25"/>
      <c r="N96" s="25"/>
      <c r="O96" s="25"/>
      <c r="P96" s="838"/>
      <c r="Q96" s="902"/>
      <c r="R96" s="74"/>
      <c r="S96" s="25"/>
      <c r="T96" s="25"/>
      <c r="U96" s="25"/>
    </row>
    <row r="97" ht="15.75" customHeight="1">
      <c r="A97" s="425"/>
      <c r="B97" s="481"/>
      <c r="C97" s="450" t="s">
        <v>301</v>
      </c>
      <c r="D97" s="174">
        <v>36280.333333333336</v>
      </c>
      <c r="E97" s="889"/>
      <c r="F97" s="149"/>
      <c r="G97" s="38"/>
      <c r="H97" s="38"/>
      <c r="I97" s="890"/>
      <c r="J97" s="34">
        <v>36281.0</v>
      </c>
      <c r="K97" s="889"/>
      <c r="L97" s="149"/>
      <c r="M97" s="38"/>
      <c r="N97" s="38"/>
      <c r="O97" s="38"/>
      <c r="P97" s="826"/>
      <c r="Q97" s="903"/>
      <c r="R97" s="149"/>
      <c r="S97" s="38"/>
      <c r="T97" s="38"/>
      <c r="U97" s="38"/>
    </row>
    <row r="98" ht="15.75" customHeight="1">
      <c r="A98" s="425"/>
      <c r="B98" s="468"/>
      <c r="C98" s="468"/>
      <c r="D98" s="933"/>
      <c r="E98" s="892"/>
      <c r="F98" s="79"/>
      <c r="G98" s="48"/>
      <c r="H98" s="48"/>
      <c r="I98" s="895"/>
      <c r="J98" s="52"/>
      <c r="K98" s="892"/>
      <c r="L98" s="79"/>
      <c r="M98" s="48"/>
      <c r="N98" s="48"/>
      <c r="O98" s="48"/>
      <c r="P98" s="829"/>
      <c r="Q98" s="934"/>
      <c r="R98" s="79"/>
      <c r="S98" s="48"/>
      <c r="T98" s="48"/>
      <c r="U98" s="48"/>
    </row>
    <row r="99" ht="15.75" customHeight="1">
      <c r="A99" s="425"/>
      <c r="B99" s="477"/>
      <c r="C99" s="492" t="s">
        <v>40</v>
      </c>
      <c r="D99" s="118">
        <f>SUM(D100:D114)</f>
        <v>60617.26333</v>
      </c>
      <c r="E99" s="974">
        <f>D99/D$29</f>
        <v>0.1187340307</v>
      </c>
      <c r="F99" s="935">
        <f>SUM(F100:F111)</f>
        <v>17163.33333</v>
      </c>
      <c r="G99" s="936" t="str">
        <f>F99/F$29</f>
        <v>#DIV/0!</v>
      </c>
      <c r="H99" s="935">
        <f>SUM(H100:H111)</f>
        <v>60617.26333</v>
      </c>
      <c r="I99" s="937"/>
      <c r="J99" s="118">
        <f>SUM(J100:J114)</f>
        <v>100840.3333</v>
      </c>
      <c r="K99" s="974">
        <f>J99/J$29</f>
        <v>0.2189972144</v>
      </c>
      <c r="L99" s="935">
        <f>SUM(L100:L111)</f>
        <v>0</v>
      </c>
      <c r="M99" s="936" t="str">
        <f>L99/L$29</f>
        <v>#DIV/0!</v>
      </c>
      <c r="N99" s="935">
        <f>SUM(N100:N111)</f>
        <v>80962</v>
      </c>
      <c r="O99" s="936"/>
      <c r="P99" s="830">
        <f>SUM(P100:P114)</f>
        <v>0</v>
      </c>
      <c r="Q99" s="975" t="str">
        <f>P99/P$29</f>
        <v>#DIV/0!</v>
      </c>
      <c r="R99" s="935">
        <f>SUM(R100:R111)</f>
        <v>0</v>
      </c>
      <c r="S99" s="936" t="str">
        <f>R99/R$29</f>
        <v>#DIV/0!</v>
      </c>
      <c r="T99" s="935">
        <f>SUM(T100:T111)</f>
        <v>0</v>
      </c>
      <c r="U99" s="936"/>
    </row>
    <row r="100" ht="15.75" customHeight="1">
      <c r="A100" s="425"/>
      <c r="B100" s="481"/>
      <c r="C100" s="481" t="s">
        <v>241</v>
      </c>
      <c r="D100" s="140">
        <v>0.0</v>
      </c>
      <c r="E100" s="73">
        <f t="shared" ref="E100:E102" si="41">IFERROR((D100/D$29),"")</f>
        <v>0</v>
      </c>
      <c r="F100" s="74"/>
      <c r="G100" s="25" t="str">
        <f t="shared" ref="G100:G102" si="42">IFERROR((F100/F$29),"")</f>
        <v/>
      </c>
      <c r="H100" s="74">
        <f t="shared" ref="H100:H102" si="43">D100-F100</f>
        <v>0</v>
      </c>
      <c r="I100" s="901"/>
      <c r="J100" s="90">
        <v>0.0</v>
      </c>
      <c r="K100" s="73">
        <f t="shared" ref="K100:K113" si="44">IFERROR((J100/J$29),"")</f>
        <v>0</v>
      </c>
      <c r="L100" s="74"/>
      <c r="M100" s="25" t="str">
        <f t="shared" ref="M100:M105" si="45">IFERROR((L100/L$29),"")</f>
        <v/>
      </c>
      <c r="N100" s="74">
        <f t="shared" ref="N100:N105" si="46">J100-L100</f>
        <v>0</v>
      </c>
      <c r="O100" s="25"/>
      <c r="P100" s="859"/>
      <c r="Q100" s="902" t="str">
        <f t="shared" ref="Q100:Q113" si="47">IFERROR((P100/P$29),"")</f>
        <v/>
      </c>
      <c r="R100" s="74"/>
      <c r="S100" s="25" t="str">
        <f t="shared" ref="S100:S105" si="48">IFERROR((R100/R$29),"")</f>
        <v/>
      </c>
      <c r="T100" s="74">
        <f t="shared" ref="T100:T105" si="49">P100-R100</f>
        <v>0</v>
      </c>
      <c r="U100" s="25"/>
    </row>
    <row r="101" ht="15.75" customHeight="1">
      <c r="A101" s="425"/>
      <c r="B101" s="450"/>
      <c r="C101" s="450" t="s">
        <v>242</v>
      </c>
      <c r="D101" s="932">
        <v>5753.0</v>
      </c>
      <c r="E101" s="892">
        <f t="shared" si="41"/>
        <v>0.01126868554</v>
      </c>
      <c r="F101" s="79"/>
      <c r="G101" s="48" t="str">
        <f t="shared" si="42"/>
        <v/>
      </c>
      <c r="H101" s="79">
        <f t="shared" si="43"/>
        <v>5753</v>
      </c>
      <c r="I101" s="895"/>
      <c r="J101" s="34">
        <v>20520.0</v>
      </c>
      <c r="K101" s="934">
        <f t="shared" si="44"/>
        <v>0.0445637444</v>
      </c>
      <c r="L101" s="79"/>
      <c r="M101" s="48" t="str">
        <f t="shared" si="45"/>
        <v/>
      </c>
      <c r="N101" s="79">
        <f t="shared" si="46"/>
        <v>20520</v>
      </c>
      <c r="O101" s="48"/>
      <c r="P101" s="826"/>
      <c r="Q101" s="934" t="str">
        <f t="shared" si="47"/>
        <v/>
      </c>
      <c r="R101" s="79"/>
      <c r="S101" s="48" t="str">
        <f t="shared" si="48"/>
        <v/>
      </c>
      <c r="T101" s="79">
        <f t="shared" si="49"/>
        <v>0</v>
      </c>
      <c r="U101" s="48"/>
    </row>
    <row r="102" ht="15.75" customHeight="1">
      <c r="A102" s="425"/>
      <c r="B102" s="450"/>
      <c r="C102" s="450" t="s">
        <v>243</v>
      </c>
      <c r="D102" s="174">
        <v>0.0</v>
      </c>
      <c r="E102" s="889">
        <f t="shared" si="41"/>
        <v>0</v>
      </c>
      <c r="F102" s="149"/>
      <c r="G102" s="38" t="str">
        <f t="shared" si="42"/>
        <v/>
      </c>
      <c r="H102" s="149">
        <f t="shared" si="43"/>
        <v>0</v>
      </c>
      <c r="I102" s="890"/>
      <c r="J102" s="33">
        <v>0.0</v>
      </c>
      <c r="K102" s="889">
        <f t="shared" si="44"/>
        <v>0</v>
      </c>
      <c r="L102" s="149"/>
      <c r="M102" s="38" t="str">
        <f t="shared" si="45"/>
        <v/>
      </c>
      <c r="N102" s="149">
        <f t="shared" si="46"/>
        <v>0</v>
      </c>
      <c r="O102" s="38"/>
      <c r="P102" s="838"/>
      <c r="Q102" s="903" t="str">
        <f t="shared" si="47"/>
        <v/>
      </c>
      <c r="R102" s="149"/>
      <c r="S102" s="38" t="str">
        <f t="shared" si="48"/>
        <v/>
      </c>
      <c r="T102" s="149">
        <f t="shared" si="49"/>
        <v>0</v>
      </c>
      <c r="U102" s="38"/>
    </row>
    <row r="103" ht="15.75" customHeight="1">
      <c r="A103" s="425"/>
      <c r="B103" s="450"/>
      <c r="C103" s="450" t="s">
        <v>244</v>
      </c>
      <c r="D103" s="140">
        <v>15000.0</v>
      </c>
      <c r="E103" s="140">
        <v>15000.0</v>
      </c>
      <c r="F103" s="140">
        <v>15000.0</v>
      </c>
      <c r="G103" s="140">
        <v>15000.0</v>
      </c>
      <c r="H103" s="140">
        <v>15000.0</v>
      </c>
      <c r="I103" s="967">
        <v>15000.0</v>
      </c>
      <c r="J103" s="33">
        <v>15000.0</v>
      </c>
      <c r="K103" s="73">
        <f t="shared" si="44"/>
        <v>0.03257583655</v>
      </c>
      <c r="L103" s="74"/>
      <c r="M103" s="25" t="str">
        <f t="shared" si="45"/>
        <v/>
      </c>
      <c r="N103" s="74">
        <f t="shared" si="46"/>
        <v>15000</v>
      </c>
      <c r="O103" s="25"/>
      <c r="P103" s="838"/>
      <c r="Q103" s="902" t="str">
        <f t="shared" si="47"/>
        <v/>
      </c>
      <c r="R103" s="74"/>
      <c r="S103" s="25" t="str">
        <f t="shared" si="48"/>
        <v/>
      </c>
      <c r="T103" s="74">
        <f t="shared" si="49"/>
        <v>0</v>
      </c>
      <c r="U103" s="25"/>
    </row>
    <row r="104" ht="15.75" customHeight="1">
      <c r="A104" s="425"/>
      <c r="B104" s="450"/>
      <c r="C104" s="450" t="s">
        <v>245</v>
      </c>
      <c r="D104" s="174">
        <v>17785.0</v>
      </c>
      <c r="E104" s="889">
        <f t="shared" ref="E104:E105" si="50">IFERROR((D104/D$29),"")</f>
        <v>0.03483635882</v>
      </c>
      <c r="F104" s="149"/>
      <c r="G104" s="38" t="str">
        <f t="shared" ref="G104:G105" si="51">IFERROR((F104/F$29),"")</f>
        <v/>
      </c>
      <c r="H104" s="149">
        <f t="shared" ref="H104:H105" si="52">D104-F104</f>
        <v>17785</v>
      </c>
      <c r="I104" s="890"/>
      <c r="J104" s="34">
        <v>4500.0</v>
      </c>
      <c r="K104" s="889">
        <f t="shared" si="44"/>
        <v>0.009772750964</v>
      </c>
      <c r="L104" s="149"/>
      <c r="M104" s="38" t="str">
        <f t="shared" si="45"/>
        <v/>
      </c>
      <c r="N104" s="149">
        <f t="shared" si="46"/>
        <v>4500</v>
      </c>
      <c r="O104" s="38"/>
      <c r="P104" s="826"/>
      <c r="Q104" s="903" t="str">
        <f t="shared" si="47"/>
        <v/>
      </c>
      <c r="R104" s="149"/>
      <c r="S104" s="38" t="str">
        <f t="shared" si="48"/>
        <v/>
      </c>
      <c r="T104" s="149">
        <f t="shared" si="49"/>
        <v>0</v>
      </c>
      <c r="U104" s="38"/>
    </row>
    <row r="105" ht="15.75" customHeight="1">
      <c r="A105" s="425"/>
      <c r="B105" s="450"/>
      <c r="C105" s="450" t="s">
        <v>247</v>
      </c>
      <c r="D105" s="933">
        <v>16821.93</v>
      </c>
      <c r="E105" s="892">
        <f t="shared" si="50"/>
        <v>0.032949946</v>
      </c>
      <c r="F105" s="79"/>
      <c r="G105" s="48" t="str">
        <f t="shared" si="51"/>
        <v/>
      </c>
      <c r="H105" s="79">
        <f t="shared" si="52"/>
        <v>16821.93</v>
      </c>
      <c r="I105" s="895"/>
      <c r="J105" s="52">
        <v>36486.0</v>
      </c>
      <c r="K105" s="892">
        <f t="shared" si="44"/>
        <v>0.07923746482</v>
      </c>
      <c r="L105" s="79"/>
      <c r="M105" s="48" t="str">
        <f t="shared" si="45"/>
        <v/>
      </c>
      <c r="N105" s="79">
        <f t="shared" si="46"/>
        <v>36486</v>
      </c>
      <c r="O105" s="48"/>
      <c r="P105" s="829"/>
      <c r="Q105" s="934" t="str">
        <f t="shared" si="47"/>
        <v/>
      </c>
      <c r="R105" s="79"/>
      <c r="S105" s="48" t="str">
        <f t="shared" si="48"/>
        <v/>
      </c>
      <c r="T105" s="79">
        <f t="shared" si="49"/>
        <v>0</v>
      </c>
      <c r="U105" s="48"/>
    </row>
    <row r="106" ht="15.75" customHeight="1">
      <c r="A106" s="425"/>
      <c r="B106" s="450"/>
      <c r="C106" s="450" t="s">
        <v>246</v>
      </c>
      <c r="D106" s="174">
        <v>2163.3333333333335</v>
      </c>
      <c r="E106" s="174">
        <v>2163.3333333333335</v>
      </c>
      <c r="F106" s="174">
        <v>2163.3333333333335</v>
      </c>
      <c r="G106" s="174">
        <v>2163.3333333333335</v>
      </c>
      <c r="H106" s="174">
        <v>2163.3333333333335</v>
      </c>
      <c r="I106" s="970">
        <v>2163.3333333333335</v>
      </c>
      <c r="J106" s="34">
        <v>2163.3333333333335</v>
      </c>
      <c r="K106" s="892">
        <f t="shared" si="44"/>
        <v>0.004698159538</v>
      </c>
      <c r="L106" s="149"/>
      <c r="M106" s="38"/>
      <c r="N106" s="38"/>
      <c r="O106" s="38"/>
      <c r="P106" s="826"/>
      <c r="Q106" s="934" t="str">
        <f t="shared" si="47"/>
        <v/>
      </c>
      <c r="R106" s="149"/>
      <c r="S106" s="38"/>
      <c r="T106" s="38"/>
      <c r="U106" s="38"/>
    </row>
    <row r="107" ht="15.75" customHeight="1">
      <c r="A107" s="425"/>
      <c r="B107" s="450"/>
      <c r="C107" s="450" t="s">
        <v>249</v>
      </c>
      <c r="D107" s="140">
        <v>0.0</v>
      </c>
      <c r="E107" s="73">
        <f t="shared" ref="E107:E113" si="53">IFERROR((D107/D$29),"")</f>
        <v>0</v>
      </c>
      <c r="F107" s="74"/>
      <c r="G107" s="25" t="str">
        <f t="shared" ref="G107:G112" si="54">IFERROR((F107/F$29),"")</f>
        <v/>
      </c>
      <c r="H107" s="74">
        <f t="shared" ref="H107:H113" si="55">D107-F107</f>
        <v>0</v>
      </c>
      <c r="I107" s="901"/>
      <c r="J107" s="33">
        <v>0.0</v>
      </c>
      <c r="K107" s="73">
        <f t="shared" si="44"/>
        <v>0</v>
      </c>
      <c r="L107" s="74"/>
      <c r="M107" s="25" t="str">
        <f t="shared" ref="M107:M112" si="56">IFERROR((L107/L$29),"")</f>
        <v/>
      </c>
      <c r="N107" s="74">
        <f t="shared" ref="N107:N113" si="57">J107-L107</f>
        <v>0</v>
      </c>
      <c r="O107" s="25"/>
      <c r="P107" s="838"/>
      <c r="Q107" s="902" t="str">
        <f t="shared" si="47"/>
        <v/>
      </c>
      <c r="R107" s="74"/>
      <c r="S107" s="25" t="str">
        <f t="shared" ref="S107:S112" si="58">IFERROR((R107/R$29),"")</f>
        <v/>
      </c>
      <c r="T107" s="74">
        <f t="shared" ref="T107:T113" si="59">P107-R107</f>
        <v>0</v>
      </c>
      <c r="U107" s="25"/>
    </row>
    <row r="108" ht="15.75" customHeight="1">
      <c r="A108" s="425"/>
      <c r="B108" s="450"/>
      <c r="C108" s="450" t="s">
        <v>250</v>
      </c>
      <c r="D108" s="174">
        <v>0.0</v>
      </c>
      <c r="E108" s="889">
        <f t="shared" si="53"/>
        <v>0</v>
      </c>
      <c r="F108" s="149"/>
      <c r="G108" s="38" t="str">
        <f t="shared" si="54"/>
        <v/>
      </c>
      <c r="H108" s="149">
        <f t="shared" si="55"/>
        <v>0</v>
      </c>
      <c r="I108" s="890"/>
      <c r="J108" s="34">
        <v>0.0</v>
      </c>
      <c r="K108" s="889">
        <f t="shared" si="44"/>
        <v>0</v>
      </c>
      <c r="L108" s="149"/>
      <c r="M108" s="38" t="str">
        <f t="shared" si="56"/>
        <v/>
      </c>
      <c r="N108" s="149">
        <f t="shared" si="57"/>
        <v>0</v>
      </c>
      <c r="O108" s="38"/>
      <c r="P108" s="826"/>
      <c r="Q108" s="903" t="str">
        <f t="shared" si="47"/>
        <v/>
      </c>
      <c r="R108" s="149"/>
      <c r="S108" s="38" t="str">
        <f t="shared" si="58"/>
        <v/>
      </c>
      <c r="T108" s="149">
        <f t="shared" si="59"/>
        <v>0</v>
      </c>
      <c r="U108" s="38"/>
    </row>
    <row r="109" ht="15.75" customHeight="1">
      <c r="A109" s="425"/>
      <c r="B109" s="450"/>
      <c r="C109" s="450" t="s">
        <v>251</v>
      </c>
      <c r="D109" s="174">
        <v>3094.0</v>
      </c>
      <c r="E109" s="889">
        <f t="shared" si="53"/>
        <v>0.006060370773</v>
      </c>
      <c r="F109" s="149"/>
      <c r="G109" s="38" t="str">
        <f t="shared" si="54"/>
        <v/>
      </c>
      <c r="H109" s="149">
        <f t="shared" si="55"/>
        <v>3094</v>
      </c>
      <c r="I109" s="890"/>
      <c r="J109" s="34">
        <v>4456.0</v>
      </c>
      <c r="K109" s="889">
        <f t="shared" si="44"/>
        <v>0.009677195177</v>
      </c>
      <c r="L109" s="149"/>
      <c r="M109" s="38" t="str">
        <f t="shared" si="56"/>
        <v/>
      </c>
      <c r="N109" s="149">
        <f t="shared" si="57"/>
        <v>4456</v>
      </c>
      <c r="O109" s="38"/>
      <c r="P109" s="826"/>
      <c r="Q109" s="903" t="str">
        <f t="shared" si="47"/>
        <v/>
      </c>
      <c r="R109" s="149"/>
      <c r="S109" s="38" t="str">
        <f t="shared" si="58"/>
        <v/>
      </c>
      <c r="T109" s="149">
        <f t="shared" si="59"/>
        <v>0</v>
      </c>
      <c r="U109" s="38"/>
    </row>
    <row r="110" ht="15.75" customHeight="1">
      <c r="A110" s="425"/>
      <c r="B110" s="450"/>
      <c r="C110" s="450" t="s">
        <v>252</v>
      </c>
      <c r="D110" s="174">
        <v>0.0</v>
      </c>
      <c r="E110" s="889">
        <f t="shared" si="53"/>
        <v>0</v>
      </c>
      <c r="F110" s="149"/>
      <c r="G110" s="38" t="str">
        <f t="shared" si="54"/>
        <v/>
      </c>
      <c r="H110" s="149">
        <f t="shared" si="55"/>
        <v>0</v>
      </c>
      <c r="I110" s="890"/>
      <c r="J110" s="34">
        <v>0.0</v>
      </c>
      <c r="K110" s="889">
        <f t="shared" si="44"/>
        <v>0</v>
      </c>
      <c r="L110" s="149"/>
      <c r="M110" s="38" t="str">
        <f t="shared" si="56"/>
        <v/>
      </c>
      <c r="N110" s="149">
        <f t="shared" si="57"/>
        <v>0</v>
      </c>
      <c r="O110" s="38"/>
      <c r="P110" s="826"/>
      <c r="Q110" s="903" t="str">
        <f t="shared" si="47"/>
        <v/>
      </c>
      <c r="R110" s="149"/>
      <c r="S110" s="38" t="str">
        <f t="shared" si="58"/>
        <v/>
      </c>
      <c r="T110" s="149">
        <f t="shared" si="59"/>
        <v>0</v>
      </c>
      <c r="U110" s="38"/>
    </row>
    <row r="111" ht="15.75" customHeight="1">
      <c r="A111" s="425"/>
      <c r="B111" s="450"/>
      <c r="C111" s="450" t="s">
        <v>303</v>
      </c>
      <c r="D111" s="174">
        <v>0.0</v>
      </c>
      <c r="E111" s="889">
        <f t="shared" si="53"/>
        <v>0</v>
      </c>
      <c r="F111" s="149"/>
      <c r="G111" s="38" t="str">
        <f t="shared" si="54"/>
        <v/>
      </c>
      <c r="H111" s="149">
        <f t="shared" si="55"/>
        <v>0</v>
      </c>
      <c r="I111" s="890"/>
      <c r="J111" s="34">
        <v>0.0</v>
      </c>
      <c r="K111" s="889">
        <f t="shared" si="44"/>
        <v>0</v>
      </c>
      <c r="L111" s="149"/>
      <c r="M111" s="38" t="str">
        <f t="shared" si="56"/>
        <v/>
      </c>
      <c r="N111" s="149">
        <f t="shared" si="57"/>
        <v>0</v>
      </c>
      <c r="O111" s="38"/>
      <c r="P111" s="826"/>
      <c r="Q111" s="903" t="str">
        <f t="shared" si="47"/>
        <v/>
      </c>
      <c r="R111" s="149"/>
      <c r="S111" s="38" t="str">
        <f t="shared" si="58"/>
        <v/>
      </c>
      <c r="T111" s="149">
        <f t="shared" si="59"/>
        <v>0</v>
      </c>
      <c r="U111" s="38"/>
    </row>
    <row r="112" ht="15.75" customHeight="1">
      <c r="A112" s="425"/>
      <c r="B112" s="450"/>
      <c r="C112" s="450" t="s">
        <v>332</v>
      </c>
      <c r="D112" s="174">
        <v>0.0</v>
      </c>
      <c r="E112" s="889">
        <f t="shared" si="53"/>
        <v>0</v>
      </c>
      <c r="F112" s="149"/>
      <c r="G112" s="38" t="str">
        <f t="shared" si="54"/>
        <v/>
      </c>
      <c r="H112" s="149">
        <f t="shared" si="55"/>
        <v>0</v>
      </c>
      <c r="I112" s="890"/>
      <c r="J112" s="34">
        <v>0.0</v>
      </c>
      <c r="K112" s="889">
        <f t="shared" si="44"/>
        <v>0</v>
      </c>
      <c r="L112" s="149"/>
      <c r="M112" s="38" t="str">
        <f t="shared" si="56"/>
        <v/>
      </c>
      <c r="N112" s="149">
        <f t="shared" si="57"/>
        <v>0</v>
      </c>
      <c r="O112" s="38"/>
      <c r="P112" s="826"/>
      <c r="Q112" s="903" t="str">
        <f t="shared" si="47"/>
        <v/>
      </c>
      <c r="R112" s="149"/>
      <c r="S112" s="38" t="str">
        <f t="shared" si="58"/>
        <v/>
      </c>
      <c r="T112" s="149">
        <f t="shared" si="59"/>
        <v>0</v>
      </c>
      <c r="U112" s="38"/>
    </row>
    <row r="113" ht="15.75" customHeight="1">
      <c r="A113" s="425"/>
      <c r="B113" s="450"/>
      <c r="C113" s="450" t="s">
        <v>280</v>
      </c>
      <c r="D113" s="174">
        <v>0.0</v>
      </c>
      <c r="E113" s="889">
        <f t="shared" si="53"/>
        <v>0</v>
      </c>
      <c r="F113" s="149"/>
      <c r="G113" s="38"/>
      <c r="H113" s="149">
        <f t="shared" si="55"/>
        <v>0</v>
      </c>
      <c r="I113" s="890"/>
      <c r="J113" s="34">
        <v>17715.0</v>
      </c>
      <c r="K113" s="889">
        <f t="shared" si="44"/>
        <v>0.03847206296</v>
      </c>
      <c r="L113" s="149"/>
      <c r="M113" s="38"/>
      <c r="N113" s="149">
        <f t="shared" si="57"/>
        <v>17715</v>
      </c>
      <c r="O113" s="38"/>
      <c r="P113" s="826"/>
      <c r="Q113" s="903" t="str">
        <f t="shared" si="47"/>
        <v/>
      </c>
      <c r="R113" s="149"/>
      <c r="S113" s="38"/>
      <c r="T113" s="149">
        <f t="shared" si="59"/>
        <v>0</v>
      </c>
      <c r="U113" s="38"/>
    </row>
    <row r="114" ht="15.75" customHeight="1">
      <c r="A114" s="425"/>
      <c r="B114" s="468"/>
      <c r="C114" s="468"/>
      <c r="D114" s="933"/>
      <c r="E114" s="892"/>
      <c r="F114" s="79"/>
      <c r="G114" s="48"/>
      <c r="H114" s="48"/>
      <c r="I114" s="895"/>
      <c r="J114" s="52"/>
      <c r="K114" s="892"/>
      <c r="L114" s="79"/>
      <c r="M114" s="48"/>
      <c r="N114" s="48"/>
      <c r="O114" s="48"/>
      <c r="P114" s="829"/>
      <c r="Q114" s="934"/>
      <c r="R114" s="79"/>
      <c r="S114" s="48"/>
      <c r="T114" s="48"/>
      <c r="U114" s="48"/>
    </row>
    <row r="115" ht="15.75" customHeight="1">
      <c r="A115" s="425"/>
      <c r="B115" s="477"/>
      <c r="C115" s="492" t="s">
        <v>41</v>
      </c>
      <c r="D115" s="210">
        <f>SUM(D116:D117)</f>
        <v>0</v>
      </c>
      <c r="E115" s="974"/>
      <c r="F115" s="935">
        <f>SUM(F116:F117)</f>
        <v>0</v>
      </c>
      <c r="G115" s="936"/>
      <c r="H115" s="935">
        <f>SUM(H116:H117)</f>
        <v>0</v>
      </c>
      <c r="I115" s="937"/>
      <c r="J115" s="118">
        <f>SUM(J116:J117)</f>
        <v>0</v>
      </c>
      <c r="K115" s="974"/>
      <c r="L115" s="935">
        <f>SUM(L116:L117)</f>
        <v>0</v>
      </c>
      <c r="M115" s="936"/>
      <c r="N115" s="935">
        <f>SUM(N116:N117)</f>
        <v>0</v>
      </c>
      <c r="O115" s="936"/>
      <c r="P115" s="830">
        <f>SUM(P116:P117)</f>
        <v>0</v>
      </c>
      <c r="Q115" s="975"/>
      <c r="R115" s="935">
        <f>SUM(R116:R117)</f>
        <v>0</v>
      </c>
      <c r="S115" s="936"/>
      <c r="T115" s="935">
        <f>SUM(T116:T117)</f>
        <v>0</v>
      </c>
      <c r="U115" s="936"/>
    </row>
    <row r="116" ht="15.75" customHeight="1">
      <c r="A116" s="425"/>
      <c r="B116" s="481"/>
      <c r="C116" s="481" t="s">
        <v>253</v>
      </c>
      <c r="D116" s="140">
        <v>0.0</v>
      </c>
      <c r="E116" s="73">
        <f t="shared" ref="E116:E117" si="60">IFERROR((D116/D$29),"")</f>
        <v>0</v>
      </c>
      <c r="F116" s="74"/>
      <c r="G116" s="25"/>
      <c r="H116" s="74">
        <f t="shared" ref="H116:H117" si="61">D116-F116</f>
        <v>0</v>
      </c>
      <c r="I116" s="901"/>
      <c r="J116" s="33">
        <v>0.0</v>
      </c>
      <c r="K116" s="73">
        <f t="shared" ref="K116:K117" si="62">IFERROR((J116/J$29),"")</f>
        <v>0</v>
      </c>
      <c r="L116" s="74"/>
      <c r="M116" s="25"/>
      <c r="N116" s="74">
        <f t="shared" ref="N116:N117" si="63">J116-L116</f>
        <v>0</v>
      </c>
      <c r="O116" s="25"/>
      <c r="P116" s="838">
        <v>0.0</v>
      </c>
      <c r="Q116" s="902" t="str">
        <f t="shared" ref="Q116:Q117" si="64">IFERROR((P116/P$29),"")</f>
        <v/>
      </c>
      <c r="R116" s="74"/>
      <c r="S116" s="25"/>
      <c r="T116" s="74">
        <f t="shared" ref="T116:T117" si="65">P116-R116</f>
        <v>0</v>
      </c>
      <c r="U116" s="25"/>
    </row>
    <row r="117" ht="15.75" customHeight="1">
      <c r="A117" s="425"/>
      <c r="B117" s="450"/>
      <c r="C117" s="450" t="s">
        <v>41</v>
      </c>
      <c r="D117" s="174">
        <v>0.0</v>
      </c>
      <c r="E117" s="889">
        <f t="shared" si="60"/>
        <v>0</v>
      </c>
      <c r="F117" s="149"/>
      <c r="G117" s="38"/>
      <c r="H117" s="149">
        <f t="shared" si="61"/>
        <v>0</v>
      </c>
      <c r="I117" s="890"/>
      <c r="J117" s="34">
        <v>0.0</v>
      </c>
      <c r="K117" s="889">
        <f t="shared" si="62"/>
        <v>0</v>
      </c>
      <c r="L117" s="149"/>
      <c r="M117" s="38"/>
      <c r="N117" s="149">
        <f t="shared" si="63"/>
        <v>0</v>
      </c>
      <c r="O117" s="38"/>
      <c r="P117" s="826">
        <v>0.0</v>
      </c>
      <c r="Q117" s="903" t="str">
        <f t="shared" si="64"/>
        <v/>
      </c>
      <c r="R117" s="149"/>
      <c r="S117" s="38"/>
      <c r="T117" s="149">
        <f t="shared" si="65"/>
        <v>0</v>
      </c>
      <c r="U117" s="38"/>
    </row>
    <row r="118" ht="15.75" customHeight="1">
      <c r="A118" s="425"/>
      <c r="B118" s="468"/>
      <c r="C118" s="468"/>
      <c r="D118" s="933"/>
      <c r="E118" s="892"/>
      <c r="F118" s="79"/>
      <c r="G118" s="48"/>
      <c r="H118" s="48"/>
      <c r="I118" s="895"/>
      <c r="J118" s="52"/>
      <c r="K118" s="892"/>
      <c r="L118" s="79"/>
      <c r="M118" s="48"/>
      <c r="N118" s="48"/>
      <c r="O118" s="48"/>
      <c r="P118" s="829"/>
      <c r="Q118" s="934"/>
      <c r="R118" s="79"/>
      <c r="S118" s="48"/>
      <c r="T118" s="48"/>
      <c r="U118" s="48"/>
    </row>
    <row r="119" ht="15.75" customHeight="1">
      <c r="A119" s="425"/>
      <c r="B119" s="477"/>
      <c r="C119" s="492" t="s">
        <v>42</v>
      </c>
      <c r="D119" s="210">
        <f>SUM(D120:D121)</f>
        <v>-1983159</v>
      </c>
      <c r="E119" s="974"/>
      <c r="F119" s="935">
        <f>SUM(F120:F121)</f>
        <v>0</v>
      </c>
      <c r="G119" s="936"/>
      <c r="H119" s="935">
        <f>SUM(H120:H121)</f>
        <v>-1983159</v>
      </c>
      <c r="I119" s="937"/>
      <c r="J119" s="118">
        <f>SUM(J120:J121)</f>
        <v>-2033815</v>
      </c>
      <c r="K119" s="974"/>
      <c r="L119" s="935">
        <f>SUM(L120:L121)</f>
        <v>0</v>
      </c>
      <c r="M119" s="936"/>
      <c r="N119" s="935">
        <f>SUM(N120:N121)</f>
        <v>-2033815</v>
      </c>
      <c r="O119" s="936"/>
      <c r="P119" s="830">
        <f>SUM(P120:P121)</f>
        <v>0</v>
      </c>
      <c r="Q119" s="975"/>
      <c r="R119" s="935">
        <f>SUM(R120:R121)</f>
        <v>0</v>
      </c>
      <c r="S119" s="936"/>
      <c r="T119" s="935">
        <f>SUM(T120:T121)</f>
        <v>0</v>
      </c>
      <c r="U119" s="936"/>
    </row>
    <row r="120" ht="15.75" customHeight="1">
      <c r="A120" s="425"/>
      <c r="B120" s="481"/>
      <c r="C120" s="481" t="s">
        <v>333</v>
      </c>
      <c r="D120" s="140">
        <v>-1983159.0</v>
      </c>
      <c r="E120" s="73">
        <f t="shared" ref="E120:E121" si="66">IFERROR((D120/D$29),"")</f>
        <v>-3.884511584</v>
      </c>
      <c r="F120" s="74"/>
      <c r="G120" s="25"/>
      <c r="H120" s="74">
        <f t="shared" ref="H120:H121" si="67">D120-F120</f>
        <v>-1983159</v>
      </c>
      <c r="I120" s="901"/>
      <c r="J120" s="33">
        <v>-2033815.0</v>
      </c>
      <c r="K120" s="73">
        <f t="shared" ref="K120:K121" si="68">IFERROR((J120/J$29),"")</f>
        <v>-4.416881667</v>
      </c>
      <c r="L120" s="74"/>
      <c r="M120" s="25"/>
      <c r="N120" s="74">
        <f t="shared" ref="N120:N121" si="69">J120-L120</f>
        <v>-2033815</v>
      </c>
      <c r="O120" s="25"/>
      <c r="P120" s="838"/>
      <c r="Q120" s="902" t="str">
        <f t="shared" ref="Q120:Q121" si="70">IFERROR((P120/P$29),"")</f>
        <v/>
      </c>
      <c r="R120" s="74"/>
      <c r="S120" s="25"/>
      <c r="T120" s="74">
        <f t="shared" ref="T120:T121" si="71">P120-R120</f>
        <v>0</v>
      </c>
      <c r="U120" s="25"/>
    </row>
    <row r="121" ht="15.75" customHeight="1">
      <c r="A121" s="425"/>
      <c r="B121" s="450"/>
      <c r="C121" s="450" t="s">
        <v>256</v>
      </c>
      <c r="D121" s="174">
        <v>0.0</v>
      </c>
      <c r="E121" s="889">
        <f t="shared" si="66"/>
        <v>0</v>
      </c>
      <c r="F121" s="149"/>
      <c r="G121" s="38"/>
      <c r="H121" s="149">
        <f t="shared" si="67"/>
        <v>0</v>
      </c>
      <c r="I121" s="890"/>
      <c r="J121" s="34">
        <v>0.0</v>
      </c>
      <c r="K121" s="889">
        <f t="shared" si="68"/>
        <v>0</v>
      </c>
      <c r="L121" s="149"/>
      <c r="M121" s="38"/>
      <c r="N121" s="149">
        <f t="shared" si="69"/>
        <v>0</v>
      </c>
      <c r="O121" s="38"/>
      <c r="P121" s="826"/>
      <c r="Q121" s="903" t="str">
        <f t="shared" si="70"/>
        <v/>
      </c>
      <c r="R121" s="149"/>
      <c r="S121" s="38"/>
      <c r="T121" s="149">
        <f t="shared" si="71"/>
        <v>0</v>
      </c>
      <c r="U121" s="38"/>
    </row>
    <row r="122" ht="15.75" customHeight="1">
      <c r="A122" s="425"/>
      <c r="B122" s="468"/>
      <c r="C122" s="468"/>
      <c r="D122" s="183"/>
      <c r="E122" s="971"/>
      <c r="F122" s="91"/>
      <c r="G122" s="94"/>
      <c r="H122" s="94"/>
      <c r="I122" s="972"/>
      <c r="J122" s="90"/>
      <c r="K122" s="971"/>
      <c r="L122" s="91"/>
      <c r="M122" s="94"/>
      <c r="N122" s="94"/>
      <c r="O122" s="94"/>
      <c r="P122" s="859"/>
      <c r="Q122" s="973"/>
      <c r="R122" s="91"/>
      <c r="S122" s="94"/>
      <c r="T122" s="94"/>
      <c r="U122" s="94"/>
    </row>
    <row r="123" ht="15.75" customHeight="1">
      <c r="A123" s="425"/>
      <c r="B123" s="474"/>
      <c r="C123" s="443" t="s">
        <v>257</v>
      </c>
      <c r="D123" s="118">
        <f>D59+D61+D69+D75+D81+D92+D95+D99+D115+D119</f>
        <v>-0.1133333333</v>
      </c>
      <c r="E123" s="111">
        <f>IFERROR((D123/D$29),"")</f>
        <v>-0.0000002219916033</v>
      </c>
      <c r="F123" s="115">
        <f>F59+F61+F69+F75+F81+F92+F95+F99+F115+F119</f>
        <v>267286.3333</v>
      </c>
      <c r="G123" s="116"/>
      <c r="H123" s="116"/>
      <c r="I123" s="946"/>
      <c r="J123" s="118">
        <f>J59+J61+J69+J75+J81+J92+J95+J99+J115+J119</f>
        <v>0.05333333323</v>
      </c>
      <c r="K123" s="111">
        <f>IFERROR((J123/J$29),"")</f>
        <v>0.0000001158251964</v>
      </c>
      <c r="L123" s="115">
        <f>L59+L61+L69+L75+L81+L92+L95+L99+L115+L119</f>
        <v>0</v>
      </c>
      <c r="M123" s="116"/>
      <c r="N123" s="116"/>
      <c r="O123" s="116"/>
      <c r="P123" s="830">
        <f>P59+P61+P69+P75+P81+P92+P95+P99+P115+P119</f>
        <v>0</v>
      </c>
      <c r="Q123" s="938" t="str">
        <f>IFERROR((P123/P$29),"")</f>
        <v/>
      </c>
      <c r="R123" s="115">
        <f>R59+R61+R69+R75+R81+R92+R95+R99+R115+R119</f>
        <v>0</v>
      </c>
      <c r="S123" s="116"/>
      <c r="T123" s="116"/>
      <c r="U123" s="116"/>
    </row>
    <row r="124" ht="15.75" customHeight="1">
      <c r="A124" s="425"/>
      <c r="B124" s="508"/>
      <c r="C124" s="508"/>
      <c r="D124" s="183"/>
      <c r="E124" s="971"/>
      <c r="F124" s="91"/>
      <c r="G124" s="94"/>
      <c r="H124" s="94"/>
      <c r="I124" s="972"/>
      <c r="J124" s="90"/>
      <c r="K124" s="971"/>
      <c r="L124" s="91"/>
      <c r="M124" s="94"/>
      <c r="N124" s="94"/>
      <c r="O124" s="94"/>
      <c r="P124" s="859"/>
      <c r="Q124" s="973"/>
      <c r="R124" s="91"/>
      <c r="S124" s="94"/>
      <c r="T124" s="94"/>
      <c r="U124" s="94"/>
    </row>
    <row r="125" ht="15.75" customHeight="1">
      <c r="A125" s="425"/>
      <c r="B125" s="474"/>
      <c r="C125" s="474" t="s">
        <v>258</v>
      </c>
      <c r="D125" s="210">
        <f>D50-D123</f>
        <v>-403003.9146</v>
      </c>
      <c r="E125" s="111">
        <f>IFERROR((D125/D$29),"")</f>
        <v>-0.7893836927</v>
      </c>
      <c r="F125" s="115">
        <f>F50-F123</f>
        <v>-267286.3333</v>
      </c>
      <c r="G125" s="116"/>
      <c r="H125" s="116"/>
      <c r="I125" s="946"/>
      <c r="J125" s="118">
        <f>J50-J123</f>
        <v>-526562.1895</v>
      </c>
      <c r="K125" s="111">
        <f>IFERROR((J125/J$29),"")</f>
        <v>-1.143546921</v>
      </c>
      <c r="L125" s="115">
        <f>L50-L123</f>
        <v>0</v>
      </c>
      <c r="M125" s="116"/>
      <c r="N125" s="116"/>
      <c r="O125" s="116"/>
      <c r="P125" s="830">
        <f>P50-P123</f>
        <v>0</v>
      </c>
      <c r="Q125" s="938" t="str">
        <f>IFERROR((P125/P$29),"")</f>
        <v/>
      </c>
      <c r="R125" s="115">
        <f>R50-R123</f>
        <v>0</v>
      </c>
      <c r="S125" s="116"/>
      <c r="T125" s="116"/>
      <c r="U125" s="116"/>
    </row>
    <row r="126" ht="15.75" customHeight="1">
      <c r="A126" s="425"/>
      <c r="B126" s="425"/>
      <c r="C126" s="425"/>
      <c r="D126" s="976"/>
      <c r="E126" s="860"/>
      <c r="F126" s="425"/>
      <c r="G126" s="425"/>
      <c r="H126" s="425"/>
      <c r="I126" s="425"/>
      <c r="J126" s="976"/>
      <c r="K126" s="860"/>
      <c r="L126" s="425"/>
      <c r="M126" s="425"/>
      <c r="N126" s="425"/>
      <c r="O126" s="425"/>
      <c r="P126" s="976"/>
      <c r="Q126" s="860"/>
      <c r="R126" s="425"/>
      <c r="S126" s="425"/>
      <c r="T126" s="425"/>
      <c r="U126" s="425"/>
    </row>
    <row r="127" ht="15.75" customHeight="1">
      <c r="A127" s="425"/>
      <c r="B127" s="425"/>
      <c r="C127" s="425"/>
      <c r="D127" s="976"/>
      <c r="E127" s="860"/>
      <c r="F127" s="425"/>
      <c r="G127" s="425"/>
      <c r="H127" s="425"/>
      <c r="I127" s="425"/>
      <c r="J127" s="976"/>
      <c r="K127" s="860"/>
      <c r="L127" s="425"/>
      <c r="M127" s="425"/>
      <c r="N127" s="425"/>
      <c r="O127" s="425"/>
      <c r="P127" s="976"/>
      <c r="Q127" s="860"/>
      <c r="R127" s="425"/>
      <c r="S127" s="425"/>
      <c r="T127" s="425"/>
      <c r="U127" s="425"/>
    </row>
    <row r="128" ht="15.75" customHeight="1">
      <c r="A128" s="425"/>
      <c r="B128" s="425"/>
      <c r="C128" s="425"/>
      <c r="D128" s="976"/>
      <c r="E128" s="860"/>
      <c r="F128" s="425"/>
      <c r="G128" s="425"/>
      <c r="H128" s="425"/>
      <c r="I128" s="425"/>
      <c r="J128" s="976"/>
      <c r="K128" s="860"/>
      <c r="L128" s="425"/>
      <c r="M128" s="425"/>
      <c r="N128" s="425"/>
      <c r="O128" s="425"/>
      <c r="P128" s="976"/>
      <c r="Q128" s="860"/>
      <c r="R128" s="425"/>
      <c r="S128" s="425"/>
      <c r="T128" s="425"/>
      <c r="U128" s="425"/>
    </row>
    <row r="129" ht="15.75" customHeight="1">
      <c r="A129" s="425"/>
      <c r="B129" s="425"/>
      <c r="C129" s="425"/>
      <c r="D129" s="976"/>
      <c r="E129" s="860"/>
      <c r="F129" s="425"/>
      <c r="G129" s="425"/>
      <c r="H129" s="425"/>
      <c r="I129" s="425"/>
      <c r="J129" s="976"/>
      <c r="K129" s="860"/>
      <c r="L129" s="425"/>
      <c r="M129" s="425"/>
      <c r="N129" s="425"/>
      <c r="O129" s="425"/>
      <c r="P129" s="976"/>
      <c r="Q129" s="860"/>
      <c r="R129" s="425"/>
      <c r="S129" s="425"/>
      <c r="T129" s="425"/>
      <c r="U129" s="425"/>
    </row>
    <row r="130" ht="15.75" customHeight="1">
      <c r="A130" s="425"/>
      <c r="B130" s="425"/>
      <c r="C130" s="425"/>
      <c r="D130" s="976"/>
      <c r="E130" s="860"/>
      <c r="F130" s="425"/>
      <c r="G130" s="425"/>
      <c r="H130" s="425"/>
      <c r="I130" s="425"/>
      <c r="J130" s="976"/>
      <c r="K130" s="860"/>
      <c r="L130" s="425"/>
      <c r="M130" s="425"/>
      <c r="N130" s="425"/>
      <c r="O130" s="425"/>
      <c r="P130" s="976"/>
      <c r="Q130" s="860"/>
      <c r="R130" s="425"/>
      <c r="S130" s="425"/>
      <c r="T130" s="425"/>
      <c r="U130" s="425"/>
    </row>
    <row r="131" ht="15.75" customHeight="1">
      <c r="A131" s="425"/>
      <c r="B131" s="425"/>
      <c r="C131" s="425"/>
      <c r="D131" s="425"/>
      <c r="E131" s="860"/>
      <c r="F131" s="425"/>
      <c r="G131" s="425"/>
      <c r="H131" s="425"/>
      <c r="I131" s="425"/>
      <c r="J131" s="425"/>
      <c r="K131" s="860"/>
      <c r="L131" s="425"/>
      <c r="M131" s="425"/>
      <c r="N131" s="425"/>
      <c r="O131" s="425"/>
      <c r="P131" s="425"/>
      <c r="Q131" s="860"/>
      <c r="R131" s="425"/>
      <c r="S131" s="425"/>
      <c r="T131" s="425"/>
      <c r="U131" s="425"/>
    </row>
    <row r="132" ht="15.75" customHeight="1">
      <c r="A132" s="425"/>
      <c r="B132" s="425"/>
      <c r="C132" s="425"/>
      <c r="D132" s="425"/>
      <c r="E132" s="860"/>
      <c r="F132" s="425"/>
      <c r="G132" s="425"/>
      <c r="H132" s="425"/>
      <c r="I132" s="425"/>
      <c r="J132" s="425"/>
      <c r="K132" s="860"/>
      <c r="L132" s="425"/>
      <c r="M132" s="425"/>
      <c r="N132" s="425"/>
      <c r="O132" s="425"/>
      <c r="P132" s="425"/>
      <c r="Q132" s="860"/>
      <c r="R132" s="425"/>
      <c r="S132" s="425"/>
      <c r="T132" s="425"/>
      <c r="U132" s="425"/>
    </row>
    <row r="133" ht="15.75" customHeight="1">
      <c r="A133" s="425"/>
      <c r="B133" s="425"/>
      <c r="C133" s="425"/>
      <c r="D133" s="425"/>
      <c r="E133" s="860"/>
      <c r="F133" s="425"/>
      <c r="G133" s="425"/>
      <c r="H133" s="425"/>
      <c r="I133" s="425"/>
      <c r="J133" s="425"/>
      <c r="K133" s="860"/>
      <c r="L133" s="425"/>
      <c r="M133" s="425"/>
      <c r="N133" s="425"/>
      <c r="O133" s="425"/>
      <c r="P133" s="425"/>
      <c r="Q133" s="860"/>
      <c r="R133" s="425"/>
      <c r="S133" s="425"/>
      <c r="T133" s="425"/>
      <c r="U133" s="425"/>
    </row>
    <row r="134" ht="15.75" customHeight="1">
      <c r="A134" s="425"/>
      <c r="B134" s="425"/>
      <c r="C134" s="425"/>
      <c r="D134" s="425"/>
      <c r="E134" s="860"/>
      <c r="F134" s="425"/>
      <c r="G134" s="425"/>
      <c r="H134" s="425"/>
      <c r="I134" s="425"/>
      <c r="J134" s="425"/>
      <c r="K134" s="860"/>
      <c r="L134" s="425"/>
      <c r="M134" s="425"/>
      <c r="N134" s="425"/>
      <c r="O134" s="425"/>
      <c r="P134" s="425"/>
      <c r="Q134" s="860"/>
      <c r="R134" s="425"/>
      <c r="S134" s="425"/>
      <c r="T134" s="425"/>
      <c r="U134" s="425"/>
    </row>
    <row r="135" ht="15.75" customHeight="1">
      <c r="A135" s="425"/>
      <c r="B135" s="425"/>
      <c r="C135" s="425"/>
      <c r="D135" s="425"/>
      <c r="E135" s="860"/>
      <c r="F135" s="425"/>
      <c r="G135" s="425"/>
      <c r="H135" s="425"/>
      <c r="I135" s="425"/>
      <c r="J135" s="425"/>
      <c r="K135" s="860"/>
      <c r="L135" s="425"/>
      <c r="M135" s="425"/>
      <c r="N135" s="425"/>
      <c r="O135" s="425"/>
      <c r="P135" s="425"/>
      <c r="Q135" s="860"/>
      <c r="R135" s="425"/>
      <c r="S135" s="425"/>
      <c r="T135" s="425"/>
      <c r="U135" s="425"/>
    </row>
    <row r="136" ht="15.75" customHeight="1">
      <c r="A136" s="425"/>
      <c r="B136" s="425"/>
      <c r="C136" s="425"/>
      <c r="D136" s="425"/>
      <c r="E136" s="860"/>
      <c r="F136" s="425"/>
      <c r="G136" s="425"/>
      <c r="H136" s="425"/>
      <c r="I136" s="425"/>
      <c r="J136" s="425"/>
      <c r="K136" s="860"/>
      <c r="L136" s="425"/>
      <c r="M136" s="425"/>
      <c r="N136" s="425"/>
      <c r="O136" s="425"/>
      <c r="P136" s="425"/>
      <c r="Q136" s="860"/>
      <c r="R136" s="425"/>
      <c r="S136" s="425"/>
      <c r="T136" s="425"/>
      <c r="U136" s="425"/>
    </row>
    <row r="137" ht="15.75" customHeight="1">
      <c r="A137" s="425"/>
      <c r="B137" s="425"/>
      <c r="C137" s="425"/>
      <c r="D137" s="425"/>
      <c r="E137" s="860"/>
      <c r="F137" s="425"/>
      <c r="G137" s="425"/>
      <c r="H137" s="425"/>
      <c r="I137" s="425"/>
      <c r="J137" s="425"/>
      <c r="K137" s="860"/>
      <c r="L137" s="425"/>
      <c r="M137" s="425"/>
      <c r="N137" s="425"/>
      <c r="O137" s="425"/>
      <c r="P137" s="425"/>
      <c r="Q137" s="860"/>
      <c r="R137" s="425"/>
      <c r="S137" s="425"/>
      <c r="T137" s="425"/>
      <c r="U137" s="425"/>
    </row>
    <row r="138" ht="15.75" customHeight="1">
      <c r="A138" s="425"/>
      <c r="B138" s="425"/>
      <c r="C138" s="425"/>
      <c r="D138" s="425"/>
      <c r="E138" s="860"/>
      <c r="F138" s="425"/>
      <c r="G138" s="425"/>
      <c r="H138" s="425"/>
      <c r="I138" s="425"/>
      <c r="J138" s="425"/>
      <c r="K138" s="860"/>
      <c r="L138" s="425"/>
      <c r="M138" s="425"/>
      <c r="N138" s="425"/>
      <c r="O138" s="425"/>
      <c r="P138" s="425"/>
      <c r="Q138" s="860"/>
      <c r="R138" s="425"/>
      <c r="S138" s="425"/>
      <c r="T138" s="425"/>
      <c r="U138" s="425"/>
    </row>
    <row r="139" ht="15.75" customHeight="1">
      <c r="A139" s="425"/>
      <c r="B139" s="425"/>
      <c r="C139" s="425"/>
      <c r="D139" s="425"/>
      <c r="E139" s="860"/>
      <c r="F139" s="425"/>
      <c r="G139" s="425"/>
      <c r="H139" s="425"/>
      <c r="I139" s="425"/>
      <c r="J139" s="425"/>
      <c r="K139" s="860"/>
      <c r="L139" s="425"/>
      <c r="M139" s="425"/>
      <c r="N139" s="425"/>
      <c r="O139" s="425"/>
      <c r="P139" s="425"/>
      <c r="Q139" s="860"/>
      <c r="R139" s="425"/>
      <c r="S139" s="425"/>
      <c r="T139" s="425"/>
      <c r="U139" s="425"/>
    </row>
    <row r="140" ht="15.75" customHeight="1">
      <c r="A140" s="425"/>
      <c r="B140" s="425"/>
      <c r="C140" s="425"/>
      <c r="D140" s="425"/>
      <c r="E140" s="860"/>
      <c r="F140" s="425"/>
      <c r="G140" s="425"/>
      <c r="H140" s="425"/>
      <c r="I140" s="425"/>
      <c r="J140" s="425"/>
      <c r="K140" s="860"/>
      <c r="L140" s="425"/>
      <c r="M140" s="425"/>
      <c r="N140" s="425"/>
      <c r="O140" s="425"/>
      <c r="P140" s="425"/>
      <c r="Q140" s="860"/>
      <c r="R140" s="425"/>
      <c r="S140" s="425"/>
      <c r="T140" s="425"/>
      <c r="U140" s="425"/>
    </row>
    <row r="141" ht="15.75" customHeight="1">
      <c r="A141" s="425"/>
      <c r="B141" s="425"/>
      <c r="C141" s="427"/>
      <c r="D141" s="425"/>
      <c r="E141" s="860"/>
      <c r="F141" s="425"/>
      <c r="G141" s="425"/>
      <c r="H141" s="425"/>
      <c r="I141" s="425"/>
      <c r="J141" s="425"/>
      <c r="K141" s="860"/>
      <c r="L141" s="425"/>
      <c r="M141" s="425"/>
      <c r="N141" s="425"/>
      <c r="O141" s="425"/>
      <c r="P141" s="425"/>
      <c r="Q141" s="860"/>
      <c r="R141" s="425"/>
      <c r="S141" s="425"/>
      <c r="T141" s="425"/>
      <c r="U141" s="425"/>
    </row>
    <row r="142" ht="15.75" customHeight="1">
      <c r="A142" s="425"/>
      <c r="B142" s="425"/>
      <c r="C142" s="427"/>
      <c r="D142" s="425"/>
      <c r="E142" s="860"/>
      <c r="F142" s="425"/>
      <c r="G142" s="425"/>
      <c r="H142" s="425"/>
      <c r="I142" s="425"/>
      <c r="J142" s="425"/>
      <c r="K142" s="860"/>
      <c r="L142" s="425"/>
      <c r="M142" s="425"/>
      <c r="N142" s="425"/>
      <c r="O142" s="425"/>
      <c r="P142" s="425"/>
      <c r="Q142" s="860"/>
      <c r="R142" s="425"/>
      <c r="S142" s="425"/>
      <c r="T142" s="425"/>
      <c r="U142" s="425"/>
    </row>
    <row r="143" ht="15.75" customHeight="1">
      <c r="A143" s="425"/>
      <c r="B143" s="425"/>
      <c r="C143" s="427"/>
      <c r="D143" s="425"/>
      <c r="E143" s="860"/>
      <c r="F143" s="425"/>
      <c r="G143" s="425"/>
      <c r="H143" s="425"/>
      <c r="I143" s="425"/>
      <c r="J143" s="425"/>
      <c r="K143" s="860"/>
      <c r="L143" s="425"/>
      <c r="M143" s="425"/>
      <c r="N143" s="425"/>
      <c r="O143" s="425"/>
      <c r="P143" s="425"/>
      <c r="Q143" s="860"/>
      <c r="R143" s="425"/>
      <c r="S143" s="425"/>
      <c r="T143" s="425"/>
      <c r="U143" s="425"/>
    </row>
    <row r="144" ht="15.75" customHeight="1">
      <c r="A144" s="425"/>
      <c r="B144" s="425"/>
      <c r="C144" s="427"/>
      <c r="D144" s="425"/>
      <c r="E144" s="860"/>
      <c r="F144" s="425"/>
      <c r="G144" s="425"/>
      <c r="H144" s="425"/>
      <c r="I144" s="425"/>
      <c r="J144" s="425"/>
      <c r="K144" s="860"/>
      <c r="L144" s="425"/>
      <c r="M144" s="425"/>
      <c r="N144" s="425"/>
      <c r="O144" s="425"/>
      <c r="P144" s="425"/>
      <c r="Q144" s="860"/>
      <c r="R144" s="425"/>
      <c r="S144" s="425"/>
      <c r="T144" s="425"/>
      <c r="U144" s="425"/>
    </row>
    <row r="145" ht="15.75" customHeight="1">
      <c r="A145" s="425"/>
      <c r="B145" s="425"/>
      <c r="C145" s="425"/>
      <c r="D145" s="425"/>
      <c r="E145" s="860"/>
      <c r="F145" s="425"/>
      <c r="G145" s="425"/>
      <c r="H145" s="425"/>
      <c r="I145" s="425"/>
      <c r="J145" s="425"/>
      <c r="K145" s="860"/>
      <c r="L145" s="425"/>
      <c r="M145" s="425"/>
      <c r="N145" s="425"/>
      <c r="O145" s="425"/>
      <c r="P145" s="425"/>
      <c r="Q145" s="860"/>
      <c r="R145" s="425"/>
      <c r="S145" s="425"/>
      <c r="T145" s="425"/>
      <c r="U145" s="425"/>
    </row>
    <row r="146" ht="15.75" customHeight="1">
      <c r="A146" s="425"/>
      <c r="B146" s="425"/>
      <c r="C146" s="427"/>
      <c r="D146" s="425"/>
      <c r="E146" s="860"/>
      <c r="F146" s="425"/>
      <c r="G146" s="425"/>
      <c r="H146" s="425"/>
      <c r="I146" s="425"/>
      <c r="J146" s="425"/>
      <c r="K146" s="860"/>
      <c r="L146" s="425"/>
      <c r="M146" s="425"/>
      <c r="N146" s="425"/>
      <c r="O146" s="425"/>
      <c r="P146" s="425"/>
      <c r="Q146" s="860"/>
      <c r="R146" s="425"/>
      <c r="S146" s="425"/>
      <c r="T146" s="425"/>
      <c r="U146" s="425"/>
    </row>
    <row r="147" ht="15.75" customHeight="1">
      <c r="A147" s="425"/>
      <c r="B147" s="425"/>
      <c r="C147" s="425"/>
      <c r="D147" s="425"/>
      <c r="E147" s="860"/>
      <c r="F147" s="425"/>
      <c r="G147" s="425"/>
      <c r="H147" s="425"/>
      <c r="I147" s="425"/>
      <c r="J147" s="425"/>
      <c r="K147" s="860"/>
      <c r="L147" s="425"/>
      <c r="M147" s="425"/>
      <c r="N147" s="425"/>
      <c r="O147" s="425"/>
      <c r="P147" s="425"/>
      <c r="Q147" s="860"/>
      <c r="R147" s="425"/>
      <c r="S147" s="425"/>
      <c r="T147" s="425"/>
      <c r="U147" s="425"/>
    </row>
    <row r="148" ht="15.75" customHeight="1">
      <c r="A148" s="425"/>
      <c r="B148" s="425"/>
      <c r="C148" s="425"/>
      <c r="D148" s="425"/>
      <c r="E148" s="860"/>
      <c r="F148" s="425"/>
      <c r="G148" s="425"/>
      <c r="H148" s="425"/>
      <c r="I148" s="425"/>
      <c r="J148" s="425"/>
      <c r="K148" s="860"/>
      <c r="L148" s="425"/>
      <c r="M148" s="425"/>
      <c r="N148" s="425"/>
      <c r="O148" s="425"/>
      <c r="P148" s="425"/>
      <c r="Q148" s="860"/>
      <c r="R148" s="425"/>
      <c r="S148" s="425"/>
      <c r="T148" s="425"/>
      <c r="U148" s="425"/>
    </row>
    <row r="149" ht="15.75" customHeight="1">
      <c r="A149" s="425"/>
      <c r="B149" s="425"/>
      <c r="C149" s="425"/>
      <c r="D149" s="425"/>
      <c r="E149" s="860"/>
      <c r="F149" s="425"/>
      <c r="G149" s="425"/>
      <c r="H149" s="425"/>
      <c r="I149" s="425"/>
      <c r="J149" s="425"/>
      <c r="K149" s="860"/>
      <c r="L149" s="425"/>
      <c r="M149" s="425"/>
      <c r="N149" s="425"/>
      <c r="O149" s="425"/>
      <c r="P149" s="425"/>
      <c r="Q149" s="860"/>
      <c r="R149" s="425"/>
      <c r="S149" s="425"/>
      <c r="T149" s="425"/>
      <c r="U149" s="425"/>
    </row>
    <row r="150" ht="15.75" customHeight="1">
      <c r="A150" s="425"/>
      <c r="B150" s="425"/>
      <c r="C150" s="425"/>
      <c r="D150" s="425"/>
      <c r="E150" s="860"/>
      <c r="F150" s="425"/>
      <c r="G150" s="425"/>
      <c r="H150" s="425"/>
      <c r="I150" s="425"/>
      <c r="J150" s="425"/>
      <c r="K150" s="860"/>
      <c r="L150" s="425"/>
      <c r="M150" s="425"/>
      <c r="N150" s="425"/>
      <c r="O150" s="425"/>
      <c r="P150" s="425"/>
      <c r="Q150" s="860"/>
      <c r="R150" s="425"/>
      <c r="S150" s="425"/>
      <c r="T150" s="425"/>
      <c r="U150" s="425"/>
    </row>
    <row r="151" ht="15.75" customHeight="1">
      <c r="A151" s="425"/>
      <c r="B151" s="425"/>
      <c r="C151" s="425"/>
      <c r="D151" s="425"/>
      <c r="E151" s="860"/>
      <c r="F151" s="425"/>
      <c r="G151" s="425"/>
      <c r="H151" s="425"/>
      <c r="I151" s="425"/>
      <c r="J151" s="425"/>
      <c r="K151" s="860"/>
      <c r="L151" s="425"/>
      <c r="M151" s="425"/>
      <c r="N151" s="425"/>
      <c r="O151" s="425"/>
      <c r="P151" s="425"/>
      <c r="Q151" s="860"/>
      <c r="R151" s="425"/>
      <c r="S151" s="425"/>
      <c r="T151" s="425"/>
      <c r="U151" s="425"/>
    </row>
    <row r="152" ht="15.75" customHeight="1">
      <c r="A152" s="425"/>
      <c r="B152" s="425"/>
      <c r="C152" s="425"/>
      <c r="D152" s="425"/>
      <c r="E152" s="860"/>
      <c r="F152" s="425"/>
      <c r="G152" s="425"/>
      <c r="H152" s="425"/>
      <c r="I152" s="425"/>
      <c r="J152" s="425"/>
      <c r="K152" s="860"/>
      <c r="L152" s="425"/>
      <c r="M152" s="425"/>
      <c r="N152" s="425"/>
      <c r="O152" s="425"/>
      <c r="P152" s="425"/>
      <c r="Q152" s="860"/>
      <c r="R152" s="425"/>
      <c r="S152" s="425"/>
      <c r="T152" s="425"/>
      <c r="U152" s="425"/>
    </row>
    <row r="153" ht="15.75" customHeight="1">
      <c r="A153" s="425"/>
      <c r="B153" s="425"/>
      <c r="C153" s="425"/>
      <c r="D153" s="425"/>
      <c r="E153" s="860"/>
      <c r="F153" s="425"/>
      <c r="G153" s="425"/>
      <c r="H153" s="425"/>
      <c r="I153" s="425"/>
      <c r="J153" s="425"/>
      <c r="K153" s="860"/>
      <c r="L153" s="425"/>
      <c r="M153" s="425"/>
      <c r="N153" s="425"/>
      <c r="O153" s="425"/>
      <c r="P153" s="425"/>
      <c r="Q153" s="860"/>
      <c r="R153" s="425"/>
      <c r="S153" s="425"/>
      <c r="T153" s="425"/>
      <c r="U153" s="425"/>
    </row>
    <row r="154" ht="15.75" customHeight="1">
      <c r="A154" s="425"/>
      <c r="B154" s="425"/>
      <c r="C154" s="425"/>
      <c r="D154" s="425"/>
      <c r="E154" s="860"/>
      <c r="F154" s="425"/>
      <c r="G154" s="425"/>
      <c r="H154" s="425"/>
      <c r="I154" s="425"/>
      <c r="J154" s="425"/>
      <c r="K154" s="860"/>
      <c r="L154" s="425"/>
      <c r="M154" s="425"/>
      <c r="N154" s="425"/>
      <c r="O154" s="425"/>
      <c r="P154" s="425"/>
      <c r="Q154" s="860"/>
      <c r="R154" s="425"/>
      <c r="S154" s="425"/>
      <c r="T154" s="425"/>
      <c r="U154" s="425"/>
    </row>
    <row r="155" ht="15.75" customHeight="1">
      <c r="A155" s="425"/>
      <c r="B155" s="425"/>
      <c r="C155" s="425"/>
      <c r="D155" s="425"/>
      <c r="E155" s="860"/>
      <c r="F155" s="425"/>
      <c r="G155" s="425"/>
      <c r="H155" s="425"/>
      <c r="I155" s="425"/>
      <c r="J155" s="425"/>
      <c r="K155" s="860"/>
      <c r="L155" s="425"/>
      <c r="M155" s="425"/>
      <c r="N155" s="425"/>
      <c r="O155" s="425"/>
      <c r="P155" s="425"/>
      <c r="Q155" s="860"/>
      <c r="R155" s="425"/>
      <c r="S155" s="425"/>
      <c r="T155" s="425"/>
      <c r="U155" s="425"/>
    </row>
    <row r="156" ht="15.75" customHeight="1">
      <c r="A156" s="425"/>
      <c r="B156" s="425"/>
      <c r="C156" s="425"/>
      <c r="D156" s="425"/>
      <c r="E156" s="860"/>
      <c r="F156" s="425"/>
      <c r="G156" s="425"/>
      <c r="H156" s="425"/>
      <c r="I156" s="425"/>
      <c r="J156" s="425"/>
      <c r="K156" s="860"/>
      <c r="L156" s="425"/>
      <c r="M156" s="425"/>
      <c r="N156" s="425"/>
      <c r="O156" s="425"/>
      <c r="P156" s="425"/>
      <c r="Q156" s="860"/>
      <c r="R156" s="425"/>
      <c r="S156" s="425"/>
      <c r="T156" s="425"/>
      <c r="U156" s="425"/>
    </row>
    <row r="157" ht="15.75" customHeight="1">
      <c r="A157" s="425"/>
      <c r="B157" s="425"/>
      <c r="C157" s="425"/>
      <c r="D157" s="425"/>
      <c r="E157" s="860"/>
      <c r="F157" s="425"/>
      <c r="G157" s="425"/>
      <c r="H157" s="425"/>
      <c r="I157" s="425"/>
      <c r="J157" s="425"/>
      <c r="K157" s="860"/>
      <c r="L157" s="425"/>
      <c r="M157" s="425"/>
      <c r="N157" s="425"/>
      <c r="O157" s="425"/>
      <c r="P157" s="425"/>
      <c r="Q157" s="860"/>
      <c r="R157" s="425"/>
      <c r="S157" s="425"/>
      <c r="T157" s="425"/>
      <c r="U157" s="425"/>
    </row>
    <row r="158" ht="15.75" customHeight="1">
      <c r="A158" s="425"/>
      <c r="B158" s="425"/>
      <c r="C158" s="425"/>
      <c r="D158" s="425"/>
      <c r="E158" s="860"/>
      <c r="F158" s="425"/>
      <c r="G158" s="425"/>
      <c r="H158" s="425"/>
      <c r="I158" s="425"/>
      <c r="J158" s="425"/>
      <c r="K158" s="860"/>
      <c r="L158" s="425"/>
      <c r="M158" s="425"/>
      <c r="N158" s="425"/>
      <c r="O158" s="425"/>
      <c r="P158" s="425"/>
      <c r="Q158" s="860"/>
      <c r="R158" s="425"/>
      <c r="S158" s="425"/>
      <c r="T158" s="425"/>
      <c r="U158" s="425"/>
    </row>
    <row r="159" ht="15.75" customHeight="1">
      <c r="A159" s="425"/>
      <c r="B159" s="425"/>
      <c r="C159" s="425"/>
      <c r="D159" s="425"/>
      <c r="E159" s="860"/>
      <c r="F159" s="425"/>
      <c r="G159" s="425"/>
      <c r="H159" s="425"/>
      <c r="I159" s="425"/>
      <c r="J159" s="425"/>
      <c r="K159" s="860"/>
      <c r="L159" s="425"/>
      <c r="M159" s="425"/>
      <c r="N159" s="425"/>
      <c r="O159" s="425"/>
      <c r="P159" s="425"/>
      <c r="Q159" s="860"/>
      <c r="R159" s="425"/>
      <c r="S159" s="425"/>
      <c r="T159" s="425"/>
      <c r="U159" s="425"/>
    </row>
    <row r="160" ht="15.75" customHeight="1">
      <c r="A160" s="425"/>
      <c r="B160" s="425"/>
      <c r="C160" s="425"/>
      <c r="D160" s="425"/>
      <c r="E160" s="860"/>
      <c r="F160" s="425"/>
      <c r="G160" s="425"/>
      <c r="H160" s="425"/>
      <c r="I160" s="425"/>
      <c r="J160" s="425"/>
      <c r="K160" s="860"/>
      <c r="L160" s="425"/>
      <c r="M160" s="425"/>
      <c r="N160" s="425"/>
      <c r="O160" s="425"/>
      <c r="P160" s="425"/>
      <c r="Q160" s="860"/>
      <c r="R160" s="425"/>
      <c r="S160" s="425"/>
      <c r="T160" s="425"/>
      <c r="U160" s="425"/>
    </row>
    <row r="161" ht="15.75" customHeight="1">
      <c r="A161" s="425"/>
      <c r="B161" s="425"/>
      <c r="C161" s="425"/>
      <c r="D161" s="425"/>
      <c r="E161" s="860"/>
      <c r="F161" s="425"/>
      <c r="G161" s="425"/>
      <c r="H161" s="425"/>
      <c r="I161" s="425"/>
      <c r="J161" s="425"/>
      <c r="K161" s="860"/>
      <c r="L161" s="425"/>
      <c r="M161" s="425"/>
      <c r="N161" s="425"/>
      <c r="O161" s="425"/>
      <c r="P161" s="425"/>
      <c r="Q161" s="860"/>
      <c r="R161" s="425"/>
      <c r="S161" s="425"/>
      <c r="T161" s="425"/>
      <c r="U161" s="425"/>
    </row>
    <row r="162" ht="15.75" customHeight="1">
      <c r="A162" s="425"/>
      <c r="B162" s="425"/>
      <c r="C162" s="425"/>
      <c r="D162" s="425"/>
      <c r="E162" s="860"/>
      <c r="F162" s="425"/>
      <c r="G162" s="425"/>
      <c r="H162" s="425"/>
      <c r="I162" s="425"/>
      <c r="J162" s="425"/>
      <c r="K162" s="860"/>
      <c r="L162" s="425"/>
      <c r="M162" s="425"/>
      <c r="N162" s="425"/>
      <c r="O162" s="425"/>
      <c r="P162" s="425"/>
      <c r="Q162" s="860"/>
      <c r="R162" s="425"/>
      <c r="S162" s="425"/>
      <c r="T162" s="425"/>
      <c r="U162" s="425"/>
    </row>
    <row r="163" ht="15.75" customHeight="1">
      <c r="A163" s="425"/>
      <c r="B163" s="425"/>
      <c r="C163" s="425"/>
      <c r="D163" s="425"/>
      <c r="E163" s="860"/>
      <c r="F163" s="425"/>
      <c r="G163" s="425"/>
      <c r="H163" s="425"/>
      <c r="I163" s="425"/>
      <c r="J163" s="425"/>
      <c r="K163" s="860"/>
      <c r="L163" s="425"/>
      <c r="M163" s="425"/>
      <c r="N163" s="425"/>
      <c r="O163" s="425"/>
      <c r="P163" s="425"/>
      <c r="Q163" s="860"/>
      <c r="R163" s="425"/>
      <c r="S163" s="425"/>
      <c r="T163" s="425"/>
      <c r="U163" s="425"/>
    </row>
    <row r="164" ht="15.75" customHeight="1">
      <c r="A164" s="425"/>
      <c r="B164" s="425"/>
      <c r="C164" s="425"/>
      <c r="D164" s="425"/>
      <c r="E164" s="860"/>
      <c r="F164" s="425"/>
      <c r="G164" s="425"/>
      <c r="H164" s="425"/>
      <c r="I164" s="425"/>
      <c r="J164" s="425"/>
      <c r="K164" s="860"/>
      <c r="L164" s="425"/>
      <c r="M164" s="425"/>
      <c r="N164" s="425"/>
      <c r="O164" s="425"/>
      <c r="P164" s="425"/>
      <c r="Q164" s="860"/>
      <c r="R164" s="425"/>
      <c r="S164" s="425"/>
      <c r="T164" s="425"/>
      <c r="U164" s="425"/>
    </row>
    <row r="165" ht="15.75" customHeight="1">
      <c r="A165" s="425"/>
      <c r="B165" s="425"/>
      <c r="C165" s="425"/>
      <c r="D165" s="425"/>
      <c r="E165" s="860"/>
      <c r="F165" s="425"/>
      <c r="G165" s="425"/>
      <c r="H165" s="425"/>
      <c r="I165" s="425"/>
      <c r="J165" s="425"/>
      <c r="K165" s="860"/>
      <c r="L165" s="425"/>
      <c r="M165" s="425"/>
      <c r="N165" s="425"/>
      <c r="O165" s="425"/>
      <c r="P165" s="425"/>
      <c r="Q165" s="860"/>
      <c r="R165" s="425"/>
      <c r="S165" s="425"/>
      <c r="T165" s="425"/>
      <c r="U165" s="425"/>
    </row>
    <row r="166" ht="15.75" customHeight="1">
      <c r="A166" s="425"/>
      <c r="B166" s="425"/>
      <c r="C166" s="425"/>
      <c r="D166" s="425"/>
      <c r="E166" s="860"/>
      <c r="F166" s="425"/>
      <c r="G166" s="425"/>
      <c r="H166" s="425"/>
      <c r="I166" s="425"/>
      <c r="J166" s="425"/>
      <c r="K166" s="860"/>
      <c r="L166" s="425"/>
      <c r="M166" s="425"/>
      <c r="N166" s="425"/>
      <c r="O166" s="425"/>
      <c r="P166" s="425"/>
      <c r="Q166" s="860"/>
      <c r="R166" s="425"/>
      <c r="S166" s="425"/>
      <c r="T166" s="425"/>
      <c r="U166" s="425"/>
    </row>
    <row r="167" ht="15.75" customHeight="1">
      <c r="A167" s="425"/>
      <c r="B167" s="425"/>
      <c r="C167" s="425"/>
      <c r="D167" s="425"/>
      <c r="E167" s="860"/>
      <c r="F167" s="425"/>
      <c r="G167" s="425"/>
      <c r="H167" s="425"/>
      <c r="I167" s="425"/>
      <c r="J167" s="425"/>
      <c r="K167" s="860"/>
      <c r="L167" s="425"/>
      <c r="M167" s="425"/>
      <c r="N167" s="425"/>
      <c r="O167" s="425"/>
      <c r="P167" s="425"/>
      <c r="Q167" s="860"/>
      <c r="R167" s="425"/>
      <c r="S167" s="425"/>
      <c r="T167" s="425"/>
      <c r="U167" s="425"/>
    </row>
    <row r="168" ht="15.75" customHeight="1">
      <c r="A168" s="425"/>
      <c r="B168" s="425"/>
      <c r="C168" s="425"/>
      <c r="D168" s="425"/>
      <c r="E168" s="860"/>
      <c r="F168" s="425"/>
      <c r="G168" s="425"/>
      <c r="H168" s="425"/>
      <c r="I168" s="425"/>
      <c r="J168" s="425"/>
      <c r="K168" s="860"/>
      <c r="L168" s="425"/>
      <c r="M168" s="425"/>
      <c r="N168" s="425"/>
      <c r="O168" s="425"/>
      <c r="P168" s="425"/>
      <c r="Q168" s="860"/>
      <c r="R168" s="425"/>
      <c r="S168" s="425"/>
      <c r="T168" s="425"/>
      <c r="U168" s="425"/>
    </row>
    <row r="169" ht="15.75" customHeight="1">
      <c r="A169" s="425"/>
      <c r="B169" s="425"/>
      <c r="C169" s="425"/>
      <c r="D169" s="425"/>
      <c r="E169" s="860"/>
      <c r="F169" s="425"/>
      <c r="G169" s="425"/>
      <c r="H169" s="425"/>
      <c r="I169" s="425"/>
      <c r="J169" s="425"/>
      <c r="K169" s="860"/>
      <c r="L169" s="425"/>
      <c r="M169" s="425"/>
      <c r="N169" s="425"/>
      <c r="O169" s="425"/>
      <c r="P169" s="425"/>
      <c r="Q169" s="860"/>
      <c r="R169" s="425"/>
      <c r="S169" s="425"/>
      <c r="T169" s="425"/>
      <c r="U169" s="425"/>
    </row>
    <row r="170" ht="15.75" customHeight="1">
      <c r="A170" s="425"/>
      <c r="B170" s="425"/>
      <c r="C170" s="425"/>
      <c r="D170" s="425"/>
      <c r="E170" s="860"/>
      <c r="F170" s="425"/>
      <c r="G170" s="425"/>
      <c r="H170" s="425"/>
      <c r="I170" s="425"/>
      <c r="J170" s="425"/>
      <c r="K170" s="860"/>
      <c r="L170" s="425"/>
      <c r="M170" s="425"/>
      <c r="N170" s="425"/>
      <c r="O170" s="425"/>
      <c r="P170" s="425"/>
      <c r="Q170" s="860"/>
      <c r="R170" s="425"/>
      <c r="S170" s="425"/>
      <c r="T170" s="425"/>
      <c r="U170" s="425"/>
    </row>
    <row r="171" ht="15.75" customHeight="1">
      <c r="A171" s="425"/>
      <c r="B171" s="425"/>
      <c r="C171" s="425"/>
      <c r="D171" s="425"/>
      <c r="E171" s="860"/>
      <c r="F171" s="425"/>
      <c r="G171" s="425"/>
      <c r="H171" s="425"/>
      <c r="I171" s="425"/>
      <c r="J171" s="425"/>
      <c r="K171" s="860"/>
      <c r="L171" s="425"/>
      <c r="M171" s="425"/>
      <c r="N171" s="425"/>
      <c r="O171" s="425"/>
      <c r="P171" s="425"/>
      <c r="Q171" s="860"/>
      <c r="R171" s="425"/>
      <c r="S171" s="425"/>
      <c r="T171" s="425"/>
      <c r="U171" s="425"/>
    </row>
    <row r="172" ht="15.75" customHeight="1">
      <c r="A172" s="425"/>
      <c r="B172" s="425"/>
      <c r="C172" s="425"/>
      <c r="D172" s="425"/>
      <c r="E172" s="860"/>
      <c r="F172" s="425"/>
      <c r="G172" s="425"/>
      <c r="H172" s="425"/>
      <c r="I172" s="425"/>
      <c r="J172" s="425"/>
      <c r="K172" s="860"/>
      <c r="L172" s="425"/>
      <c r="M172" s="425"/>
      <c r="N172" s="425"/>
      <c r="O172" s="425"/>
      <c r="P172" s="425"/>
      <c r="Q172" s="860"/>
      <c r="R172" s="425"/>
      <c r="S172" s="425"/>
      <c r="T172" s="425"/>
      <c r="U172" s="425"/>
    </row>
    <row r="173" ht="15.75" customHeight="1">
      <c r="A173" s="425"/>
      <c r="B173" s="425"/>
      <c r="C173" s="425"/>
      <c r="D173" s="425"/>
      <c r="E173" s="860"/>
      <c r="F173" s="425"/>
      <c r="G173" s="425"/>
      <c r="H173" s="425"/>
      <c r="I173" s="425"/>
      <c r="J173" s="425"/>
      <c r="K173" s="860"/>
      <c r="L173" s="425"/>
      <c r="M173" s="425"/>
      <c r="N173" s="425"/>
      <c r="O173" s="425"/>
      <c r="P173" s="425"/>
      <c r="Q173" s="860"/>
      <c r="R173" s="425"/>
      <c r="S173" s="425"/>
      <c r="T173" s="425"/>
      <c r="U173" s="425"/>
    </row>
    <row r="174" ht="15.75" customHeight="1">
      <c r="A174" s="425"/>
      <c r="B174" s="425"/>
      <c r="C174" s="425"/>
      <c r="D174" s="425"/>
      <c r="E174" s="860"/>
      <c r="F174" s="425"/>
      <c r="G174" s="425"/>
      <c r="H174" s="425"/>
      <c r="I174" s="425"/>
      <c r="J174" s="425"/>
      <c r="K174" s="860"/>
      <c r="L174" s="425"/>
      <c r="M174" s="425"/>
      <c r="N174" s="425"/>
      <c r="O174" s="425"/>
      <c r="P174" s="425"/>
      <c r="Q174" s="860"/>
      <c r="R174" s="425"/>
      <c r="S174" s="425"/>
      <c r="T174" s="425"/>
      <c r="U174" s="425"/>
    </row>
    <row r="175" ht="15.75" customHeight="1">
      <c r="A175" s="425"/>
      <c r="B175" s="425"/>
      <c r="C175" s="425"/>
      <c r="D175" s="425"/>
      <c r="E175" s="860"/>
      <c r="F175" s="425"/>
      <c r="G175" s="425"/>
      <c r="H175" s="425"/>
      <c r="I175" s="425"/>
      <c r="J175" s="425"/>
      <c r="K175" s="860"/>
      <c r="L175" s="425"/>
      <c r="M175" s="425"/>
      <c r="N175" s="425"/>
      <c r="O175" s="425"/>
      <c r="P175" s="425"/>
      <c r="Q175" s="860"/>
      <c r="R175" s="425"/>
      <c r="S175" s="425"/>
      <c r="T175" s="425"/>
      <c r="U175" s="425"/>
    </row>
    <row r="176" ht="15.75" customHeight="1">
      <c r="A176" s="425"/>
      <c r="B176" s="425"/>
      <c r="C176" s="425"/>
      <c r="D176" s="425"/>
      <c r="E176" s="860"/>
      <c r="F176" s="425"/>
      <c r="G176" s="425"/>
      <c r="H176" s="425"/>
      <c r="I176" s="425"/>
      <c r="J176" s="425"/>
      <c r="K176" s="860"/>
      <c r="L176" s="425"/>
      <c r="M176" s="425"/>
      <c r="N176" s="425"/>
      <c r="O176" s="425"/>
      <c r="P176" s="425"/>
      <c r="Q176" s="860"/>
      <c r="R176" s="425"/>
      <c r="S176" s="425"/>
      <c r="T176" s="425"/>
      <c r="U176" s="425"/>
    </row>
    <row r="177" ht="15.75" customHeight="1">
      <c r="A177" s="425"/>
      <c r="B177" s="425"/>
      <c r="C177" s="425"/>
      <c r="D177" s="425"/>
      <c r="E177" s="860"/>
      <c r="F177" s="425"/>
      <c r="G177" s="425"/>
      <c r="H177" s="425"/>
      <c r="I177" s="425"/>
      <c r="J177" s="425"/>
      <c r="K177" s="860"/>
      <c r="L177" s="425"/>
      <c r="M177" s="425"/>
      <c r="N177" s="425"/>
      <c r="O177" s="425"/>
      <c r="P177" s="425"/>
      <c r="Q177" s="860"/>
      <c r="R177" s="425"/>
      <c r="S177" s="425"/>
      <c r="T177" s="425"/>
      <c r="U177" s="425"/>
    </row>
    <row r="178" ht="15.75" customHeight="1">
      <c r="A178" s="425"/>
      <c r="B178" s="425"/>
      <c r="C178" s="425"/>
      <c r="D178" s="425"/>
      <c r="E178" s="860"/>
      <c r="F178" s="425"/>
      <c r="G178" s="425"/>
      <c r="H178" s="425"/>
      <c r="I178" s="425"/>
      <c r="J178" s="425"/>
      <c r="K178" s="860"/>
      <c r="L178" s="425"/>
      <c r="M178" s="425"/>
      <c r="N178" s="425"/>
      <c r="O178" s="425"/>
      <c r="P178" s="425"/>
      <c r="Q178" s="860"/>
      <c r="R178" s="425"/>
      <c r="S178" s="425"/>
      <c r="T178" s="425"/>
      <c r="U178" s="425"/>
    </row>
    <row r="179" ht="15.75" customHeight="1">
      <c r="A179" s="425"/>
      <c r="B179" s="425"/>
      <c r="C179" s="425"/>
      <c r="D179" s="425"/>
      <c r="E179" s="860"/>
      <c r="F179" s="425"/>
      <c r="G179" s="425"/>
      <c r="H179" s="425"/>
      <c r="I179" s="425"/>
      <c r="J179" s="425"/>
      <c r="K179" s="860"/>
      <c r="L179" s="425"/>
      <c r="M179" s="425"/>
      <c r="N179" s="425"/>
      <c r="O179" s="425"/>
      <c r="P179" s="425"/>
      <c r="Q179" s="860"/>
      <c r="R179" s="425"/>
      <c r="S179" s="425"/>
      <c r="T179" s="425"/>
      <c r="U179" s="425"/>
    </row>
    <row r="180" ht="15.75" customHeight="1">
      <c r="A180" s="425"/>
      <c r="B180" s="425"/>
      <c r="C180" s="425"/>
      <c r="D180" s="425"/>
      <c r="E180" s="860"/>
      <c r="F180" s="425"/>
      <c r="G180" s="425"/>
      <c r="H180" s="425"/>
      <c r="I180" s="425"/>
      <c r="J180" s="425"/>
      <c r="K180" s="860"/>
      <c r="L180" s="425"/>
      <c r="M180" s="425"/>
      <c r="N180" s="425"/>
      <c r="O180" s="425"/>
      <c r="P180" s="425"/>
      <c r="Q180" s="860"/>
      <c r="R180" s="425"/>
      <c r="S180" s="425"/>
      <c r="T180" s="425"/>
      <c r="U180" s="425"/>
    </row>
    <row r="181" ht="15.75" customHeight="1">
      <c r="A181" s="425"/>
      <c r="B181" s="425"/>
      <c r="C181" s="425"/>
      <c r="D181" s="425"/>
      <c r="E181" s="860"/>
      <c r="F181" s="425"/>
      <c r="G181" s="425"/>
      <c r="H181" s="425"/>
      <c r="I181" s="425"/>
      <c r="J181" s="425"/>
      <c r="K181" s="860"/>
      <c r="L181" s="425"/>
      <c r="M181" s="425"/>
      <c r="N181" s="425"/>
      <c r="O181" s="425"/>
      <c r="P181" s="425"/>
      <c r="Q181" s="860"/>
      <c r="R181" s="425"/>
      <c r="S181" s="425"/>
      <c r="T181" s="425"/>
      <c r="U181" s="425"/>
    </row>
    <row r="182" ht="15.75" customHeight="1">
      <c r="A182" s="425"/>
      <c r="B182" s="425"/>
      <c r="C182" s="425"/>
      <c r="D182" s="425"/>
      <c r="E182" s="860"/>
      <c r="F182" s="425"/>
      <c r="G182" s="425"/>
      <c r="H182" s="425"/>
      <c r="I182" s="425"/>
      <c r="J182" s="425"/>
      <c r="K182" s="860"/>
      <c r="L182" s="425"/>
      <c r="M182" s="425"/>
      <c r="N182" s="425"/>
      <c r="O182" s="425"/>
      <c r="P182" s="425"/>
      <c r="Q182" s="860"/>
      <c r="R182" s="425"/>
      <c r="S182" s="425"/>
      <c r="T182" s="425"/>
      <c r="U182" s="425"/>
    </row>
    <row r="183" ht="15.75" customHeight="1">
      <c r="A183" s="425"/>
      <c r="B183" s="425"/>
      <c r="C183" s="425"/>
      <c r="D183" s="425"/>
      <c r="E183" s="860"/>
      <c r="F183" s="425"/>
      <c r="G183" s="425"/>
      <c r="H183" s="425"/>
      <c r="I183" s="425"/>
      <c r="J183" s="425"/>
      <c r="K183" s="860"/>
      <c r="L183" s="425"/>
      <c r="M183" s="425"/>
      <c r="N183" s="425"/>
      <c r="O183" s="425"/>
      <c r="P183" s="425"/>
      <c r="Q183" s="860"/>
      <c r="R183" s="425"/>
      <c r="S183" s="425"/>
      <c r="T183" s="425"/>
      <c r="U183" s="425"/>
    </row>
    <row r="184" ht="15.75" customHeight="1">
      <c r="A184" s="425"/>
      <c r="B184" s="425"/>
      <c r="C184" s="425"/>
      <c r="D184" s="425"/>
      <c r="E184" s="860"/>
      <c r="F184" s="425"/>
      <c r="G184" s="425"/>
      <c r="H184" s="425"/>
      <c r="I184" s="425"/>
      <c r="J184" s="425"/>
      <c r="K184" s="860"/>
      <c r="L184" s="425"/>
      <c r="M184" s="425"/>
      <c r="N184" s="425"/>
      <c r="O184" s="425"/>
      <c r="P184" s="425"/>
      <c r="Q184" s="860"/>
      <c r="R184" s="425"/>
      <c r="S184" s="425"/>
      <c r="T184" s="425"/>
      <c r="U184" s="425"/>
    </row>
    <row r="185" ht="15.75" customHeight="1">
      <c r="A185" s="425"/>
      <c r="B185" s="425"/>
      <c r="C185" s="425"/>
      <c r="D185" s="425"/>
      <c r="E185" s="860"/>
      <c r="F185" s="425"/>
      <c r="G185" s="425"/>
      <c r="H185" s="425"/>
      <c r="I185" s="425"/>
      <c r="J185" s="425"/>
      <c r="K185" s="860"/>
      <c r="L185" s="425"/>
      <c r="M185" s="425"/>
      <c r="N185" s="425"/>
      <c r="O185" s="425"/>
      <c r="P185" s="425"/>
      <c r="Q185" s="860"/>
      <c r="R185" s="425"/>
      <c r="S185" s="425"/>
      <c r="T185" s="425"/>
      <c r="U185" s="425"/>
    </row>
    <row r="186" ht="15.75" customHeight="1">
      <c r="A186" s="425"/>
      <c r="B186" s="425"/>
      <c r="C186" s="425"/>
      <c r="D186" s="425"/>
      <c r="E186" s="860"/>
      <c r="F186" s="425"/>
      <c r="G186" s="425"/>
      <c r="H186" s="425"/>
      <c r="I186" s="425"/>
      <c r="J186" s="425"/>
      <c r="K186" s="860"/>
      <c r="L186" s="425"/>
      <c r="M186" s="425"/>
      <c r="N186" s="425"/>
      <c r="O186" s="425"/>
      <c r="P186" s="425"/>
      <c r="Q186" s="860"/>
      <c r="R186" s="425"/>
      <c r="S186" s="425"/>
      <c r="T186" s="425"/>
      <c r="U186" s="425"/>
    </row>
    <row r="187" ht="15.75" customHeight="1">
      <c r="A187" s="425"/>
      <c r="B187" s="425"/>
      <c r="C187" s="425"/>
      <c r="D187" s="425"/>
      <c r="E187" s="860"/>
      <c r="F187" s="425"/>
      <c r="G187" s="425"/>
      <c r="H187" s="425"/>
      <c r="I187" s="425"/>
      <c r="J187" s="425"/>
      <c r="K187" s="860"/>
      <c r="L187" s="425"/>
      <c r="M187" s="425"/>
      <c r="N187" s="425"/>
      <c r="O187" s="425"/>
      <c r="P187" s="425"/>
      <c r="Q187" s="860"/>
      <c r="R187" s="425"/>
      <c r="S187" s="425"/>
      <c r="T187" s="425"/>
      <c r="U187" s="425"/>
    </row>
    <row r="188" ht="15.75" customHeight="1">
      <c r="A188" s="425"/>
      <c r="B188" s="425"/>
      <c r="C188" s="425"/>
      <c r="D188" s="425"/>
      <c r="E188" s="860"/>
      <c r="F188" s="425"/>
      <c r="G188" s="425"/>
      <c r="H188" s="425"/>
      <c r="I188" s="425"/>
      <c r="J188" s="425"/>
      <c r="K188" s="860"/>
      <c r="L188" s="425"/>
      <c r="M188" s="425"/>
      <c r="N188" s="425"/>
      <c r="O188" s="425"/>
      <c r="P188" s="425"/>
      <c r="Q188" s="860"/>
      <c r="R188" s="425"/>
      <c r="S188" s="425"/>
      <c r="T188" s="425"/>
      <c r="U188" s="425"/>
    </row>
    <row r="189" ht="15.75" customHeight="1">
      <c r="A189" s="425"/>
      <c r="B189" s="425"/>
      <c r="C189" s="425"/>
      <c r="D189" s="425"/>
      <c r="E189" s="860"/>
      <c r="F189" s="425"/>
      <c r="G189" s="425"/>
      <c r="H189" s="425"/>
      <c r="I189" s="425"/>
      <c r="J189" s="425"/>
      <c r="K189" s="860"/>
      <c r="L189" s="425"/>
      <c r="M189" s="425"/>
      <c r="N189" s="425"/>
      <c r="O189" s="425"/>
      <c r="P189" s="425"/>
      <c r="Q189" s="860"/>
      <c r="R189" s="425"/>
      <c r="S189" s="425"/>
      <c r="T189" s="425"/>
      <c r="U189" s="425"/>
    </row>
    <row r="190" ht="15.75" customHeight="1">
      <c r="A190" s="425"/>
      <c r="B190" s="425"/>
      <c r="C190" s="425"/>
      <c r="D190" s="425"/>
      <c r="E190" s="860"/>
      <c r="F190" s="425"/>
      <c r="G190" s="425"/>
      <c r="H190" s="425"/>
      <c r="I190" s="425"/>
      <c r="J190" s="425"/>
      <c r="K190" s="860"/>
      <c r="L190" s="425"/>
      <c r="M190" s="425"/>
      <c r="N190" s="425"/>
      <c r="O190" s="425"/>
      <c r="P190" s="425"/>
      <c r="Q190" s="860"/>
      <c r="R190" s="425"/>
      <c r="S190" s="425"/>
      <c r="T190" s="425"/>
      <c r="U190" s="425"/>
    </row>
    <row r="191" ht="15.75" customHeight="1">
      <c r="A191" s="425"/>
      <c r="B191" s="425"/>
      <c r="C191" s="425"/>
      <c r="D191" s="425"/>
      <c r="E191" s="860"/>
      <c r="F191" s="425"/>
      <c r="G191" s="425"/>
      <c r="H191" s="425"/>
      <c r="I191" s="425"/>
      <c r="J191" s="425"/>
      <c r="K191" s="860"/>
      <c r="L191" s="425"/>
      <c r="M191" s="425"/>
      <c r="N191" s="425"/>
      <c r="O191" s="425"/>
      <c r="P191" s="425"/>
      <c r="Q191" s="860"/>
      <c r="R191" s="425"/>
      <c r="S191" s="425"/>
      <c r="T191" s="425"/>
      <c r="U191" s="425"/>
    </row>
    <row r="192" ht="15.75" customHeight="1">
      <c r="A192" s="425"/>
      <c r="B192" s="425"/>
      <c r="C192" s="425"/>
      <c r="D192" s="425"/>
      <c r="E192" s="860"/>
      <c r="F192" s="425"/>
      <c r="G192" s="425"/>
      <c r="H192" s="425"/>
      <c r="I192" s="425"/>
      <c r="J192" s="425"/>
      <c r="K192" s="860"/>
      <c r="L192" s="425"/>
      <c r="M192" s="425"/>
      <c r="N192" s="425"/>
      <c r="O192" s="425"/>
      <c r="P192" s="425"/>
      <c r="Q192" s="860"/>
      <c r="R192" s="425"/>
      <c r="S192" s="425"/>
      <c r="T192" s="425"/>
      <c r="U192" s="425"/>
    </row>
    <row r="193" ht="15.75" customHeight="1">
      <c r="A193" s="425"/>
      <c r="B193" s="425"/>
      <c r="C193" s="425"/>
      <c r="D193" s="425"/>
      <c r="E193" s="860"/>
      <c r="F193" s="425"/>
      <c r="G193" s="425"/>
      <c r="H193" s="425"/>
      <c r="I193" s="425"/>
      <c r="J193" s="425"/>
      <c r="K193" s="860"/>
      <c r="L193" s="425"/>
      <c r="M193" s="425"/>
      <c r="N193" s="425"/>
      <c r="O193" s="425"/>
      <c r="P193" s="425"/>
      <c r="Q193" s="860"/>
      <c r="R193" s="425"/>
      <c r="S193" s="425"/>
      <c r="T193" s="425"/>
      <c r="U193" s="425"/>
    </row>
    <row r="194" ht="15.75" customHeight="1">
      <c r="A194" s="425"/>
      <c r="B194" s="425"/>
      <c r="C194" s="425"/>
      <c r="D194" s="425"/>
      <c r="E194" s="860"/>
      <c r="F194" s="425"/>
      <c r="G194" s="425"/>
      <c r="H194" s="425"/>
      <c r="I194" s="425"/>
      <c r="J194" s="425"/>
      <c r="K194" s="860"/>
      <c r="L194" s="425"/>
      <c r="M194" s="425"/>
      <c r="N194" s="425"/>
      <c r="O194" s="425"/>
      <c r="P194" s="425"/>
      <c r="Q194" s="860"/>
      <c r="R194" s="425"/>
      <c r="S194" s="425"/>
      <c r="T194" s="425"/>
      <c r="U194" s="425"/>
    </row>
    <row r="195" ht="15.75" customHeight="1">
      <c r="A195" s="425"/>
      <c r="B195" s="425"/>
      <c r="C195" s="425"/>
      <c r="D195" s="425"/>
      <c r="E195" s="860"/>
      <c r="F195" s="425"/>
      <c r="G195" s="425"/>
      <c r="H195" s="425"/>
      <c r="I195" s="425"/>
      <c r="J195" s="425"/>
      <c r="K195" s="860"/>
      <c r="L195" s="425"/>
      <c r="M195" s="425"/>
      <c r="N195" s="425"/>
      <c r="O195" s="425"/>
      <c r="P195" s="425"/>
      <c r="Q195" s="860"/>
      <c r="R195" s="425"/>
      <c r="S195" s="425"/>
      <c r="T195" s="425"/>
      <c r="U195" s="425"/>
    </row>
    <row r="196" ht="15.75" customHeight="1">
      <c r="A196" s="425"/>
      <c r="B196" s="425"/>
      <c r="C196" s="425"/>
      <c r="D196" s="425"/>
      <c r="E196" s="860"/>
      <c r="F196" s="425"/>
      <c r="G196" s="425"/>
      <c r="H196" s="425"/>
      <c r="I196" s="425"/>
      <c r="J196" s="425"/>
      <c r="K196" s="860"/>
      <c r="L196" s="425"/>
      <c r="M196" s="425"/>
      <c r="N196" s="425"/>
      <c r="O196" s="425"/>
      <c r="P196" s="425"/>
      <c r="Q196" s="860"/>
      <c r="R196" s="425"/>
      <c r="S196" s="425"/>
      <c r="T196" s="425"/>
      <c r="U196" s="425"/>
    </row>
    <row r="197" ht="15.75" customHeight="1">
      <c r="A197" s="425"/>
      <c r="B197" s="425"/>
      <c r="C197" s="425"/>
      <c r="D197" s="425"/>
      <c r="E197" s="860"/>
      <c r="F197" s="425"/>
      <c r="G197" s="425"/>
      <c r="H197" s="425"/>
      <c r="I197" s="425"/>
      <c r="J197" s="425"/>
      <c r="K197" s="860"/>
      <c r="L197" s="425"/>
      <c r="M197" s="425"/>
      <c r="N197" s="425"/>
      <c r="O197" s="425"/>
      <c r="P197" s="425"/>
      <c r="Q197" s="860"/>
      <c r="R197" s="425"/>
      <c r="S197" s="425"/>
      <c r="T197" s="425"/>
      <c r="U197" s="425"/>
    </row>
    <row r="198" ht="15.75" customHeight="1">
      <c r="A198" s="425"/>
      <c r="B198" s="425"/>
      <c r="C198" s="425"/>
      <c r="D198" s="425"/>
      <c r="E198" s="860"/>
      <c r="F198" s="425"/>
      <c r="G198" s="425"/>
      <c r="H198" s="425"/>
      <c r="I198" s="425"/>
      <c r="J198" s="425"/>
      <c r="K198" s="860"/>
      <c r="L198" s="425"/>
      <c r="M198" s="425"/>
      <c r="N198" s="425"/>
      <c r="O198" s="425"/>
      <c r="P198" s="425"/>
      <c r="Q198" s="860"/>
      <c r="R198" s="425"/>
      <c r="S198" s="425"/>
      <c r="T198" s="425"/>
      <c r="U198" s="425"/>
    </row>
    <row r="199" ht="15.75" customHeight="1">
      <c r="A199" s="425"/>
      <c r="B199" s="425"/>
      <c r="C199" s="425"/>
      <c r="D199" s="425"/>
      <c r="E199" s="860"/>
      <c r="F199" s="425"/>
      <c r="G199" s="425"/>
      <c r="H199" s="425"/>
      <c r="I199" s="425"/>
      <c r="J199" s="425"/>
      <c r="K199" s="860"/>
      <c r="L199" s="425"/>
      <c r="M199" s="425"/>
      <c r="N199" s="425"/>
      <c r="O199" s="425"/>
      <c r="P199" s="425"/>
      <c r="Q199" s="860"/>
      <c r="R199" s="425"/>
      <c r="S199" s="425"/>
      <c r="T199" s="425"/>
      <c r="U199" s="425"/>
    </row>
    <row r="200" ht="15.75" customHeight="1">
      <c r="A200" s="425"/>
      <c r="B200" s="425"/>
      <c r="C200" s="425"/>
      <c r="D200" s="425"/>
      <c r="E200" s="860"/>
      <c r="F200" s="425"/>
      <c r="G200" s="425"/>
      <c r="H200" s="425"/>
      <c r="I200" s="425"/>
      <c r="J200" s="425"/>
      <c r="K200" s="860"/>
      <c r="L200" s="425"/>
      <c r="M200" s="425"/>
      <c r="N200" s="425"/>
      <c r="O200" s="425"/>
      <c r="P200" s="425"/>
      <c r="Q200" s="860"/>
      <c r="R200" s="425"/>
      <c r="S200" s="425"/>
      <c r="T200" s="425"/>
      <c r="U200" s="425"/>
    </row>
    <row r="201" ht="15.75" customHeight="1">
      <c r="A201" s="425"/>
      <c r="B201" s="425"/>
      <c r="C201" s="425"/>
      <c r="D201" s="425"/>
      <c r="E201" s="860"/>
      <c r="F201" s="425"/>
      <c r="G201" s="425"/>
      <c r="H201" s="425"/>
      <c r="I201" s="425"/>
      <c r="J201" s="425"/>
      <c r="K201" s="860"/>
      <c r="L201" s="425"/>
      <c r="M201" s="425"/>
      <c r="N201" s="425"/>
      <c r="O201" s="425"/>
      <c r="P201" s="425"/>
      <c r="Q201" s="860"/>
      <c r="R201" s="425"/>
      <c r="S201" s="425"/>
      <c r="T201" s="425"/>
      <c r="U201" s="425"/>
    </row>
    <row r="202" ht="15.75" customHeight="1">
      <c r="A202" s="425"/>
      <c r="B202" s="425"/>
      <c r="C202" s="425"/>
      <c r="D202" s="425"/>
      <c r="E202" s="860"/>
      <c r="F202" s="425"/>
      <c r="G202" s="425"/>
      <c r="H202" s="425"/>
      <c r="I202" s="425"/>
      <c r="J202" s="425"/>
      <c r="K202" s="860"/>
      <c r="L202" s="425"/>
      <c r="M202" s="425"/>
      <c r="N202" s="425"/>
      <c r="O202" s="425"/>
      <c r="P202" s="425"/>
      <c r="Q202" s="860"/>
      <c r="R202" s="425"/>
      <c r="S202" s="425"/>
      <c r="T202" s="425"/>
      <c r="U202" s="425"/>
    </row>
    <row r="203" ht="15.75" customHeight="1">
      <c r="A203" s="425"/>
      <c r="B203" s="425"/>
      <c r="C203" s="425"/>
      <c r="D203" s="425"/>
      <c r="E203" s="860"/>
      <c r="F203" s="425"/>
      <c r="G203" s="425"/>
      <c r="H203" s="425"/>
      <c r="I203" s="425"/>
      <c r="J203" s="425"/>
      <c r="K203" s="860"/>
      <c r="L203" s="425"/>
      <c r="M203" s="425"/>
      <c r="N203" s="425"/>
      <c r="O203" s="425"/>
      <c r="P203" s="425"/>
      <c r="Q203" s="860"/>
      <c r="R203" s="425"/>
      <c r="S203" s="425"/>
      <c r="T203" s="425"/>
      <c r="U203" s="425"/>
    </row>
    <row r="204" ht="15.75" customHeight="1">
      <c r="A204" s="425"/>
      <c r="B204" s="425"/>
      <c r="C204" s="425"/>
      <c r="D204" s="425"/>
      <c r="E204" s="860"/>
      <c r="F204" s="425"/>
      <c r="G204" s="425"/>
      <c r="H204" s="425"/>
      <c r="I204" s="425"/>
      <c r="J204" s="425"/>
      <c r="K204" s="860"/>
      <c r="L204" s="425"/>
      <c r="M204" s="425"/>
      <c r="N204" s="425"/>
      <c r="O204" s="425"/>
      <c r="P204" s="425"/>
      <c r="Q204" s="860"/>
      <c r="R204" s="425"/>
      <c r="S204" s="425"/>
      <c r="T204" s="425"/>
      <c r="U204" s="425"/>
    </row>
    <row r="205" ht="15.75" customHeight="1">
      <c r="A205" s="425"/>
      <c r="B205" s="425"/>
      <c r="C205" s="425"/>
      <c r="D205" s="425"/>
      <c r="E205" s="860"/>
      <c r="F205" s="425"/>
      <c r="G205" s="425"/>
      <c r="H205" s="425"/>
      <c r="I205" s="425"/>
      <c r="J205" s="425"/>
      <c r="K205" s="860"/>
      <c r="L205" s="425"/>
      <c r="M205" s="425"/>
      <c r="N205" s="425"/>
      <c r="O205" s="425"/>
      <c r="P205" s="425"/>
      <c r="Q205" s="860"/>
      <c r="R205" s="425"/>
      <c r="S205" s="425"/>
      <c r="T205" s="425"/>
      <c r="U205" s="425"/>
    </row>
    <row r="206" ht="15.75" customHeight="1">
      <c r="A206" s="425"/>
      <c r="B206" s="425"/>
      <c r="C206" s="425"/>
      <c r="D206" s="425"/>
      <c r="E206" s="860"/>
      <c r="F206" s="425"/>
      <c r="G206" s="425"/>
      <c r="H206" s="425"/>
      <c r="I206" s="425"/>
      <c r="J206" s="425"/>
      <c r="K206" s="860"/>
      <c r="L206" s="425"/>
      <c r="M206" s="425"/>
      <c r="N206" s="425"/>
      <c r="O206" s="425"/>
      <c r="P206" s="425"/>
      <c r="Q206" s="860"/>
      <c r="R206" s="425"/>
      <c r="S206" s="425"/>
      <c r="T206" s="425"/>
      <c r="U206" s="425"/>
    </row>
    <row r="207" ht="15.75" customHeight="1">
      <c r="A207" s="425"/>
      <c r="B207" s="425"/>
      <c r="C207" s="425"/>
      <c r="D207" s="425"/>
      <c r="E207" s="860"/>
      <c r="F207" s="425"/>
      <c r="G207" s="425"/>
      <c r="H207" s="425"/>
      <c r="I207" s="425"/>
      <c r="J207" s="425"/>
      <c r="K207" s="860"/>
      <c r="L207" s="425"/>
      <c r="M207" s="425"/>
      <c r="N207" s="425"/>
      <c r="O207" s="425"/>
      <c r="P207" s="425"/>
      <c r="Q207" s="860"/>
      <c r="R207" s="425"/>
      <c r="S207" s="425"/>
      <c r="T207" s="425"/>
      <c r="U207" s="425"/>
    </row>
    <row r="208" ht="15.75" customHeight="1">
      <c r="A208" s="425"/>
      <c r="B208" s="425"/>
      <c r="C208" s="425"/>
      <c r="D208" s="425"/>
      <c r="E208" s="860"/>
      <c r="F208" s="425"/>
      <c r="G208" s="425"/>
      <c r="H208" s="425"/>
      <c r="I208" s="425"/>
      <c r="J208" s="425"/>
      <c r="K208" s="860"/>
      <c r="L208" s="425"/>
      <c r="M208" s="425"/>
      <c r="N208" s="425"/>
      <c r="O208" s="425"/>
      <c r="P208" s="425"/>
      <c r="Q208" s="860"/>
      <c r="R208" s="425"/>
      <c r="S208" s="425"/>
      <c r="T208" s="425"/>
      <c r="U208" s="425"/>
    </row>
    <row r="209" ht="15.75" customHeight="1">
      <c r="A209" s="425"/>
      <c r="B209" s="425"/>
      <c r="C209" s="425"/>
      <c r="D209" s="425"/>
      <c r="E209" s="860"/>
      <c r="F209" s="425"/>
      <c r="G209" s="425"/>
      <c r="H209" s="425"/>
      <c r="I209" s="425"/>
      <c r="J209" s="425"/>
      <c r="K209" s="860"/>
      <c r="L209" s="425"/>
      <c r="M209" s="425"/>
      <c r="N209" s="425"/>
      <c r="O209" s="425"/>
      <c r="P209" s="425"/>
      <c r="Q209" s="860"/>
      <c r="R209" s="425"/>
      <c r="S209" s="425"/>
      <c r="T209" s="425"/>
      <c r="U209" s="425"/>
    </row>
    <row r="210" ht="15.75" customHeight="1">
      <c r="A210" s="425"/>
      <c r="B210" s="425"/>
      <c r="C210" s="425"/>
      <c r="D210" s="425"/>
      <c r="E210" s="860"/>
      <c r="F210" s="425"/>
      <c r="G210" s="425"/>
      <c r="H210" s="425"/>
      <c r="I210" s="425"/>
      <c r="J210" s="425"/>
      <c r="K210" s="860"/>
      <c r="L210" s="425"/>
      <c r="M210" s="425"/>
      <c r="N210" s="425"/>
      <c r="O210" s="425"/>
      <c r="P210" s="425"/>
      <c r="Q210" s="860"/>
      <c r="R210" s="425"/>
      <c r="S210" s="425"/>
      <c r="T210" s="425"/>
      <c r="U210" s="425"/>
    </row>
    <row r="211" ht="15.75" customHeight="1">
      <c r="A211" s="425"/>
      <c r="B211" s="425"/>
      <c r="C211" s="425"/>
      <c r="D211" s="425"/>
      <c r="E211" s="860"/>
      <c r="F211" s="425"/>
      <c r="G211" s="425"/>
      <c r="H211" s="425"/>
      <c r="I211" s="425"/>
      <c r="J211" s="425"/>
      <c r="K211" s="860"/>
      <c r="L211" s="425"/>
      <c r="M211" s="425"/>
      <c r="N211" s="425"/>
      <c r="O211" s="425"/>
      <c r="P211" s="425"/>
      <c r="Q211" s="860"/>
      <c r="R211" s="425"/>
      <c r="S211" s="425"/>
      <c r="T211" s="425"/>
      <c r="U211" s="425"/>
    </row>
    <row r="212" ht="15.75" customHeight="1">
      <c r="A212" s="425"/>
      <c r="B212" s="425"/>
      <c r="C212" s="425"/>
      <c r="D212" s="425"/>
      <c r="E212" s="860"/>
      <c r="F212" s="425"/>
      <c r="G212" s="425"/>
      <c r="H212" s="425"/>
      <c r="I212" s="425"/>
      <c r="J212" s="425"/>
      <c r="K212" s="860"/>
      <c r="L212" s="425"/>
      <c r="M212" s="425"/>
      <c r="N212" s="425"/>
      <c r="O212" s="425"/>
      <c r="P212" s="425"/>
      <c r="Q212" s="860"/>
      <c r="R212" s="425"/>
      <c r="S212" s="425"/>
      <c r="T212" s="425"/>
      <c r="U212" s="425"/>
    </row>
    <row r="213" ht="15.75" customHeight="1">
      <c r="A213" s="425"/>
      <c r="B213" s="425"/>
      <c r="C213" s="425"/>
      <c r="D213" s="425"/>
      <c r="E213" s="860"/>
      <c r="F213" s="425"/>
      <c r="G213" s="425"/>
      <c r="H213" s="425"/>
      <c r="I213" s="425"/>
      <c r="J213" s="425"/>
      <c r="K213" s="860"/>
      <c r="L213" s="425"/>
      <c r="M213" s="425"/>
      <c r="N213" s="425"/>
      <c r="O213" s="425"/>
      <c r="P213" s="425"/>
      <c r="Q213" s="860"/>
      <c r="R213" s="425"/>
      <c r="S213" s="425"/>
      <c r="T213" s="425"/>
      <c r="U213" s="425"/>
    </row>
    <row r="214" ht="15.75" customHeight="1">
      <c r="A214" s="425"/>
      <c r="B214" s="425"/>
      <c r="C214" s="425"/>
      <c r="D214" s="425"/>
      <c r="E214" s="860"/>
      <c r="F214" s="425"/>
      <c r="G214" s="425"/>
      <c r="H214" s="425"/>
      <c r="I214" s="425"/>
      <c r="J214" s="425"/>
      <c r="K214" s="860"/>
      <c r="L214" s="425"/>
      <c r="M214" s="425"/>
      <c r="N214" s="425"/>
      <c r="O214" s="425"/>
      <c r="P214" s="425"/>
      <c r="Q214" s="860"/>
      <c r="R214" s="425"/>
      <c r="S214" s="425"/>
      <c r="T214" s="425"/>
      <c r="U214" s="425"/>
    </row>
    <row r="215" ht="15.75" customHeight="1">
      <c r="A215" s="425"/>
      <c r="B215" s="425"/>
      <c r="C215" s="425"/>
      <c r="D215" s="425"/>
      <c r="E215" s="860"/>
      <c r="F215" s="425"/>
      <c r="G215" s="425"/>
      <c r="H215" s="425"/>
      <c r="I215" s="425"/>
      <c r="J215" s="425"/>
      <c r="K215" s="860"/>
      <c r="L215" s="425"/>
      <c r="M215" s="425"/>
      <c r="N215" s="425"/>
      <c r="O215" s="425"/>
      <c r="P215" s="425"/>
      <c r="Q215" s="860"/>
      <c r="R215" s="425"/>
      <c r="S215" s="425"/>
      <c r="T215" s="425"/>
      <c r="U215" s="425"/>
    </row>
    <row r="216" ht="15.75" customHeight="1">
      <c r="A216" s="425"/>
      <c r="B216" s="425"/>
      <c r="C216" s="425"/>
      <c r="D216" s="425"/>
      <c r="E216" s="860"/>
      <c r="F216" s="425"/>
      <c r="G216" s="425"/>
      <c r="H216" s="425"/>
      <c r="I216" s="425"/>
      <c r="J216" s="425"/>
      <c r="K216" s="860"/>
      <c r="L216" s="425"/>
      <c r="M216" s="425"/>
      <c r="N216" s="425"/>
      <c r="O216" s="425"/>
      <c r="P216" s="425"/>
      <c r="Q216" s="860"/>
      <c r="R216" s="425"/>
      <c r="S216" s="425"/>
      <c r="T216" s="425"/>
      <c r="U216" s="425"/>
    </row>
    <row r="217" ht="15.75" customHeight="1">
      <c r="A217" s="425"/>
      <c r="B217" s="425"/>
      <c r="C217" s="425"/>
      <c r="D217" s="425"/>
      <c r="E217" s="860"/>
      <c r="F217" s="425"/>
      <c r="G217" s="425"/>
      <c r="H217" s="425"/>
      <c r="I217" s="425"/>
      <c r="J217" s="425"/>
      <c r="K217" s="860"/>
      <c r="L217" s="425"/>
      <c r="M217" s="425"/>
      <c r="N217" s="425"/>
      <c r="O217" s="425"/>
      <c r="P217" s="425"/>
      <c r="Q217" s="860"/>
      <c r="R217" s="425"/>
      <c r="S217" s="425"/>
      <c r="T217" s="425"/>
      <c r="U217" s="425"/>
    </row>
    <row r="218" ht="15.75" customHeight="1">
      <c r="A218" s="425"/>
      <c r="B218" s="425"/>
      <c r="C218" s="425"/>
      <c r="D218" s="425"/>
      <c r="E218" s="860"/>
      <c r="F218" s="425"/>
      <c r="G218" s="425"/>
      <c r="H218" s="425"/>
      <c r="I218" s="425"/>
      <c r="J218" s="425"/>
      <c r="K218" s="860"/>
      <c r="L218" s="425"/>
      <c r="M218" s="425"/>
      <c r="N218" s="425"/>
      <c r="O218" s="425"/>
      <c r="P218" s="425"/>
      <c r="Q218" s="860"/>
      <c r="R218" s="425"/>
      <c r="S218" s="425"/>
      <c r="T218" s="425"/>
      <c r="U218" s="425"/>
    </row>
    <row r="219" ht="15.75" customHeight="1">
      <c r="A219" s="425"/>
      <c r="B219" s="425"/>
      <c r="C219" s="425"/>
      <c r="D219" s="425"/>
      <c r="E219" s="860"/>
      <c r="F219" s="425"/>
      <c r="G219" s="425"/>
      <c r="H219" s="425"/>
      <c r="I219" s="425"/>
      <c r="J219" s="425"/>
      <c r="K219" s="860"/>
      <c r="L219" s="425"/>
      <c r="M219" s="425"/>
      <c r="N219" s="425"/>
      <c r="O219" s="425"/>
      <c r="P219" s="425"/>
      <c r="Q219" s="860"/>
      <c r="R219" s="425"/>
      <c r="S219" s="425"/>
      <c r="T219" s="425"/>
      <c r="U219" s="425"/>
    </row>
    <row r="220" ht="15.75" customHeight="1">
      <c r="A220" s="425"/>
      <c r="B220" s="425"/>
      <c r="C220" s="425"/>
      <c r="D220" s="425"/>
      <c r="E220" s="860"/>
      <c r="F220" s="425"/>
      <c r="G220" s="425"/>
      <c r="H220" s="425"/>
      <c r="I220" s="425"/>
      <c r="J220" s="425"/>
      <c r="K220" s="860"/>
      <c r="L220" s="425"/>
      <c r="M220" s="425"/>
      <c r="N220" s="425"/>
      <c r="O220" s="425"/>
      <c r="P220" s="425"/>
      <c r="Q220" s="860"/>
      <c r="R220" s="425"/>
      <c r="S220" s="425"/>
      <c r="T220" s="425"/>
      <c r="U220" s="425"/>
    </row>
    <row r="221" ht="15.75" customHeight="1">
      <c r="A221" s="425"/>
      <c r="B221" s="425"/>
      <c r="C221" s="425"/>
      <c r="D221" s="425"/>
      <c r="E221" s="860"/>
      <c r="F221" s="425"/>
      <c r="G221" s="425"/>
      <c r="H221" s="425"/>
      <c r="I221" s="425"/>
      <c r="J221" s="425"/>
      <c r="K221" s="860"/>
      <c r="L221" s="425"/>
      <c r="M221" s="425"/>
      <c r="N221" s="425"/>
      <c r="O221" s="425"/>
      <c r="P221" s="425"/>
      <c r="Q221" s="860"/>
      <c r="R221" s="425"/>
      <c r="S221" s="425"/>
      <c r="T221" s="425"/>
      <c r="U221" s="425"/>
    </row>
    <row r="222" ht="15.75" customHeight="1">
      <c r="A222" s="425"/>
      <c r="B222" s="425"/>
      <c r="C222" s="425"/>
      <c r="D222" s="425"/>
      <c r="E222" s="860"/>
      <c r="F222" s="425"/>
      <c r="G222" s="425"/>
      <c r="H222" s="425"/>
      <c r="I222" s="425"/>
      <c r="J222" s="425"/>
      <c r="K222" s="860"/>
      <c r="L222" s="425"/>
      <c r="M222" s="425"/>
      <c r="N222" s="425"/>
      <c r="O222" s="425"/>
      <c r="P222" s="425"/>
      <c r="Q222" s="860"/>
      <c r="R222" s="425"/>
      <c r="S222" s="425"/>
      <c r="T222" s="425"/>
      <c r="U222" s="425"/>
    </row>
    <row r="223" ht="15.75" customHeight="1">
      <c r="A223" s="425"/>
      <c r="B223" s="425"/>
      <c r="C223" s="425"/>
      <c r="D223" s="425"/>
      <c r="E223" s="860"/>
      <c r="F223" s="425"/>
      <c r="G223" s="425"/>
      <c r="H223" s="425"/>
      <c r="I223" s="425"/>
      <c r="J223" s="425"/>
      <c r="K223" s="860"/>
      <c r="L223" s="425"/>
      <c r="M223" s="425"/>
      <c r="N223" s="425"/>
      <c r="O223" s="425"/>
      <c r="P223" s="425"/>
      <c r="Q223" s="860"/>
      <c r="R223" s="425"/>
      <c r="S223" s="425"/>
      <c r="T223" s="425"/>
      <c r="U223" s="425"/>
    </row>
    <row r="224" ht="15.75" customHeight="1">
      <c r="A224" s="425"/>
      <c r="B224" s="425"/>
      <c r="C224" s="425"/>
      <c r="D224" s="425"/>
      <c r="E224" s="860"/>
      <c r="F224" s="425"/>
      <c r="G224" s="425"/>
      <c r="H224" s="425"/>
      <c r="I224" s="425"/>
      <c r="J224" s="425"/>
      <c r="K224" s="860"/>
      <c r="L224" s="425"/>
      <c r="M224" s="425"/>
      <c r="N224" s="425"/>
      <c r="O224" s="425"/>
      <c r="P224" s="425"/>
      <c r="Q224" s="860"/>
      <c r="R224" s="425"/>
      <c r="S224" s="425"/>
      <c r="T224" s="425"/>
      <c r="U224" s="425"/>
    </row>
    <row r="225" ht="15.75" customHeight="1">
      <c r="A225" s="425"/>
      <c r="B225" s="425"/>
      <c r="C225" s="425"/>
      <c r="D225" s="425"/>
      <c r="E225" s="860"/>
      <c r="F225" s="425"/>
      <c r="G225" s="425"/>
      <c r="H225" s="425"/>
      <c r="I225" s="425"/>
      <c r="J225" s="425"/>
      <c r="K225" s="860"/>
      <c r="L225" s="425"/>
      <c r="M225" s="425"/>
      <c r="N225" s="425"/>
      <c r="O225" s="425"/>
      <c r="P225" s="425"/>
      <c r="Q225" s="860"/>
      <c r="R225" s="425"/>
      <c r="S225" s="425"/>
      <c r="T225" s="425"/>
      <c r="U225" s="425"/>
    </row>
    <row r="226" ht="15.75" customHeight="1">
      <c r="A226" s="425"/>
      <c r="B226" s="425"/>
      <c r="C226" s="425"/>
      <c r="D226" s="425"/>
      <c r="E226" s="860"/>
      <c r="F226" s="425"/>
      <c r="G226" s="425"/>
      <c r="H226" s="425"/>
      <c r="I226" s="425"/>
      <c r="J226" s="425"/>
      <c r="K226" s="860"/>
      <c r="L226" s="425"/>
      <c r="M226" s="425"/>
      <c r="N226" s="425"/>
      <c r="O226" s="425"/>
      <c r="P226" s="425"/>
      <c r="Q226" s="860"/>
      <c r="R226" s="425"/>
      <c r="S226" s="425"/>
      <c r="T226" s="425"/>
      <c r="U226" s="425"/>
    </row>
    <row r="227" ht="15.75" customHeight="1">
      <c r="A227" s="425"/>
      <c r="B227" s="425"/>
      <c r="C227" s="425"/>
      <c r="D227" s="425"/>
      <c r="E227" s="860"/>
      <c r="F227" s="425"/>
      <c r="G227" s="425"/>
      <c r="H227" s="425"/>
      <c r="I227" s="425"/>
      <c r="J227" s="425"/>
      <c r="K227" s="860"/>
      <c r="L227" s="425"/>
      <c r="M227" s="425"/>
      <c r="N227" s="425"/>
      <c r="O227" s="425"/>
      <c r="P227" s="425"/>
      <c r="Q227" s="860"/>
      <c r="R227" s="425"/>
      <c r="S227" s="425"/>
      <c r="T227" s="425"/>
      <c r="U227" s="425"/>
    </row>
    <row r="228" ht="15.75" customHeight="1">
      <c r="A228" s="425"/>
      <c r="B228" s="425"/>
      <c r="C228" s="425"/>
      <c r="D228" s="425"/>
      <c r="E228" s="860"/>
      <c r="F228" s="425"/>
      <c r="G228" s="425"/>
      <c r="H228" s="425"/>
      <c r="I228" s="425"/>
      <c r="J228" s="425"/>
      <c r="K228" s="860"/>
      <c r="L228" s="425"/>
      <c r="M228" s="425"/>
      <c r="N228" s="425"/>
      <c r="O228" s="425"/>
      <c r="P228" s="425"/>
      <c r="Q228" s="860"/>
      <c r="R228" s="425"/>
      <c r="S228" s="425"/>
      <c r="T228" s="425"/>
      <c r="U228" s="425"/>
    </row>
    <row r="229" ht="15.75" customHeight="1">
      <c r="A229" s="425"/>
      <c r="B229" s="425"/>
      <c r="C229" s="425"/>
      <c r="D229" s="425"/>
      <c r="E229" s="860"/>
      <c r="F229" s="425"/>
      <c r="G229" s="425"/>
      <c r="H229" s="425"/>
      <c r="I229" s="425"/>
      <c r="J229" s="425"/>
      <c r="K229" s="860"/>
      <c r="L229" s="425"/>
      <c r="M229" s="425"/>
      <c r="N229" s="425"/>
      <c r="O229" s="425"/>
      <c r="P229" s="425"/>
      <c r="Q229" s="860"/>
      <c r="R229" s="425"/>
      <c r="S229" s="425"/>
      <c r="T229" s="425"/>
      <c r="U229" s="425"/>
    </row>
    <row r="230" ht="15.75" customHeight="1">
      <c r="A230" s="425"/>
      <c r="B230" s="425"/>
      <c r="C230" s="425"/>
      <c r="D230" s="425"/>
      <c r="E230" s="860"/>
      <c r="F230" s="425"/>
      <c r="G230" s="425"/>
      <c r="H230" s="425"/>
      <c r="I230" s="425"/>
      <c r="J230" s="425"/>
      <c r="K230" s="860"/>
      <c r="L230" s="425"/>
      <c r="M230" s="425"/>
      <c r="N230" s="425"/>
      <c r="O230" s="425"/>
      <c r="P230" s="425"/>
      <c r="Q230" s="860"/>
      <c r="R230" s="425"/>
      <c r="S230" s="425"/>
      <c r="T230" s="425"/>
      <c r="U230" s="425"/>
    </row>
    <row r="231" ht="15.75" customHeight="1">
      <c r="A231" s="425"/>
      <c r="B231" s="425"/>
      <c r="C231" s="425"/>
      <c r="D231" s="425"/>
      <c r="E231" s="860"/>
      <c r="F231" s="425"/>
      <c r="G231" s="425"/>
      <c r="H231" s="425"/>
      <c r="I231" s="425"/>
      <c r="J231" s="425"/>
      <c r="K231" s="860"/>
      <c r="L231" s="425"/>
      <c r="M231" s="425"/>
      <c r="N231" s="425"/>
      <c r="O231" s="425"/>
      <c r="P231" s="425"/>
      <c r="Q231" s="860"/>
      <c r="R231" s="425"/>
      <c r="S231" s="425"/>
      <c r="T231" s="425"/>
      <c r="U231" s="425"/>
    </row>
    <row r="232" ht="15.75" customHeight="1">
      <c r="A232" s="425"/>
      <c r="B232" s="425"/>
      <c r="C232" s="425"/>
      <c r="D232" s="425"/>
      <c r="E232" s="860"/>
      <c r="F232" s="425"/>
      <c r="G232" s="425"/>
      <c r="H232" s="425"/>
      <c r="I232" s="425"/>
      <c r="J232" s="425"/>
      <c r="K232" s="860"/>
      <c r="L232" s="425"/>
      <c r="M232" s="425"/>
      <c r="N232" s="425"/>
      <c r="O232" s="425"/>
      <c r="P232" s="425"/>
      <c r="Q232" s="860"/>
      <c r="R232" s="425"/>
      <c r="S232" s="425"/>
      <c r="T232" s="425"/>
      <c r="U232" s="425"/>
    </row>
    <row r="233" ht="15.75" customHeight="1">
      <c r="A233" s="425"/>
      <c r="B233" s="425"/>
      <c r="C233" s="425"/>
      <c r="D233" s="425"/>
      <c r="E233" s="860"/>
      <c r="F233" s="425"/>
      <c r="G233" s="425"/>
      <c r="H233" s="425"/>
      <c r="I233" s="425"/>
      <c r="J233" s="425"/>
      <c r="K233" s="860"/>
      <c r="L233" s="425"/>
      <c r="M233" s="425"/>
      <c r="N233" s="425"/>
      <c r="O233" s="425"/>
      <c r="P233" s="425"/>
      <c r="Q233" s="860"/>
      <c r="R233" s="425"/>
      <c r="S233" s="425"/>
      <c r="T233" s="425"/>
      <c r="U233" s="425"/>
    </row>
    <row r="234" ht="15.75" customHeight="1">
      <c r="A234" s="425"/>
      <c r="B234" s="425"/>
      <c r="C234" s="425"/>
      <c r="D234" s="425"/>
      <c r="E234" s="860"/>
      <c r="F234" s="425"/>
      <c r="G234" s="425"/>
      <c r="H234" s="425"/>
      <c r="I234" s="425"/>
      <c r="J234" s="425"/>
      <c r="K234" s="860"/>
      <c r="L234" s="425"/>
      <c r="M234" s="425"/>
      <c r="N234" s="425"/>
      <c r="O234" s="425"/>
      <c r="P234" s="425"/>
      <c r="Q234" s="860"/>
      <c r="R234" s="425"/>
      <c r="S234" s="425"/>
      <c r="T234" s="425"/>
      <c r="U234" s="425"/>
    </row>
    <row r="235" ht="15.75" customHeight="1">
      <c r="A235" s="425"/>
      <c r="B235" s="425"/>
      <c r="C235" s="425"/>
      <c r="D235" s="425"/>
      <c r="E235" s="860"/>
      <c r="F235" s="425"/>
      <c r="G235" s="425"/>
      <c r="H235" s="425"/>
      <c r="I235" s="425"/>
      <c r="J235" s="425"/>
      <c r="K235" s="860"/>
      <c r="L235" s="425"/>
      <c r="M235" s="425"/>
      <c r="N235" s="425"/>
      <c r="O235" s="425"/>
      <c r="P235" s="425"/>
      <c r="Q235" s="860"/>
      <c r="R235" s="425"/>
      <c r="S235" s="425"/>
      <c r="T235" s="425"/>
      <c r="U235" s="425"/>
    </row>
    <row r="236" ht="15.75" customHeight="1">
      <c r="A236" s="425"/>
      <c r="B236" s="425"/>
      <c r="C236" s="425"/>
      <c r="D236" s="425"/>
      <c r="E236" s="860"/>
      <c r="F236" s="425"/>
      <c r="G236" s="425"/>
      <c r="H236" s="425"/>
      <c r="I236" s="425"/>
      <c r="J236" s="425"/>
      <c r="K236" s="860"/>
      <c r="L236" s="425"/>
      <c r="M236" s="425"/>
      <c r="N236" s="425"/>
      <c r="O236" s="425"/>
      <c r="P236" s="425"/>
      <c r="Q236" s="860"/>
      <c r="R236" s="425"/>
      <c r="S236" s="425"/>
      <c r="T236" s="425"/>
      <c r="U236" s="425"/>
    </row>
    <row r="237" ht="15.75" customHeight="1">
      <c r="A237" s="425"/>
      <c r="B237" s="425"/>
      <c r="C237" s="425"/>
      <c r="D237" s="425"/>
      <c r="E237" s="860"/>
      <c r="F237" s="425"/>
      <c r="G237" s="425"/>
      <c r="H237" s="425"/>
      <c r="I237" s="425"/>
      <c r="J237" s="425"/>
      <c r="K237" s="860"/>
      <c r="L237" s="425"/>
      <c r="M237" s="425"/>
      <c r="N237" s="425"/>
      <c r="O237" s="425"/>
      <c r="P237" s="425"/>
      <c r="Q237" s="860"/>
      <c r="R237" s="425"/>
      <c r="S237" s="425"/>
      <c r="T237" s="425"/>
      <c r="U237" s="425"/>
    </row>
    <row r="238" ht="15.75" customHeight="1">
      <c r="A238" s="425"/>
      <c r="B238" s="425"/>
      <c r="C238" s="425"/>
      <c r="D238" s="425"/>
      <c r="E238" s="860"/>
      <c r="F238" s="425"/>
      <c r="G238" s="425"/>
      <c r="H238" s="425"/>
      <c r="I238" s="425"/>
      <c r="J238" s="425"/>
      <c r="K238" s="860"/>
      <c r="L238" s="425"/>
      <c r="M238" s="425"/>
      <c r="N238" s="425"/>
      <c r="O238" s="425"/>
      <c r="P238" s="425"/>
      <c r="Q238" s="860"/>
      <c r="R238" s="425"/>
      <c r="S238" s="425"/>
      <c r="T238" s="425"/>
      <c r="U238" s="425"/>
    </row>
    <row r="239" ht="15.75" customHeight="1">
      <c r="A239" s="425"/>
      <c r="B239" s="425"/>
      <c r="C239" s="425"/>
      <c r="D239" s="425"/>
      <c r="E239" s="860"/>
      <c r="F239" s="425"/>
      <c r="G239" s="425"/>
      <c r="H239" s="425"/>
      <c r="I239" s="425"/>
      <c r="J239" s="425"/>
      <c r="K239" s="860"/>
      <c r="L239" s="425"/>
      <c r="M239" s="425"/>
      <c r="N239" s="425"/>
      <c r="O239" s="425"/>
      <c r="P239" s="425"/>
      <c r="Q239" s="860"/>
      <c r="R239" s="425"/>
      <c r="S239" s="425"/>
      <c r="T239" s="425"/>
      <c r="U239" s="425"/>
    </row>
    <row r="240" ht="15.75" customHeight="1">
      <c r="A240" s="425"/>
      <c r="B240" s="425"/>
      <c r="C240" s="425"/>
      <c r="D240" s="425"/>
      <c r="E240" s="860"/>
      <c r="F240" s="425"/>
      <c r="G240" s="425"/>
      <c r="H240" s="425"/>
      <c r="I240" s="425"/>
      <c r="J240" s="425"/>
      <c r="K240" s="860"/>
      <c r="L240" s="425"/>
      <c r="M240" s="425"/>
      <c r="N240" s="425"/>
      <c r="O240" s="425"/>
      <c r="P240" s="425"/>
      <c r="Q240" s="860"/>
      <c r="R240" s="425"/>
      <c r="S240" s="425"/>
      <c r="T240" s="425"/>
      <c r="U240" s="425"/>
    </row>
    <row r="241" ht="15.75" customHeight="1">
      <c r="A241" s="425"/>
      <c r="B241" s="425"/>
      <c r="C241" s="425"/>
      <c r="D241" s="425"/>
      <c r="E241" s="860"/>
      <c r="F241" s="425"/>
      <c r="G241" s="425"/>
      <c r="H241" s="425"/>
      <c r="I241" s="425"/>
      <c r="J241" s="425"/>
      <c r="K241" s="860"/>
      <c r="L241" s="425"/>
      <c r="M241" s="425"/>
      <c r="N241" s="425"/>
      <c r="O241" s="425"/>
      <c r="P241" s="425"/>
      <c r="Q241" s="860"/>
      <c r="R241" s="425"/>
      <c r="S241" s="425"/>
      <c r="T241" s="425"/>
      <c r="U241" s="425"/>
    </row>
    <row r="242" ht="15.75" customHeight="1">
      <c r="A242" s="425"/>
      <c r="B242" s="425"/>
      <c r="C242" s="425"/>
      <c r="D242" s="425"/>
      <c r="E242" s="860"/>
      <c r="F242" s="425"/>
      <c r="G242" s="425"/>
      <c r="H242" s="425"/>
      <c r="I242" s="425"/>
      <c r="J242" s="425"/>
      <c r="K242" s="860"/>
      <c r="L242" s="425"/>
      <c r="M242" s="425"/>
      <c r="N242" s="425"/>
      <c r="O242" s="425"/>
      <c r="P242" s="425"/>
      <c r="Q242" s="860"/>
      <c r="R242" s="425"/>
      <c r="S242" s="425"/>
      <c r="T242" s="425"/>
      <c r="U242" s="425"/>
    </row>
    <row r="243" ht="15.75" customHeight="1">
      <c r="A243" s="425"/>
      <c r="B243" s="425"/>
      <c r="C243" s="425"/>
      <c r="D243" s="425"/>
      <c r="E243" s="860"/>
      <c r="F243" s="425"/>
      <c r="G243" s="425"/>
      <c r="H243" s="425"/>
      <c r="I243" s="425"/>
      <c r="J243" s="425"/>
      <c r="K243" s="860"/>
      <c r="L243" s="425"/>
      <c r="M243" s="425"/>
      <c r="N243" s="425"/>
      <c r="O243" s="425"/>
      <c r="P243" s="425"/>
      <c r="Q243" s="860"/>
      <c r="R243" s="425"/>
      <c r="S243" s="425"/>
      <c r="T243" s="425"/>
      <c r="U243" s="425"/>
    </row>
    <row r="244" ht="15.75" customHeight="1">
      <c r="A244" s="425"/>
      <c r="B244" s="425"/>
      <c r="C244" s="425"/>
      <c r="D244" s="425"/>
      <c r="E244" s="860"/>
      <c r="F244" s="425"/>
      <c r="G244" s="425"/>
      <c r="H244" s="425"/>
      <c r="I244" s="425"/>
      <c r="J244" s="425"/>
      <c r="K244" s="860"/>
      <c r="L244" s="425"/>
      <c r="M244" s="425"/>
      <c r="N244" s="425"/>
      <c r="O244" s="425"/>
      <c r="P244" s="425"/>
      <c r="Q244" s="860"/>
      <c r="R244" s="425"/>
      <c r="S244" s="425"/>
      <c r="T244" s="425"/>
      <c r="U244" s="425"/>
    </row>
    <row r="245" ht="15.75" customHeight="1">
      <c r="A245" s="425"/>
      <c r="B245" s="425"/>
      <c r="C245" s="425"/>
      <c r="D245" s="425"/>
      <c r="E245" s="860"/>
      <c r="F245" s="425"/>
      <c r="G245" s="425"/>
      <c r="H245" s="425"/>
      <c r="I245" s="425"/>
      <c r="J245" s="425"/>
      <c r="K245" s="860"/>
      <c r="L245" s="425"/>
      <c r="M245" s="425"/>
      <c r="N245" s="425"/>
      <c r="O245" s="425"/>
      <c r="P245" s="425"/>
      <c r="Q245" s="860"/>
      <c r="R245" s="425"/>
      <c r="S245" s="425"/>
      <c r="T245" s="425"/>
      <c r="U245" s="425"/>
    </row>
    <row r="246" ht="15.75" customHeight="1">
      <c r="A246" s="425"/>
      <c r="B246" s="425"/>
      <c r="C246" s="425"/>
      <c r="D246" s="425"/>
      <c r="E246" s="860"/>
      <c r="F246" s="425"/>
      <c r="G246" s="425"/>
      <c r="H246" s="425"/>
      <c r="I246" s="425"/>
      <c r="J246" s="425"/>
      <c r="K246" s="860"/>
      <c r="L246" s="425"/>
      <c r="M246" s="425"/>
      <c r="N246" s="425"/>
      <c r="O246" s="425"/>
      <c r="P246" s="425"/>
      <c r="Q246" s="860"/>
      <c r="R246" s="425"/>
      <c r="S246" s="425"/>
      <c r="T246" s="425"/>
      <c r="U246" s="425"/>
    </row>
    <row r="247" ht="15.75" customHeight="1">
      <c r="A247" s="425"/>
      <c r="B247" s="425"/>
      <c r="C247" s="425"/>
      <c r="D247" s="425"/>
      <c r="E247" s="860"/>
      <c r="F247" s="425"/>
      <c r="G247" s="425"/>
      <c r="H247" s="425"/>
      <c r="I247" s="425"/>
      <c r="J247" s="425"/>
      <c r="K247" s="860"/>
      <c r="L247" s="425"/>
      <c r="M247" s="425"/>
      <c r="N247" s="425"/>
      <c r="O247" s="425"/>
      <c r="P247" s="425"/>
      <c r="Q247" s="860"/>
      <c r="R247" s="425"/>
      <c r="S247" s="425"/>
      <c r="T247" s="425"/>
      <c r="U247" s="425"/>
    </row>
    <row r="248" ht="15.75" customHeight="1">
      <c r="A248" s="425"/>
      <c r="B248" s="425"/>
      <c r="C248" s="425"/>
      <c r="D248" s="425"/>
      <c r="E248" s="860"/>
      <c r="F248" s="425"/>
      <c r="G248" s="425"/>
      <c r="H248" s="425"/>
      <c r="I248" s="425"/>
      <c r="J248" s="425"/>
      <c r="K248" s="860"/>
      <c r="L248" s="425"/>
      <c r="M248" s="425"/>
      <c r="N248" s="425"/>
      <c r="O248" s="425"/>
      <c r="P248" s="425"/>
      <c r="Q248" s="860"/>
      <c r="R248" s="425"/>
      <c r="S248" s="425"/>
      <c r="T248" s="425"/>
      <c r="U248" s="425"/>
    </row>
    <row r="249" ht="15.75" customHeight="1">
      <c r="A249" s="425"/>
      <c r="B249" s="425"/>
      <c r="C249" s="425"/>
      <c r="D249" s="425"/>
      <c r="E249" s="860"/>
      <c r="F249" s="425"/>
      <c r="G249" s="425"/>
      <c r="H249" s="425"/>
      <c r="I249" s="425"/>
      <c r="J249" s="425"/>
      <c r="K249" s="860"/>
      <c r="L249" s="425"/>
      <c r="M249" s="425"/>
      <c r="N249" s="425"/>
      <c r="O249" s="425"/>
      <c r="P249" s="425"/>
      <c r="Q249" s="860"/>
      <c r="R249" s="425"/>
      <c r="S249" s="425"/>
      <c r="T249" s="425"/>
      <c r="U249" s="425"/>
    </row>
    <row r="250" ht="15.75" customHeight="1">
      <c r="A250" s="425"/>
      <c r="B250" s="425"/>
      <c r="C250" s="425"/>
      <c r="D250" s="425"/>
      <c r="E250" s="860"/>
      <c r="F250" s="425"/>
      <c r="G250" s="425"/>
      <c r="H250" s="425"/>
      <c r="I250" s="425"/>
      <c r="J250" s="425"/>
      <c r="K250" s="860"/>
      <c r="L250" s="425"/>
      <c r="M250" s="425"/>
      <c r="N250" s="425"/>
      <c r="O250" s="425"/>
      <c r="P250" s="425"/>
      <c r="Q250" s="860"/>
      <c r="R250" s="425"/>
      <c r="S250" s="425"/>
      <c r="T250" s="425"/>
      <c r="U250" s="425"/>
    </row>
    <row r="251" ht="15.75" customHeight="1">
      <c r="A251" s="425"/>
      <c r="B251" s="425"/>
      <c r="C251" s="425"/>
      <c r="D251" s="425"/>
      <c r="E251" s="860"/>
      <c r="F251" s="425"/>
      <c r="G251" s="425"/>
      <c r="H251" s="425"/>
      <c r="I251" s="425"/>
      <c r="J251" s="425"/>
      <c r="K251" s="860"/>
      <c r="L251" s="425"/>
      <c r="M251" s="425"/>
      <c r="N251" s="425"/>
      <c r="O251" s="425"/>
      <c r="P251" s="425"/>
      <c r="Q251" s="860"/>
      <c r="R251" s="425"/>
      <c r="S251" s="425"/>
      <c r="T251" s="425"/>
      <c r="U251" s="425"/>
    </row>
    <row r="252" ht="15.75" customHeight="1">
      <c r="A252" s="425"/>
      <c r="B252" s="425"/>
      <c r="C252" s="425"/>
      <c r="D252" s="425"/>
      <c r="E252" s="860"/>
      <c r="F252" s="425"/>
      <c r="G252" s="425"/>
      <c r="H252" s="425"/>
      <c r="I252" s="425"/>
      <c r="J252" s="425"/>
      <c r="K252" s="860"/>
      <c r="L252" s="425"/>
      <c r="M252" s="425"/>
      <c r="N252" s="425"/>
      <c r="O252" s="425"/>
      <c r="P252" s="425"/>
      <c r="Q252" s="860"/>
      <c r="R252" s="425"/>
      <c r="S252" s="425"/>
      <c r="T252" s="425"/>
      <c r="U252" s="425"/>
    </row>
    <row r="253" ht="15.75" customHeight="1">
      <c r="A253" s="425"/>
      <c r="B253" s="425"/>
      <c r="C253" s="425"/>
      <c r="D253" s="425"/>
      <c r="E253" s="860"/>
      <c r="F253" s="425"/>
      <c r="G253" s="425"/>
      <c r="H253" s="425"/>
      <c r="I253" s="425"/>
      <c r="J253" s="425"/>
      <c r="K253" s="860"/>
      <c r="L253" s="425"/>
      <c r="M253" s="425"/>
      <c r="N253" s="425"/>
      <c r="O253" s="425"/>
      <c r="P253" s="425"/>
      <c r="Q253" s="860"/>
      <c r="R253" s="425"/>
      <c r="S253" s="425"/>
      <c r="T253" s="425"/>
      <c r="U253" s="425"/>
    </row>
    <row r="254" ht="15.75" customHeight="1">
      <c r="A254" s="425"/>
      <c r="B254" s="425"/>
      <c r="C254" s="425"/>
      <c r="D254" s="425"/>
      <c r="E254" s="860"/>
      <c r="F254" s="425"/>
      <c r="G254" s="425"/>
      <c r="H254" s="425"/>
      <c r="I254" s="425"/>
      <c r="J254" s="425"/>
      <c r="K254" s="860"/>
      <c r="L254" s="425"/>
      <c r="M254" s="425"/>
      <c r="N254" s="425"/>
      <c r="O254" s="425"/>
      <c r="P254" s="425"/>
      <c r="Q254" s="860"/>
      <c r="R254" s="425"/>
      <c r="S254" s="425"/>
      <c r="T254" s="425"/>
      <c r="U254" s="425"/>
    </row>
    <row r="255" ht="15.75" customHeight="1">
      <c r="A255" s="425"/>
      <c r="B255" s="425"/>
      <c r="C255" s="425"/>
      <c r="D255" s="425"/>
      <c r="E255" s="860"/>
      <c r="F255" s="425"/>
      <c r="G255" s="425"/>
      <c r="H255" s="425"/>
      <c r="I255" s="425"/>
      <c r="J255" s="425"/>
      <c r="K255" s="860"/>
      <c r="L255" s="425"/>
      <c r="M255" s="425"/>
      <c r="N255" s="425"/>
      <c r="O255" s="425"/>
      <c r="P255" s="425"/>
      <c r="Q255" s="860"/>
      <c r="R255" s="425"/>
      <c r="S255" s="425"/>
      <c r="T255" s="425"/>
      <c r="U255" s="425"/>
    </row>
    <row r="256" ht="15.75" customHeight="1">
      <c r="A256" s="425"/>
      <c r="B256" s="425"/>
      <c r="C256" s="425"/>
      <c r="D256" s="425"/>
      <c r="E256" s="860"/>
      <c r="F256" s="425"/>
      <c r="G256" s="425"/>
      <c r="H256" s="425"/>
      <c r="I256" s="425"/>
      <c r="J256" s="425"/>
      <c r="K256" s="860"/>
      <c r="L256" s="425"/>
      <c r="M256" s="425"/>
      <c r="N256" s="425"/>
      <c r="O256" s="425"/>
      <c r="P256" s="425"/>
      <c r="Q256" s="860"/>
      <c r="R256" s="425"/>
      <c r="S256" s="425"/>
      <c r="T256" s="425"/>
      <c r="U256" s="425"/>
    </row>
    <row r="257" ht="15.75" customHeight="1">
      <c r="A257" s="425"/>
      <c r="B257" s="425"/>
      <c r="C257" s="425"/>
      <c r="D257" s="425"/>
      <c r="E257" s="860"/>
      <c r="F257" s="425"/>
      <c r="G257" s="425"/>
      <c r="H257" s="425"/>
      <c r="I257" s="425"/>
      <c r="J257" s="425"/>
      <c r="K257" s="860"/>
      <c r="L257" s="425"/>
      <c r="M257" s="425"/>
      <c r="N257" s="425"/>
      <c r="O257" s="425"/>
      <c r="P257" s="425"/>
      <c r="Q257" s="860"/>
      <c r="R257" s="425"/>
      <c r="S257" s="425"/>
      <c r="T257" s="425"/>
      <c r="U257" s="425"/>
    </row>
    <row r="258" ht="15.75" customHeight="1">
      <c r="A258" s="425"/>
      <c r="B258" s="425"/>
      <c r="C258" s="425"/>
      <c r="D258" s="425"/>
      <c r="E258" s="860"/>
      <c r="F258" s="425"/>
      <c r="G258" s="425"/>
      <c r="H258" s="425"/>
      <c r="I258" s="425"/>
      <c r="J258" s="425"/>
      <c r="K258" s="860"/>
      <c r="L258" s="425"/>
      <c r="M258" s="425"/>
      <c r="N258" s="425"/>
      <c r="O258" s="425"/>
      <c r="P258" s="425"/>
      <c r="Q258" s="860"/>
      <c r="R258" s="425"/>
      <c r="S258" s="425"/>
      <c r="T258" s="425"/>
      <c r="U258" s="425"/>
    </row>
    <row r="259" ht="15.75" customHeight="1">
      <c r="A259" s="425"/>
      <c r="B259" s="425"/>
      <c r="C259" s="425"/>
      <c r="D259" s="425"/>
      <c r="E259" s="860"/>
      <c r="F259" s="425"/>
      <c r="G259" s="425"/>
      <c r="H259" s="425"/>
      <c r="I259" s="425"/>
      <c r="J259" s="425"/>
      <c r="K259" s="860"/>
      <c r="L259" s="425"/>
      <c r="M259" s="425"/>
      <c r="N259" s="425"/>
      <c r="O259" s="425"/>
      <c r="P259" s="425"/>
      <c r="Q259" s="860"/>
      <c r="R259" s="425"/>
      <c r="S259" s="425"/>
      <c r="T259" s="425"/>
      <c r="U259" s="425"/>
    </row>
    <row r="260" ht="15.75" customHeight="1">
      <c r="A260" s="425"/>
      <c r="B260" s="425"/>
      <c r="C260" s="425"/>
      <c r="D260" s="425"/>
      <c r="E260" s="860"/>
      <c r="F260" s="425"/>
      <c r="G260" s="425"/>
      <c r="H260" s="425"/>
      <c r="I260" s="425"/>
      <c r="J260" s="425"/>
      <c r="K260" s="860"/>
      <c r="L260" s="425"/>
      <c r="M260" s="425"/>
      <c r="N260" s="425"/>
      <c r="O260" s="425"/>
      <c r="P260" s="425"/>
      <c r="Q260" s="860"/>
      <c r="R260" s="425"/>
      <c r="S260" s="425"/>
      <c r="T260" s="425"/>
      <c r="U260" s="425"/>
    </row>
    <row r="261" ht="15.75" customHeight="1">
      <c r="A261" s="425"/>
      <c r="B261" s="425"/>
      <c r="C261" s="425"/>
      <c r="D261" s="425"/>
      <c r="E261" s="860"/>
      <c r="F261" s="425"/>
      <c r="G261" s="425"/>
      <c r="H261" s="425"/>
      <c r="I261" s="425"/>
      <c r="J261" s="425"/>
      <c r="K261" s="860"/>
      <c r="L261" s="425"/>
      <c r="M261" s="425"/>
      <c r="N261" s="425"/>
      <c r="O261" s="425"/>
      <c r="P261" s="425"/>
      <c r="Q261" s="860"/>
      <c r="R261" s="425"/>
      <c r="S261" s="425"/>
      <c r="T261" s="425"/>
      <c r="U261" s="425"/>
    </row>
    <row r="262" ht="15.75" customHeight="1">
      <c r="A262" s="425"/>
      <c r="B262" s="425"/>
      <c r="C262" s="425"/>
      <c r="D262" s="425"/>
      <c r="E262" s="860"/>
      <c r="F262" s="425"/>
      <c r="G262" s="425"/>
      <c r="H262" s="425"/>
      <c r="I262" s="425"/>
      <c r="J262" s="425"/>
      <c r="K262" s="860"/>
      <c r="L262" s="425"/>
      <c r="M262" s="425"/>
      <c r="N262" s="425"/>
      <c r="O262" s="425"/>
      <c r="P262" s="425"/>
      <c r="Q262" s="860"/>
      <c r="R262" s="425"/>
      <c r="S262" s="425"/>
      <c r="T262" s="425"/>
      <c r="U262" s="425"/>
    </row>
    <row r="263" ht="15.75" customHeight="1">
      <c r="A263" s="425"/>
      <c r="B263" s="425"/>
      <c r="C263" s="425"/>
      <c r="D263" s="425"/>
      <c r="E263" s="860"/>
      <c r="F263" s="425"/>
      <c r="G263" s="425"/>
      <c r="H263" s="425"/>
      <c r="I263" s="425"/>
      <c r="J263" s="425"/>
      <c r="K263" s="860"/>
      <c r="L263" s="425"/>
      <c r="M263" s="425"/>
      <c r="N263" s="425"/>
      <c r="O263" s="425"/>
      <c r="P263" s="425"/>
      <c r="Q263" s="860"/>
      <c r="R263" s="425"/>
      <c r="S263" s="425"/>
      <c r="T263" s="425"/>
      <c r="U263" s="425"/>
    </row>
    <row r="264" ht="15.75" customHeight="1">
      <c r="A264" s="425"/>
      <c r="B264" s="425"/>
      <c r="C264" s="425"/>
      <c r="D264" s="425"/>
      <c r="E264" s="860"/>
      <c r="F264" s="425"/>
      <c r="G264" s="425"/>
      <c r="H264" s="425"/>
      <c r="I264" s="425"/>
      <c r="J264" s="425"/>
      <c r="K264" s="860"/>
      <c r="L264" s="425"/>
      <c r="M264" s="425"/>
      <c r="N264" s="425"/>
      <c r="O264" s="425"/>
      <c r="P264" s="425"/>
      <c r="Q264" s="860"/>
      <c r="R264" s="425"/>
      <c r="S264" s="425"/>
      <c r="T264" s="425"/>
      <c r="U264" s="425"/>
    </row>
    <row r="265" ht="15.75" customHeight="1">
      <c r="A265" s="425"/>
      <c r="B265" s="425"/>
      <c r="C265" s="425"/>
      <c r="D265" s="425"/>
      <c r="E265" s="860"/>
      <c r="F265" s="425"/>
      <c r="G265" s="425"/>
      <c r="H265" s="425"/>
      <c r="I265" s="425"/>
      <c r="J265" s="425"/>
      <c r="K265" s="860"/>
      <c r="L265" s="425"/>
      <c r="M265" s="425"/>
      <c r="N265" s="425"/>
      <c r="O265" s="425"/>
      <c r="P265" s="425"/>
      <c r="Q265" s="860"/>
      <c r="R265" s="425"/>
      <c r="S265" s="425"/>
      <c r="T265" s="425"/>
      <c r="U265" s="425"/>
    </row>
    <row r="266" ht="15.75" customHeight="1">
      <c r="A266" s="425"/>
      <c r="B266" s="425"/>
      <c r="C266" s="425"/>
      <c r="D266" s="425"/>
      <c r="E266" s="860"/>
      <c r="F266" s="425"/>
      <c r="G266" s="425"/>
      <c r="H266" s="425"/>
      <c r="I266" s="425"/>
      <c r="J266" s="425"/>
      <c r="K266" s="860"/>
      <c r="L266" s="425"/>
      <c r="M266" s="425"/>
      <c r="N266" s="425"/>
      <c r="O266" s="425"/>
      <c r="P266" s="425"/>
      <c r="Q266" s="860"/>
      <c r="R266" s="425"/>
      <c r="S266" s="425"/>
      <c r="T266" s="425"/>
      <c r="U266" s="425"/>
    </row>
    <row r="267" ht="15.75" customHeight="1">
      <c r="A267" s="425"/>
      <c r="B267" s="425"/>
      <c r="C267" s="425"/>
      <c r="D267" s="425"/>
      <c r="E267" s="860"/>
      <c r="F267" s="425"/>
      <c r="G267" s="425"/>
      <c r="H267" s="425"/>
      <c r="I267" s="425"/>
      <c r="J267" s="425"/>
      <c r="K267" s="860"/>
      <c r="L267" s="425"/>
      <c r="M267" s="425"/>
      <c r="N267" s="425"/>
      <c r="O267" s="425"/>
      <c r="P267" s="425"/>
      <c r="Q267" s="860"/>
      <c r="R267" s="425"/>
      <c r="S267" s="425"/>
      <c r="T267" s="425"/>
      <c r="U267" s="425"/>
    </row>
    <row r="268" ht="15.75" customHeight="1">
      <c r="A268" s="425"/>
      <c r="B268" s="425"/>
      <c r="C268" s="425"/>
      <c r="D268" s="425"/>
      <c r="E268" s="860"/>
      <c r="F268" s="425"/>
      <c r="G268" s="425"/>
      <c r="H268" s="425"/>
      <c r="I268" s="425"/>
      <c r="J268" s="425"/>
      <c r="K268" s="860"/>
      <c r="L268" s="425"/>
      <c r="M268" s="425"/>
      <c r="N268" s="425"/>
      <c r="O268" s="425"/>
      <c r="P268" s="425"/>
      <c r="Q268" s="860"/>
      <c r="R268" s="425"/>
      <c r="S268" s="425"/>
      <c r="T268" s="425"/>
      <c r="U268" s="425"/>
    </row>
    <row r="269" ht="15.75" customHeight="1">
      <c r="A269" s="425"/>
      <c r="B269" s="425"/>
      <c r="C269" s="425"/>
      <c r="D269" s="425"/>
      <c r="E269" s="860"/>
      <c r="F269" s="425"/>
      <c r="G269" s="425"/>
      <c r="H269" s="425"/>
      <c r="I269" s="425"/>
      <c r="J269" s="425"/>
      <c r="K269" s="860"/>
      <c r="L269" s="425"/>
      <c r="M269" s="425"/>
      <c r="N269" s="425"/>
      <c r="O269" s="425"/>
      <c r="P269" s="425"/>
      <c r="Q269" s="860"/>
      <c r="R269" s="425"/>
      <c r="S269" s="425"/>
      <c r="T269" s="425"/>
      <c r="U269" s="425"/>
    </row>
    <row r="270" ht="15.75" customHeight="1">
      <c r="A270" s="425"/>
      <c r="B270" s="425"/>
      <c r="C270" s="425"/>
      <c r="D270" s="425"/>
      <c r="E270" s="860"/>
      <c r="F270" s="425"/>
      <c r="G270" s="425"/>
      <c r="H270" s="425"/>
      <c r="I270" s="425"/>
      <c r="J270" s="425"/>
      <c r="K270" s="860"/>
      <c r="L270" s="425"/>
      <c r="M270" s="425"/>
      <c r="N270" s="425"/>
      <c r="O270" s="425"/>
      <c r="P270" s="425"/>
      <c r="Q270" s="860"/>
      <c r="R270" s="425"/>
      <c r="S270" s="425"/>
      <c r="T270" s="425"/>
      <c r="U270" s="425"/>
    </row>
    <row r="271" ht="15.75" customHeight="1">
      <c r="A271" s="425"/>
      <c r="B271" s="425"/>
      <c r="C271" s="425"/>
      <c r="D271" s="425"/>
      <c r="E271" s="860"/>
      <c r="F271" s="425"/>
      <c r="G271" s="425"/>
      <c r="H271" s="425"/>
      <c r="I271" s="425"/>
      <c r="J271" s="425"/>
      <c r="K271" s="860"/>
      <c r="L271" s="425"/>
      <c r="M271" s="425"/>
      <c r="N271" s="425"/>
      <c r="O271" s="425"/>
      <c r="P271" s="425"/>
      <c r="Q271" s="860"/>
      <c r="R271" s="425"/>
      <c r="S271" s="425"/>
      <c r="T271" s="425"/>
      <c r="U271" s="425"/>
    </row>
    <row r="272" ht="15.75" customHeight="1">
      <c r="A272" s="425"/>
      <c r="B272" s="425"/>
      <c r="C272" s="425"/>
      <c r="D272" s="425"/>
      <c r="E272" s="860"/>
      <c r="F272" s="425"/>
      <c r="G272" s="425"/>
      <c r="H272" s="425"/>
      <c r="I272" s="425"/>
      <c r="J272" s="425"/>
      <c r="K272" s="860"/>
      <c r="L272" s="425"/>
      <c r="M272" s="425"/>
      <c r="N272" s="425"/>
      <c r="O272" s="425"/>
      <c r="P272" s="425"/>
      <c r="Q272" s="860"/>
      <c r="R272" s="425"/>
      <c r="S272" s="425"/>
      <c r="T272" s="425"/>
      <c r="U272" s="425"/>
    </row>
    <row r="273" ht="15.75" customHeight="1">
      <c r="A273" s="425"/>
      <c r="B273" s="425"/>
      <c r="C273" s="425"/>
      <c r="D273" s="425"/>
      <c r="E273" s="860"/>
      <c r="F273" s="425"/>
      <c r="G273" s="425"/>
      <c r="H273" s="425"/>
      <c r="I273" s="425"/>
      <c r="J273" s="425"/>
      <c r="K273" s="860"/>
      <c r="L273" s="425"/>
      <c r="M273" s="425"/>
      <c r="N273" s="425"/>
      <c r="O273" s="425"/>
      <c r="P273" s="425"/>
      <c r="Q273" s="860"/>
      <c r="R273" s="425"/>
      <c r="S273" s="425"/>
      <c r="T273" s="425"/>
      <c r="U273" s="425"/>
    </row>
    <row r="274" ht="15.75" customHeight="1">
      <c r="A274" s="425"/>
      <c r="B274" s="425"/>
      <c r="C274" s="425"/>
      <c r="D274" s="425"/>
      <c r="E274" s="860"/>
      <c r="F274" s="425"/>
      <c r="G274" s="425"/>
      <c r="H274" s="425"/>
      <c r="I274" s="425"/>
      <c r="J274" s="425"/>
      <c r="K274" s="860"/>
      <c r="L274" s="425"/>
      <c r="M274" s="425"/>
      <c r="N274" s="425"/>
      <c r="O274" s="425"/>
      <c r="P274" s="425"/>
      <c r="Q274" s="860"/>
      <c r="R274" s="425"/>
      <c r="S274" s="425"/>
      <c r="T274" s="425"/>
      <c r="U274" s="425"/>
    </row>
    <row r="275" ht="15.75" customHeight="1">
      <c r="A275" s="425"/>
      <c r="B275" s="425"/>
      <c r="C275" s="425"/>
      <c r="D275" s="425"/>
      <c r="E275" s="860"/>
      <c r="F275" s="425"/>
      <c r="G275" s="425"/>
      <c r="H275" s="425"/>
      <c r="I275" s="425"/>
      <c r="J275" s="425"/>
      <c r="K275" s="860"/>
      <c r="L275" s="425"/>
      <c r="M275" s="425"/>
      <c r="N275" s="425"/>
      <c r="O275" s="425"/>
      <c r="P275" s="425"/>
      <c r="Q275" s="860"/>
      <c r="R275" s="425"/>
      <c r="S275" s="425"/>
      <c r="T275" s="425"/>
      <c r="U275" s="425"/>
    </row>
    <row r="276" ht="15.75" customHeight="1">
      <c r="A276" s="425"/>
      <c r="B276" s="425"/>
      <c r="C276" s="425"/>
      <c r="D276" s="425"/>
      <c r="E276" s="860"/>
      <c r="F276" s="425"/>
      <c r="G276" s="425"/>
      <c r="H276" s="425"/>
      <c r="I276" s="425"/>
      <c r="J276" s="425"/>
      <c r="K276" s="860"/>
      <c r="L276" s="425"/>
      <c r="M276" s="425"/>
      <c r="N276" s="425"/>
      <c r="O276" s="425"/>
      <c r="P276" s="425"/>
      <c r="Q276" s="860"/>
      <c r="R276" s="425"/>
      <c r="S276" s="425"/>
      <c r="T276" s="425"/>
      <c r="U276" s="425"/>
    </row>
    <row r="277" ht="15.75" customHeight="1">
      <c r="A277" s="425"/>
      <c r="B277" s="425"/>
      <c r="C277" s="425"/>
      <c r="D277" s="425"/>
      <c r="E277" s="860"/>
      <c r="F277" s="425"/>
      <c r="G277" s="425"/>
      <c r="H277" s="425"/>
      <c r="I277" s="425"/>
      <c r="J277" s="425"/>
      <c r="K277" s="860"/>
      <c r="L277" s="425"/>
      <c r="M277" s="425"/>
      <c r="N277" s="425"/>
      <c r="O277" s="425"/>
      <c r="P277" s="425"/>
      <c r="Q277" s="860"/>
      <c r="R277" s="425"/>
      <c r="S277" s="425"/>
      <c r="T277" s="425"/>
      <c r="U277" s="425"/>
    </row>
    <row r="278" ht="15.75" customHeight="1">
      <c r="A278" s="425"/>
      <c r="B278" s="425"/>
      <c r="C278" s="425"/>
      <c r="D278" s="425"/>
      <c r="E278" s="860"/>
      <c r="F278" s="425"/>
      <c r="G278" s="425"/>
      <c r="H278" s="425"/>
      <c r="I278" s="425"/>
      <c r="J278" s="425"/>
      <c r="K278" s="860"/>
      <c r="L278" s="425"/>
      <c r="M278" s="425"/>
      <c r="N278" s="425"/>
      <c r="O278" s="425"/>
      <c r="P278" s="425"/>
      <c r="Q278" s="860"/>
      <c r="R278" s="425"/>
      <c r="S278" s="425"/>
      <c r="T278" s="425"/>
      <c r="U278" s="425"/>
    </row>
    <row r="279" ht="15.75" customHeight="1">
      <c r="A279" s="425"/>
      <c r="B279" s="425"/>
      <c r="C279" s="425"/>
      <c r="D279" s="425"/>
      <c r="E279" s="860"/>
      <c r="F279" s="425"/>
      <c r="G279" s="425"/>
      <c r="H279" s="425"/>
      <c r="I279" s="425"/>
      <c r="J279" s="425"/>
      <c r="K279" s="860"/>
      <c r="L279" s="425"/>
      <c r="M279" s="425"/>
      <c r="N279" s="425"/>
      <c r="O279" s="425"/>
      <c r="P279" s="425"/>
      <c r="Q279" s="860"/>
      <c r="R279" s="425"/>
      <c r="S279" s="425"/>
      <c r="T279" s="425"/>
      <c r="U279" s="425"/>
    </row>
    <row r="280" ht="15.75" customHeight="1">
      <c r="A280" s="425"/>
      <c r="B280" s="425"/>
      <c r="C280" s="425"/>
      <c r="D280" s="425"/>
      <c r="E280" s="860"/>
      <c r="F280" s="425"/>
      <c r="G280" s="425"/>
      <c r="H280" s="425"/>
      <c r="I280" s="425"/>
      <c r="J280" s="425"/>
      <c r="K280" s="860"/>
      <c r="L280" s="425"/>
      <c r="M280" s="425"/>
      <c r="N280" s="425"/>
      <c r="O280" s="425"/>
      <c r="P280" s="425"/>
      <c r="Q280" s="860"/>
      <c r="R280" s="425"/>
      <c r="S280" s="425"/>
      <c r="T280" s="425"/>
      <c r="U280" s="425"/>
    </row>
    <row r="281" ht="15.75" customHeight="1">
      <c r="A281" s="425"/>
      <c r="B281" s="425"/>
      <c r="C281" s="425"/>
      <c r="D281" s="425"/>
      <c r="E281" s="860"/>
      <c r="F281" s="425"/>
      <c r="G281" s="425"/>
      <c r="H281" s="425"/>
      <c r="I281" s="425"/>
      <c r="J281" s="425"/>
      <c r="K281" s="860"/>
      <c r="L281" s="425"/>
      <c r="M281" s="425"/>
      <c r="N281" s="425"/>
      <c r="O281" s="425"/>
      <c r="P281" s="425"/>
      <c r="Q281" s="860"/>
      <c r="R281" s="425"/>
      <c r="S281" s="425"/>
      <c r="T281" s="425"/>
      <c r="U281" s="425"/>
    </row>
    <row r="282" ht="15.75" customHeight="1">
      <c r="A282" s="425"/>
      <c r="B282" s="425"/>
      <c r="C282" s="425"/>
      <c r="D282" s="425"/>
      <c r="E282" s="860"/>
      <c r="F282" s="425"/>
      <c r="G282" s="425"/>
      <c r="H282" s="425"/>
      <c r="I282" s="425"/>
      <c r="J282" s="425"/>
      <c r="K282" s="860"/>
      <c r="L282" s="425"/>
      <c r="M282" s="425"/>
      <c r="N282" s="425"/>
      <c r="O282" s="425"/>
      <c r="P282" s="425"/>
      <c r="Q282" s="860"/>
      <c r="R282" s="425"/>
      <c r="S282" s="425"/>
      <c r="T282" s="425"/>
      <c r="U282" s="425"/>
    </row>
    <row r="283" ht="15.75" customHeight="1">
      <c r="A283" s="425"/>
      <c r="B283" s="425"/>
      <c r="C283" s="425"/>
      <c r="D283" s="425"/>
      <c r="E283" s="860"/>
      <c r="F283" s="425"/>
      <c r="G283" s="425"/>
      <c r="H283" s="425"/>
      <c r="I283" s="425"/>
      <c r="J283" s="425"/>
      <c r="K283" s="860"/>
      <c r="L283" s="425"/>
      <c r="M283" s="425"/>
      <c r="N283" s="425"/>
      <c r="O283" s="425"/>
      <c r="P283" s="425"/>
      <c r="Q283" s="860"/>
      <c r="R283" s="425"/>
      <c r="S283" s="425"/>
      <c r="T283" s="425"/>
      <c r="U283" s="425"/>
    </row>
    <row r="284" ht="15.75" customHeight="1">
      <c r="A284" s="425"/>
      <c r="B284" s="425"/>
      <c r="C284" s="425"/>
      <c r="D284" s="425"/>
      <c r="E284" s="860"/>
      <c r="F284" s="425"/>
      <c r="G284" s="425"/>
      <c r="H284" s="425"/>
      <c r="I284" s="425"/>
      <c r="J284" s="425"/>
      <c r="K284" s="860"/>
      <c r="L284" s="425"/>
      <c r="M284" s="425"/>
      <c r="N284" s="425"/>
      <c r="O284" s="425"/>
      <c r="P284" s="425"/>
      <c r="Q284" s="860"/>
      <c r="R284" s="425"/>
      <c r="S284" s="425"/>
      <c r="T284" s="425"/>
      <c r="U284" s="425"/>
    </row>
    <row r="285" ht="15.75" customHeight="1">
      <c r="A285" s="425"/>
      <c r="B285" s="425"/>
      <c r="C285" s="425"/>
      <c r="D285" s="425"/>
      <c r="E285" s="860"/>
      <c r="F285" s="425"/>
      <c r="G285" s="425"/>
      <c r="H285" s="425"/>
      <c r="I285" s="425"/>
      <c r="J285" s="425"/>
      <c r="K285" s="860"/>
      <c r="L285" s="425"/>
      <c r="M285" s="425"/>
      <c r="N285" s="425"/>
      <c r="O285" s="425"/>
      <c r="P285" s="425"/>
      <c r="Q285" s="860"/>
      <c r="R285" s="425"/>
      <c r="S285" s="425"/>
      <c r="T285" s="425"/>
      <c r="U285" s="425"/>
    </row>
    <row r="286" ht="15.75" customHeight="1">
      <c r="A286" s="425"/>
      <c r="B286" s="425"/>
      <c r="C286" s="425"/>
      <c r="D286" s="425"/>
      <c r="E286" s="860"/>
      <c r="F286" s="425"/>
      <c r="G286" s="425"/>
      <c r="H286" s="425"/>
      <c r="I286" s="425"/>
      <c r="J286" s="425"/>
      <c r="K286" s="860"/>
      <c r="L286" s="425"/>
      <c r="M286" s="425"/>
      <c r="N286" s="425"/>
      <c r="O286" s="425"/>
      <c r="P286" s="425"/>
      <c r="Q286" s="860"/>
      <c r="R286" s="425"/>
      <c r="S286" s="425"/>
      <c r="T286" s="425"/>
      <c r="U286" s="425"/>
    </row>
    <row r="287" ht="15.75" customHeight="1">
      <c r="A287" s="425"/>
      <c r="B287" s="425"/>
      <c r="C287" s="425"/>
      <c r="D287" s="425"/>
      <c r="E287" s="860"/>
      <c r="F287" s="425"/>
      <c r="G287" s="425"/>
      <c r="H287" s="425"/>
      <c r="I287" s="425"/>
      <c r="J287" s="425"/>
      <c r="K287" s="860"/>
      <c r="L287" s="425"/>
      <c r="M287" s="425"/>
      <c r="N287" s="425"/>
      <c r="O287" s="425"/>
      <c r="P287" s="425"/>
      <c r="Q287" s="860"/>
      <c r="R287" s="425"/>
      <c r="S287" s="425"/>
      <c r="T287" s="425"/>
      <c r="U287" s="425"/>
    </row>
    <row r="288" ht="15.75" customHeight="1">
      <c r="A288" s="425"/>
      <c r="B288" s="425"/>
      <c r="C288" s="425"/>
      <c r="D288" s="425"/>
      <c r="E288" s="860"/>
      <c r="F288" s="425"/>
      <c r="G288" s="425"/>
      <c r="H288" s="425"/>
      <c r="I288" s="425"/>
      <c r="J288" s="425"/>
      <c r="K288" s="860"/>
      <c r="L288" s="425"/>
      <c r="M288" s="425"/>
      <c r="N288" s="425"/>
      <c r="O288" s="425"/>
      <c r="P288" s="425"/>
      <c r="Q288" s="860"/>
      <c r="R288" s="425"/>
      <c r="S288" s="425"/>
      <c r="T288" s="425"/>
      <c r="U288" s="425"/>
    </row>
    <row r="289" ht="15.75" customHeight="1">
      <c r="A289" s="425"/>
      <c r="B289" s="425"/>
      <c r="C289" s="425"/>
      <c r="D289" s="425"/>
      <c r="E289" s="860"/>
      <c r="F289" s="425"/>
      <c r="G289" s="425"/>
      <c r="H289" s="425"/>
      <c r="I289" s="425"/>
      <c r="J289" s="425"/>
      <c r="K289" s="860"/>
      <c r="L289" s="425"/>
      <c r="M289" s="425"/>
      <c r="N289" s="425"/>
      <c r="O289" s="425"/>
      <c r="P289" s="425"/>
      <c r="Q289" s="860"/>
      <c r="R289" s="425"/>
      <c r="S289" s="425"/>
      <c r="T289" s="425"/>
      <c r="U289" s="425"/>
    </row>
    <row r="290" ht="15.75" customHeight="1">
      <c r="A290" s="425"/>
      <c r="B290" s="425"/>
      <c r="C290" s="425"/>
      <c r="D290" s="425"/>
      <c r="E290" s="860"/>
      <c r="F290" s="425"/>
      <c r="G290" s="425"/>
      <c r="H290" s="425"/>
      <c r="I290" s="425"/>
      <c r="J290" s="425"/>
      <c r="K290" s="860"/>
      <c r="L290" s="425"/>
      <c r="M290" s="425"/>
      <c r="N290" s="425"/>
      <c r="O290" s="425"/>
      <c r="P290" s="425"/>
      <c r="Q290" s="860"/>
      <c r="R290" s="425"/>
      <c r="S290" s="425"/>
      <c r="T290" s="425"/>
      <c r="U290" s="425"/>
    </row>
    <row r="291" ht="15.75" customHeight="1">
      <c r="A291" s="425"/>
      <c r="B291" s="425"/>
      <c r="C291" s="425"/>
      <c r="D291" s="425"/>
      <c r="E291" s="860"/>
      <c r="F291" s="425"/>
      <c r="G291" s="425"/>
      <c r="H291" s="425"/>
      <c r="I291" s="425"/>
      <c r="J291" s="425"/>
      <c r="K291" s="860"/>
      <c r="L291" s="425"/>
      <c r="M291" s="425"/>
      <c r="N291" s="425"/>
      <c r="O291" s="425"/>
      <c r="P291" s="425"/>
      <c r="Q291" s="860"/>
      <c r="R291" s="425"/>
      <c r="S291" s="425"/>
      <c r="T291" s="425"/>
      <c r="U291" s="425"/>
    </row>
    <row r="292" ht="15.75" customHeight="1">
      <c r="A292" s="425"/>
      <c r="B292" s="425"/>
      <c r="C292" s="425"/>
      <c r="D292" s="425"/>
      <c r="E292" s="860"/>
      <c r="F292" s="425"/>
      <c r="G292" s="425"/>
      <c r="H292" s="425"/>
      <c r="I292" s="425"/>
      <c r="J292" s="425"/>
      <c r="K292" s="860"/>
      <c r="L292" s="425"/>
      <c r="M292" s="425"/>
      <c r="N292" s="425"/>
      <c r="O292" s="425"/>
      <c r="P292" s="425"/>
      <c r="Q292" s="860"/>
      <c r="R292" s="425"/>
      <c r="S292" s="425"/>
      <c r="T292" s="425"/>
      <c r="U292" s="425"/>
    </row>
    <row r="293" ht="15.75" customHeight="1">
      <c r="A293" s="425"/>
      <c r="B293" s="425"/>
      <c r="C293" s="425"/>
      <c r="D293" s="425"/>
      <c r="E293" s="860"/>
      <c r="F293" s="425"/>
      <c r="G293" s="425"/>
      <c r="H293" s="425"/>
      <c r="I293" s="425"/>
      <c r="J293" s="425"/>
      <c r="K293" s="860"/>
      <c r="L293" s="425"/>
      <c r="M293" s="425"/>
      <c r="N293" s="425"/>
      <c r="O293" s="425"/>
      <c r="P293" s="425"/>
      <c r="Q293" s="860"/>
      <c r="R293" s="425"/>
      <c r="S293" s="425"/>
      <c r="T293" s="425"/>
      <c r="U293" s="425"/>
    </row>
    <row r="294" ht="15.75" customHeight="1">
      <c r="A294" s="425"/>
      <c r="B294" s="425"/>
      <c r="C294" s="425"/>
      <c r="D294" s="425"/>
      <c r="E294" s="860"/>
      <c r="F294" s="425"/>
      <c r="G294" s="425"/>
      <c r="H294" s="425"/>
      <c r="I294" s="425"/>
      <c r="J294" s="425"/>
      <c r="K294" s="860"/>
      <c r="L294" s="425"/>
      <c r="M294" s="425"/>
      <c r="N294" s="425"/>
      <c r="O294" s="425"/>
      <c r="P294" s="425"/>
      <c r="Q294" s="860"/>
      <c r="R294" s="425"/>
      <c r="S294" s="425"/>
      <c r="T294" s="425"/>
      <c r="U294" s="425"/>
    </row>
    <row r="295" ht="15.75" customHeight="1">
      <c r="A295" s="425"/>
      <c r="B295" s="425"/>
      <c r="C295" s="425"/>
      <c r="D295" s="425"/>
      <c r="E295" s="860"/>
      <c r="F295" s="425"/>
      <c r="G295" s="425"/>
      <c r="H295" s="425"/>
      <c r="I295" s="425"/>
      <c r="J295" s="425"/>
      <c r="K295" s="860"/>
      <c r="L295" s="425"/>
      <c r="M295" s="425"/>
      <c r="N295" s="425"/>
      <c r="O295" s="425"/>
      <c r="P295" s="425"/>
      <c r="Q295" s="860"/>
      <c r="R295" s="425"/>
      <c r="S295" s="425"/>
      <c r="T295" s="425"/>
      <c r="U295" s="425"/>
    </row>
    <row r="296" ht="15.75" customHeight="1">
      <c r="A296" s="425"/>
      <c r="B296" s="425"/>
      <c r="C296" s="425"/>
      <c r="D296" s="425"/>
      <c r="E296" s="860"/>
      <c r="F296" s="425"/>
      <c r="G296" s="425"/>
      <c r="H296" s="425"/>
      <c r="I296" s="425"/>
      <c r="J296" s="425"/>
      <c r="K296" s="860"/>
      <c r="L296" s="425"/>
      <c r="M296" s="425"/>
      <c r="N296" s="425"/>
      <c r="O296" s="425"/>
      <c r="P296" s="425"/>
      <c r="Q296" s="860"/>
      <c r="R296" s="425"/>
      <c r="S296" s="425"/>
      <c r="T296" s="425"/>
      <c r="U296" s="425"/>
    </row>
    <row r="297" ht="15.75" customHeight="1">
      <c r="A297" s="425"/>
      <c r="B297" s="425"/>
      <c r="C297" s="425"/>
      <c r="D297" s="425"/>
      <c r="E297" s="860"/>
      <c r="F297" s="425"/>
      <c r="G297" s="425"/>
      <c r="H297" s="425"/>
      <c r="I297" s="425"/>
      <c r="J297" s="425"/>
      <c r="K297" s="860"/>
      <c r="L297" s="425"/>
      <c r="M297" s="425"/>
      <c r="N297" s="425"/>
      <c r="O297" s="425"/>
      <c r="P297" s="425"/>
      <c r="Q297" s="860"/>
      <c r="R297" s="425"/>
      <c r="S297" s="425"/>
      <c r="T297" s="425"/>
      <c r="U297" s="425"/>
    </row>
    <row r="298" ht="15.75" customHeight="1">
      <c r="A298" s="425"/>
      <c r="B298" s="425"/>
      <c r="C298" s="425"/>
      <c r="D298" s="425"/>
      <c r="E298" s="860"/>
      <c r="F298" s="425"/>
      <c r="G298" s="425"/>
      <c r="H298" s="425"/>
      <c r="I298" s="425"/>
      <c r="J298" s="425"/>
      <c r="K298" s="860"/>
      <c r="L298" s="425"/>
      <c r="M298" s="425"/>
      <c r="N298" s="425"/>
      <c r="O298" s="425"/>
      <c r="P298" s="425"/>
      <c r="Q298" s="860"/>
      <c r="R298" s="425"/>
      <c r="S298" s="425"/>
      <c r="T298" s="425"/>
      <c r="U298" s="425"/>
    </row>
    <row r="299" ht="15.75" customHeight="1">
      <c r="A299" s="425"/>
      <c r="B299" s="425"/>
      <c r="C299" s="425"/>
      <c r="D299" s="425"/>
      <c r="E299" s="860"/>
      <c r="F299" s="425"/>
      <c r="G299" s="425"/>
      <c r="H299" s="425"/>
      <c r="I299" s="425"/>
      <c r="J299" s="425"/>
      <c r="K299" s="860"/>
      <c r="L299" s="425"/>
      <c r="M299" s="425"/>
      <c r="N299" s="425"/>
      <c r="O299" s="425"/>
      <c r="P299" s="425"/>
      <c r="Q299" s="860"/>
      <c r="R299" s="425"/>
      <c r="S299" s="425"/>
      <c r="T299" s="425"/>
      <c r="U299" s="425"/>
    </row>
    <row r="300" ht="15.75" customHeight="1">
      <c r="A300" s="425"/>
      <c r="B300" s="425"/>
      <c r="C300" s="425"/>
      <c r="D300" s="425"/>
      <c r="E300" s="860"/>
      <c r="F300" s="425"/>
      <c r="G300" s="425"/>
      <c r="H300" s="425"/>
      <c r="I300" s="425"/>
      <c r="J300" s="425"/>
      <c r="K300" s="860"/>
      <c r="L300" s="425"/>
      <c r="M300" s="425"/>
      <c r="N300" s="425"/>
      <c r="O300" s="425"/>
      <c r="P300" s="425"/>
      <c r="Q300" s="860"/>
      <c r="R300" s="425"/>
      <c r="S300" s="425"/>
      <c r="T300" s="425"/>
      <c r="U300" s="425"/>
    </row>
    <row r="301" ht="15.75" customHeight="1">
      <c r="A301" s="425"/>
      <c r="B301" s="425"/>
      <c r="C301" s="425"/>
      <c r="D301" s="425"/>
      <c r="E301" s="860"/>
      <c r="F301" s="425"/>
      <c r="G301" s="425"/>
      <c r="H301" s="425"/>
      <c r="I301" s="425"/>
      <c r="J301" s="425"/>
      <c r="K301" s="860"/>
      <c r="L301" s="425"/>
      <c r="M301" s="425"/>
      <c r="N301" s="425"/>
      <c r="O301" s="425"/>
      <c r="P301" s="425"/>
      <c r="Q301" s="860"/>
      <c r="R301" s="425"/>
      <c r="S301" s="425"/>
      <c r="T301" s="425"/>
      <c r="U301" s="425"/>
    </row>
    <row r="302" ht="15.75" customHeight="1">
      <c r="A302" s="425"/>
      <c r="B302" s="425"/>
      <c r="C302" s="425"/>
      <c r="D302" s="425"/>
      <c r="E302" s="860"/>
      <c r="F302" s="425"/>
      <c r="G302" s="425"/>
      <c r="H302" s="425"/>
      <c r="I302" s="425"/>
      <c r="J302" s="425"/>
      <c r="K302" s="860"/>
      <c r="L302" s="425"/>
      <c r="M302" s="425"/>
      <c r="N302" s="425"/>
      <c r="O302" s="425"/>
      <c r="P302" s="425"/>
      <c r="Q302" s="860"/>
      <c r="R302" s="425"/>
      <c r="S302" s="425"/>
      <c r="T302" s="425"/>
      <c r="U302" s="425"/>
    </row>
    <row r="303" ht="15.75" customHeight="1">
      <c r="A303" s="425"/>
      <c r="B303" s="425"/>
      <c r="C303" s="425"/>
      <c r="D303" s="425"/>
      <c r="E303" s="860"/>
      <c r="F303" s="425"/>
      <c r="G303" s="425"/>
      <c r="H303" s="425"/>
      <c r="I303" s="425"/>
      <c r="J303" s="425"/>
      <c r="K303" s="860"/>
      <c r="L303" s="425"/>
      <c r="M303" s="425"/>
      <c r="N303" s="425"/>
      <c r="O303" s="425"/>
      <c r="P303" s="425"/>
      <c r="Q303" s="860"/>
      <c r="R303" s="425"/>
      <c r="S303" s="425"/>
      <c r="T303" s="425"/>
      <c r="U303" s="425"/>
    </row>
    <row r="304" ht="15.75" customHeight="1">
      <c r="A304" s="425"/>
      <c r="B304" s="425"/>
      <c r="C304" s="425"/>
      <c r="D304" s="425"/>
      <c r="E304" s="860"/>
      <c r="F304" s="425"/>
      <c r="G304" s="425"/>
      <c r="H304" s="425"/>
      <c r="I304" s="425"/>
      <c r="J304" s="425"/>
      <c r="K304" s="860"/>
      <c r="L304" s="425"/>
      <c r="M304" s="425"/>
      <c r="N304" s="425"/>
      <c r="O304" s="425"/>
      <c r="P304" s="425"/>
      <c r="Q304" s="860"/>
      <c r="R304" s="425"/>
      <c r="S304" s="425"/>
      <c r="T304" s="425"/>
      <c r="U304" s="425"/>
    </row>
    <row r="305" ht="15.75" customHeight="1">
      <c r="A305" s="425"/>
      <c r="B305" s="425"/>
      <c r="C305" s="425"/>
      <c r="D305" s="425"/>
      <c r="E305" s="860"/>
      <c r="F305" s="425"/>
      <c r="G305" s="425"/>
      <c r="H305" s="425"/>
      <c r="I305" s="425"/>
      <c r="J305" s="425"/>
      <c r="K305" s="860"/>
      <c r="L305" s="425"/>
      <c r="M305" s="425"/>
      <c r="N305" s="425"/>
      <c r="O305" s="425"/>
      <c r="P305" s="425"/>
      <c r="Q305" s="860"/>
      <c r="R305" s="425"/>
      <c r="S305" s="425"/>
      <c r="T305" s="425"/>
      <c r="U305" s="425"/>
    </row>
    <row r="306" ht="15.75" customHeight="1">
      <c r="A306" s="425"/>
      <c r="B306" s="425"/>
      <c r="C306" s="425"/>
      <c r="D306" s="425"/>
      <c r="E306" s="860"/>
      <c r="F306" s="425"/>
      <c r="G306" s="425"/>
      <c r="H306" s="425"/>
      <c r="I306" s="425"/>
      <c r="J306" s="425"/>
      <c r="K306" s="860"/>
      <c r="L306" s="425"/>
      <c r="M306" s="425"/>
      <c r="N306" s="425"/>
      <c r="O306" s="425"/>
      <c r="P306" s="425"/>
      <c r="Q306" s="860"/>
      <c r="R306" s="425"/>
      <c r="S306" s="425"/>
      <c r="T306" s="425"/>
      <c r="U306" s="425"/>
    </row>
    <row r="307" ht="15.75" customHeight="1">
      <c r="A307" s="425"/>
      <c r="B307" s="425"/>
      <c r="C307" s="425"/>
      <c r="D307" s="425"/>
      <c r="E307" s="860"/>
      <c r="F307" s="425"/>
      <c r="G307" s="425"/>
      <c r="H307" s="425"/>
      <c r="I307" s="425"/>
      <c r="J307" s="425"/>
      <c r="K307" s="860"/>
      <c r="L307" s="425"/>
      <c r="M307" s="425"/>
      <c r="N307" s="425"/>
      <c r="O307" s="425"/>
      <c r="P307" s="425"/>
      <c r="Q307" s="860"/>
      <c r="R307" s="425"/>
      <c r="S307" s="425"/>
      <c r="T307" s="425"/>
      <c r="U307" s="425"/>
    </row>
    <row r="308" ht="15.75" customHeight="1">
      <c r="A308" s="425"/>
      <c r="B308" s="425"/>
      <c r="C308" s="425"/>
      <c r="D308" s="425"/>
      <c r="E308" s="860"/>
      <c r="F308" s="425"/>
      <c r="G308" s="425"/>
      <c r="H308" s="425"/>
      <c r="I308" s="425"/>
      <c r="J308" s="425"/>
      <c r="K308" s="860"/>
      <c r="L308" s="425"/>
      <c r="M308" s="425"/>
      <c r="N308" s="425"/>
      <c r="O308" s="425"/>
      <c r="P308" s="425"/>
      <c r="Q308" s="860"/>
      <c r="R308" s="425"/>
      <c r="S308" s="425"/>
      <c r="T308" s="425"/>
      <c r="U308" s="425"/>
    </row>
    <row r="309" ht="15.75" customHeight="1">
      <c r="A309" s="425"/>
      <c r="B309" s="425"/>
      <c r="C309" s="425"/>
      <c r="D309" s="425"/>
      <c r="E309" s="860"/>
      <c r="F309" s="425"/>
      <c r="G309" s="425"/>
      <c r="H309" s="425"/>
      <c r="I309" s="425"/>
      <c r="J309" s="425"/>
      <c r="K309" s="860"/>
      <c r="L309" s="425"/>
      <c r="M309" s="425"/>
      <c r="N309" s="425"/>
      <c r="O309" s="425"/>
      <c r="P309" s="425"/>
      <c r="Q309" s="860"/>
      <c r="R309" s="425"/>
      <c r="S309" s="425"/>
      <c r="T309" s="425"/>
      <c r="U309" s="425"/>
    </row>
    <row r="310" ht="15.75" customHeight="1">
      <c r="A310" s="425"/>
      <c r="B310" s="425"/>
      <c r="C310" s="425"/>
      <c r="D310" s="425"/>
      <c r="E310" s="860"/>
      <c r="F310" s="425"/>
      <c r="G310" s="425"/>
      <c r="H310" s="425"/>
      <c r="I310" s="425"/>
      <c r="J310" s="425"/>
      <c r="K310" s="860"/>
      <c r="L310" s="425"/>
      <c r="M310" s="425"/>
      <c r="N310" s="425"/>
      <c r="O310" s="425"/>
      <c r="P310" s="425"/>
      <c r="Q310" s="860"/>
      <c r="R310" s="425"/>
      <c r="S310" s="425"/>
      <c r="T310" s="425"/>
      <c r="U310" s="425"/>
    </row>
    <row r="311" ht="15.75" customHeight="1">
      <c r="A311" s="425"/>
      <c r="B311" s="425"/>
      <c r="C311" s="425"/>
      <c r="D311" s="425"/>
      <c r="E311" s="860"/>
      <c r="F311" s="425"/>
      <c r="G311" s="425"/>
      <c r="H311" s="425"/>
      <c r="I311" s="425"/>
      <c r="J311" s="425"/>
      <c r="K311" s="860"/>
      <c r="L311" s="425"/>
      <c r="M311" s="425"/>
      <c r="N311" s="425"/>
      <c r="O311" s="425"/>
      <c r="P311" s="425"/>
      <c r="Q311" s="860"/>
      <c r="R311" s="425"/>
      <c r="S311" s="425"/>
      <c r="T311" s="425"/>
      <c r="U311" s="425"/>
    </row>
    <row r="312" ht="15.75" customHeight="1">
      <c r="A312" s="425"/>
      <c r="B312" s="425"/>
      <c r="C312" s="425"/>
      <c r="D312" s="425"/>
      <c r="E312" s="860"/>
      <c r="F312" s="425"/>
      <c r="G312" s="425"/>
      <c r="H312" s="425"/>
      <c r="I312" s="425"/>
      <c r="J312" s="425"/>
      <c r="K312" s="860"/>
      <c r="L312" s="425"/>
      <c r="M312" s="425"/>
      <c r="N312" s="425"/>
      <c r="O312" s="425"/>
      <c r="P312" s="425"/>
      <c r="Q312" s="860"/>
      <c r="R312" s="425"/>
      <c r="S312" s="425"/>
      <c r="T312" s="425"/>
      <c r="U312" s="425"/>
    </row>
    <row r="313" ht="15.75" customHeight="1">
      <c r="A313" s="425"/>
      <c r="B313" s="425"/>
      <c r="C313" s="425"/>
      <c r="D313" s="425"/>
      <c r="E313" s="860"/>
      <c r="F313" s="425"/>
      <c r="G313" s="425"/>
      <c r="H313" s="425"/>
      <c r="I313" s="425"/>
      <c r="J313" s="425"/>
      <c r="K313" s="860"/>
      <c r="L313" s="425"/>
      <c r="M313" s="425"/>
      <c r="N313" s="425"/>
      <c r="O313" s="425"/>
      <c r="P313" s="425"/>
      <c r="Q313" s="860"/>
      <c r="R313" s="425"/>
      <c r="S313" s="425"/>
      <c r="T313" s="425"/>
      <c r="U313" s="425"/>
    </row>
    <row r="314" ht="15.75" customHeight="1">
      <c r="A314" s="425"/>
      <c r="B314" s="425"/>
      <c r="C314" s="425"/>
      <c r="D314" s="425"/>
      <c r="E314" s="860"/>
      <c r="F314" s="425"/>
      <c r="G314" s="425"/>
      <c r="H314" s="425"/>
      <c r="I314" s="425"/>
      <c r="J314" s="425"/>
      <c r="K314" s="860"/>
      <c r="L314" s="425"/>
      <c r="M314" s="425"/>
      <c r="N314" s="425"/>
      <c r="O314" s="425"/>
      <c r="P314" s="425"/>
      <c r="Q314" s="860"/>
      <c r="R314" s="425"/>
      <c r="S314" s="425"/>
      <c r="T314" s="425"/>
      <c r="U314" s="425"/>
    </row>
    <row r="315" ht="15.75" customHeight="1">
      <c r="A315" s="425"/>
      <c r="B315" s="425"/>
      <c r="C315" s="425"/>
      <c r="D315" s="425"/>
      <c r="E315" s="860"/>
      <c r="F315" s="425"/>
      <c r="G315" s="425"/>
      <c r="H315" s="425"/>
      <c r="I315" s="425"/>
      <c r="J315" s="425"/>
      <c r="K315" s="860"/>
      <c r="L315" s="425"/>
      <c r="M315" s="425"/>
      <c r="N315" s="425"/>
      <c r="O315" s="425"/>
      <c r="P315" s="425"/>
      <c r="Q315" s="860"/>
      <c r="R315" s="425"/>
      <c r="S315" s="425"/>
      <c r="T315" s="425"/>
      <c r="U315" s="425"/>
    </row>
    <row r="316" ht="15.75" customHeight="1">
      <c r="A316" s="425"/>
      <c r="B316" s="425"/>
      <c r="C316" s="425"/>
      <c r="D316" s="425"/>
      <c r="E316" s="860"/>
      <c r="F316" s="425"/>
      <c r="G316" s="425"/>
      <c r="H316" s="425"/>
      <c r="I316" s="425"/>
      <c r="J316" s="425"/>
      <c r="K316" s="860"/>
      <c r="L316" s="425"/>
      <c r="M316" s="425"/>
      <c r="N316" s="425"/>
      <c r="O316" s="425"/>
      <c r="P316" s="425"/>
      <c r="Q316" s="860"/>
      <c r="R316" s="425"/>
      <c r="S316" s="425"/>
      <c r="T316" s="425"/>
      <c r="U316" s="425"/>
    </row>
    <row r="317" ht="15.75" customHeight="1">
      <c r="A317" s="425"/>
      <c r="B317" s="425"/>
      <c r="C317" s="425"/>
      <c r="D317" s="425"/>
      <c r="E317" s="860"/>
      <c r="F317" s="425"/>
      <c r="G317" s="425"/>
      <c r="H317" s="425"/>
      <c r="I317" s="425"/>
      <c r="J317" s="425"/>
      <c r="K317" s="860"/>
      <c r="L317" s="425"/>
      <c r="M317" s="425"/>
      <c r="N317" s="425"/>
      <c r="O317" s="425"/>
      <c r="P317" s="425"/>
      <c r="Q317" s="860"/>
      <c r="R317" s="425"/>
      <c r="S317" s="425"/>
      <c r="T317" s="425"/>
      <c r="U317" s="425"/>
    </row>
    <row r="318" ht="15.75" customHeight="1">
      <c r="A318" s="425"/>
      <c r="B318" s="425"/>
      <c r="C318" s="425"/>
      <c r="D318" s="425"/>
      <c r="E318" s="860"/>
      <c r="F318" s="425"/>
      <c r="G318" s="425"/>
      <c r="H318" s="425"/>
      <c r="I318" s="425"/>
      <c r="J318" s="425"/>
      <c r="K318" s="860"/>
      <c r="L318" s="425"/>
      <c r="M318" s="425"/>
      <c r="N318" s="425"/>
      <c r="O318" s="425"/>
      <c r="P318" s="425"/>
      <c r="Q318" s="860"/>
      <c r="R318" s="425"/>
      <c r="S318" s="425"/>
      <c r="T318" s="425"/>
      <c r="U318" s="425"/>
    </row>
    <row r="319" ht="15.75" customHeight="1">
      <c r="A319" s="425"/>
      <c r="B319" s="425"/>
      <c r="C319" s="425"/>
      <c r="D319" s="425"/>
      <c r="E319" s="860"/>
      <c r="F319" s="425"/>
      <c r="G319" s="425"/>
      <c r="H319" s="425"/>
      <c r="I319" s="425"/>
      <c r="J319" s="425"/>
      <c r="K319" s="860"/>
      <c r="L319" s="425"/>
      <c r="M319" s="425"/>
      <c r="N319" s="425"/>
      <c r="O319" s="425"/>
      <c r="P319" s="425"/>
      <c r="Q319" s="860"/>
      <c r="R319" s="425"/>
      <c r="S319" s="425"/>
      <c r="T319" s="425"/>
      <c r="U319" s="425"/>
    </row>
    <row r="320" ht="15.75" customHeight="1">
      <c r="A320" s="425"/>
      <c r="B320" s="425"/>
      <c r="C320" s="425"/>
      <c r="D320" s="425"/>
      <c r="E320" s="860"/>
      <c r="F320" s="425"/>
      <c r="G320" s="425"/>
      <c r="H320" s="425"/>
      <c r="I320" s="425"/>
      <c r="J320" s="425"/>
      <c r="K320" s="860"/>
      <c r="L320" s="425"/>
      <c r="M320" s="425"/>
      <c r="N320" s="425"/>
      <c r="O320" s="425"/>
      <c r="P320" s="425"/>
      <c r="Q320" s="860"/>
      <c r="R320" s="425"/>
      <c r="S320" s="425"/>
      <c r="T320" s="425"/>
      <c r="U320" s="425"/>
    </row>
    <row r="321" ht="15.75" customHeight="1">
      <c r="A321" s="425"/>
      <c r="B321" s="425"/>
      <c r="C321" s="425"/>
      <c r="D321" s="425"/>
      <c r="E321" s="860"/>
      <c r="F321" s="425"/>
      <c r="G321" s="425"/>
      <c r="H321" s="425"/>
      <c r="I321" s="425"/>
      <c r="J321" s="425"/>
      <c r="K321" s="860"/>
      <c r="L321" s="425"/>
      <c r="M321" s="425"/>
      <c r="N321" s="425"/>
      <c r="O321" s="425"/>
      <c r="P321" s="425"/>
      <c r="Q321" s="860"/>
      <c r="R321" s="425"/>
      <c r="S321" s="425"/>
      <c r="T321" s="425"/>
      <c r="U321" s="425"/>
    </row>
    <row r="322" ht="15.75" customHeight="1">
      <c r="A322" s="425"/>
      <c r="B322" s="425"/>
      <c r="C322" s="425"/>
      <c r="D322" s="425"/>
      <c r="E322" s="860"/>
      <c r="F322" s="425"/>
      <c r="G322" s="425"/>
      <c r="H322" s="425"/>
      <c r="I322" s="425"/>
      <c r="J322" s="425"/>
      <c r="K322" s="860"/>
      <c r="L322" s="425"/>
      <c r="M322" s="425"/>
      <c r="N322" s="425"/>
      <c r="O322" s="425"/>
      <c r="P322" s="425"/>
      <c r="Q322" s="860"/>
      <c r="R322" s="425"/>
      <c r="S322" s="425"/>
      <c r="T322" s="425"/>
      <c r="U322" s="425"/>
    </row>
    <row r="323" ht="15.75" customHeight="1">
      <c r="A323" s="425"/>
      <c r="B323" s="425"/>
      <c r="C323" s="425"/>
      <c r="D323" s="425"/>
      <c r="E323" s="860"/>
      <c r="F323" s="425"/>
      <c r="G323" s="425"/>
      <c r="H323" s="425"/>
      <c r="I323" s="425"/>
      <c r="J323" s="425"/>
      <c r="K323" s="860"/>
      <c r="L323" s="425"/>
      <c r="M323" s="425"/>
      <c r="N323" s="425"/>
      <c r="O323" s="425"/>
      <c r="P323" s="425"/>
      <c r="Q323" s="860"/>
      <c r="R323" s="425"/>
      <c r="S323" s="425"/>
      <c r="T323" s="425"/>
      <c r="U323" s="425"/>
    </row>
    <row r="324" ht="15.75" customHeight="1">
      <c r="A324" s="425"/>
      <c r="B324" s="425"/>
      <c r="C324" s="425"/>
      <c r="D324" s="425"/>
      <c r="E324" s="860"/>
      <c r="F324" s="425"/>
      <c r="G324" s="425"/>
      <c r="H324" s="425"/>
      <c r="I324" s="425"/>
      <c r="J324" s="425"/>
      <c r="K324" s="860"/>
      <c r="L324" s="425"/>
      <c r="M324" s="425"/>
      <c r="N324" s="425"/>
      <c r="O324" s="425"/>
      <c r="P324" s="425"/>
      <c r="Q324" s="860"/>
      <c r="R324" s="425"/>
      <c r="S324" s="425"/>
      <c r="T324" s="425"/>
      <c r="U324" s="425"/>
    </row>
    <row r="325" ht="15.75" customHeight="1">
      <c r="A325" s="425"/>
      <c r="B325" s="425"/>
      <c r="C325" s="425"/>
      <c r="D325" s="425"/>
      <c r="E325" s="860"/>
      <c r="F325" s="425"/>
      <c r="G325" s="425"/>
      <c r="H325" s="425"/>
      <c r="I325" s="425"/>
      <c r="J325" s="425"/>
      <c r="K325" s="860"/>
      <c r="L325" s="425"/>
      <c r="M325" s="425"/>
      <c r="N325" s="425"/>
      <c r="O325" s="425"/>
      <c r="P325" s="425"/>
      <c r="Q325" s="860"/>
      <c r="R325" s="425"/>
      <c r="S325" s="425"/>
      <c r="T325" s="425"/>
      <c r="U325" s="425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B5"/>
    <mergeCell ref="C4:C5"/>
    <mergeCell ref="D4:I4"/>
    <mergeCell ref="J4:O4"/>
    <mergeCell ref="P4:U4"/>
    <mergeCell ref="B60:C60"/>
    <mergeCell ref="B61:C6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6.5"/>
    <col customWidth="1" min="4" max="4" width="11.88"/>
    <col customWidth="1" hidden="1" min="5" max="9" width="12.63"/>
    <col customWidth="1" min="10" max="10" width="11.5"/>
    <col customWidth="1" hidden="1" min="11" max="15" width="12.63"/>
    <col customWidth="1" min="16" max="16" width="11.25"/>
    <col customWidth="1" hidden="1" min="17" max="21" width="12.63"/>
  </cols>
  <sheetData>
    <row r="1" ht="15.75" customHeight="1">
      <c r="A1" s="425"/>
      <c r="B1" s="426" t="s">
        <v>0</v>
      </c>
      <c r="C1" s="425"/>
      <c r="D1" s="425"/>
      <c r="E1" s="425"/>
      <c r="F1" s="511"/>
      <c r="G1" s="425"/>
      <c r="H1" s="977"/>
      <c r="I1" s="425"/>
      <c r="J1" s="425"/>
      <c r="K1" s="425"/>
      <c r="L1" s="511"/>
      <c r="M1" s="425"/>
      <c r="N1" s="977"/>
      <c r="O1" s="425"/>
      <c r="P1" s="425"/>
      <c r="Q1" s="425"/>
      <c r="R1" s="511"/>
      <c r="S1" s="425"/>
      <c r="T1" s="977"/>
      <c r="U1" s="425"/>
    </row>
    <row r="2" ht="15.75" customHeight="1">
      <c r="A2" s="425"/>
      <c r="B2" s="427" t="s">
        <v>334</v>
      </c>
      <c r="C2" s="425"/>
      <c r="D2" s="425"/>
      <c r="E2" s="425"/>
      <c r="F2" s="511"/>
      <c r="G2" s="425"/>
      <c r="H2" s="977"/>
      <c r="I2" s="425"/>
      <c r="J2" s="425"/>
      <c r="K2" s="425"/>
      <c r="L2" s="511"/>
      <c r="M2" s="425"/>
      <c r="N2" s="977"/>
      <c r="O2" s="425"/>
      <c r="P2" s="425"/>
      <c r="Q2" s="425"/>
      <c r="R2" s="511"/>
      <c r="S2" s="425"/>
      <c r="T2" s="977"/>
      <c r="U2" s="425"/>
    </row>
    <row r="3" ht="15.75" customHeight="1">
      <c r="A3" s="425"/>
      <c r="B3" s="425"/>
      <c r="C3" s="425"/>
      <c r="D3" s="425"/>
      <c r="E3" s="425"/>
      <c r="F3" s="511"/>
      <c r="G3" s="425"/>
      <c r="H3" s="977"/>
      <c r="I3" s="425"/>
      <c r="J3" s="425"/>
      <c r="K3" s="425"/>
      <c r="L3" s="511"/>
      <c r="M3" s="425"/>
      <c r="N3" s="977"/>
      <c r="O3" s="425"/>
      <c r="P3" s="425"/>
      <c r="Q3" s="425"/>
      <c r="R3" s="511"/>
      <c r="S3" s="425"/>
      <c r="T3" s="977"/>
      <c r="U3" s="425"/>
    </row>
    <row r="4" ht="15.75" customHeight="1">
      <c r="A4" s="425"/>
      <c r="B4" s="428" t="s">
        <v>165</v>
      </c>
      <c r="C4" s="428" t="s">
        <v>166</v>
      </c>
      <c r="D4" s="513" t="s">
        <v>167</v>
      </c>
      <c r="E4" s="10"/>
      <c r="F4" s="10"/>
      <c r="G4" s="10"/>
      <c r="H4" s="10"/>
      <c r="I4" s="12"/>
      <c r="J4" s="513" t="s">
        <v>168</v>
      </c>
      <c r="K4" s="10"/>
      <c r="L4" s="10"/>
      <c r="M4" s="10"/>
      <c r="N4" s="10"/>
      <c r="O4" s="12"/>
      <c r="P4" s="431" t="s">
        <v>169</v>
      </c>
      <c r="Q4" s="10"/>
      <c r="R4" s="10"/>
      <c r="S4" s="10"/>
      <c r="T4" s="10"/>
      <c r="U4" s="12"/>
    </row>
    <row r="5" ht="15.75" customHeight="1">
      <c r="A5" s="514"/>
      <c r="B5" s="515"/>
      <c r="C5" s="515"/>
      <c r="D5" s="978" t="s">
        <v>170</v>
      </c>
      <c r="E5" s="590" t="s">
        <v>18</v>
      </c>
      <c r="F5" s="591" t="s">
        <v>171</v>
      </c>
      <c r="G5" s="590" t="s">
        <v>18</v>
      </c>
      <c r="H5" s="979" t="s">
        <v>172</v>
      </c>
      <c r="I5" s="592" t="s">
        <v>260</v>
      </c>
      <c r="J5" s="978" t="s">
        <v>170</v>
      </c>
      <c r="K5" s="590" t="s">
        <v>18</v>
      </c>
      <c r="L5" s="591" t="s">
        <v>171</v>
      </c>
      <c r="M5" s="590" t="s">
        <v>18</v>
      </c>
      <c r="N5" s="979" t="s">
        <v>172</v>
      </c>
      <c r="O5" s="592" t="s">
        <v>260</v>
      </c>
      <c r="P5" s="436" t="s">
        <v>170</v>
      </c>
      <c r="Q5" s="436" t="s">
        <v>18</v>
      </c>
      <c r="R5" s="520" t="s">
        <v>171</v>
      </c>
      <c r="S5" s="436" t="s">
        <v>18</v>
      </c>
      <c r="T5" s="980" t="s">
        <v>172</v>
      </c>
      <c r="U5" s="436" t="s">
        <v>260</v>
      </c>
    </row>
    <row r="6" ht="15.75" hidden="1" customHeight="1">
      <c r="A6" s="425"/>
      <c r="B6" s="454"/>
      <c r="C6" s="450" t="s">
        <v>76</v>
      </c>
      <c r="D6" s="981">
        <v>0.0</v>
      </c>
      <c r="E6" s="522"/>
      <c r="F6" s="523"/>
      <c r="G6" s="522"/>
      <c r="H6" s="982"/>
      <c r="I6" s="524"/>
      <c r="J6" s="661">
        <v>0.0</v>
      </c>
      <c r="K6" s="522"/>
      <c r="L6" s="523"/>
      <c r="M6" s="522"/>
      <c r="N6" s="982"/>
      <c r="O6" s="524"/>
      <c r="P6" s="661">
        <v>0.0</v>
      </c>
      <c r="Q6" s="522"/>
      <c r="R6" s="523"/>
      <c r="S6" s="522"/>
      <c r="T6" s="982"/>
      <c r="U6" s="524"/>
    </row>
    <row r="7" ht="15.75" hidden="1" customHeight="1">
      <c r="A7" s="425"/>
      <c r="B7" s="454"/>
      <c r="C7" s="450" t="s">
        <v>83</v>
      </c>
      <c r="D7" s="703">
        <v>0.0</v>
      </c>
      <c r="E7" s="521"/>
      <c r="F7" s="501"/>
      <c r="G7" s="521"/>
      <c r="H7" s="732"/>
      <c r="I7" s="464"/>
      <c r="J7" s="662">
        <v>0.0</v>
      </c>
      <c r="K7" s="521"/>
      <c r="L7" s="501"/>
      <c r="M7" s="521"/>
      <c r="N7" s="732"/>
      <c r="O7" s="464"/>
      <c r="P7" s="662">
        <v>0.0</v>
      </c>
      <c r="Q7" s="521"/>
      <c r="R7" s="501"/>
      <c r="S7" s="521"/>
      <c r="T7" s="732"/>
      <c r="U7" s="464"/>
    </row>
    <row r="8" ht="15.75" hidden="1" customHeight="1">
      <c r="A8" s="425"/>
      <c r="B8" s="454"/>
      <c r="C8" s="450" t="s">
        <v>90</v>
      </c>
      <c r="D8" s="703">
        <f>D16+D26+D27+D36</f>
        <v>12074655</v>
      </c>
      <c r="E8" s="521"/>
      <c r="F8" s="501"/>
      <c r="G8" s="521"/>
      <c r="H8" s="732"/>
      <c r="I8" s="464"/>
      <c r="J8" s="662">
        <f>J16+J26+J27+J36</f>
        <v>14685204</v>
      </c>
      <c r="K8" s="521"/>
      <c r="L8" s="501"/>
      <c r="M8" s="521"/>
      <c r="N8" s="732"/>
      <c r="O8" s="464"/>
      <c r="P8" s="662">
        <f>P16+P26+P27+P36</f>
        <v>0</v>
      </c>
      <c r="Q8" s="521"/>
      <c r="R8" s="501"/>
      <c r="S8" s="521"/>
      <c r="T8" s="732"/>
      <c r="U8" s="464"/>
    </row>
    <row r="9" ht="15.75" hidden="1" customHeight="1">
      <c r="A9" s="425"/>
      <c r="B9" s="454"/>
      <c r="C9" s="450" t="s">
        <v>97</v>
      </c>
      <c r="D9" s="703">
        <f>D17+D20+D22+D23</f>
        <v>0</v>
      </c>
      <c r="E9" s="521"/>
      <c r="F9" s="501"/>
      <c r="G9" s="521"/>
      <c r="H9" s="732"/>
      <c r="I9" s="464"/>
      <c r="J9" s="662">
        <f>J17+J20+J22+J23</f>
        <v>13500</v>
      </c>
      <c r="K9" s="521"/>
      <c r="L9" s="501"/>
      <c r="M9" s="521"/>
      <c r="N9" s="732"/>
      <c r="O9" s="464"/>
      <c r="P9" s="662">
        <f>P17+P20+P22+P23</f>
        <v>0</v>
      </c>
      <c r="Q9" s="521"/>
      <c r="R9" s="501"/>
      <c r="S9" s="521"/>
      <c r="T9" s="732"/>
      <c r="U9" s="464"/>
    </row>
    <row r="10" ht="15.75" hidden="1" customHeight="1">
      <c r="A10" s="425"/>
      <c r="B10" s="454"/>
      <c r="C10" s="450" t="s">
        <v>104</v>
      </c>
      <c r="D10" s="703">
        <f>SUM(D8:D9)-D37</f>
        <v>12074655</v>
      </c>
      <c r="E10" s="521"/>
      <c r="F10" s="501"/>
      <c r="G10" s="521"/>
      <c r="H10" s="732"/>
      <c r="I10" s="464"/>
      <c r="J10" s="662">
        <f>SUM(J8:J9)-J37</f>
        <v>14698704</v>
      </c>
      <c r="K10" s="521"/>
      <c r="L10" s="501"/>
      <c r="M10" s="521"/>
      <c r="N10" s="732"/>
      <c r="O10" s="464"/>
      <c r="P10" s="662">
        <f>SUM(P8:P9)-P37</f>
        <v>0</v>
      </c>
      <c r="Q10" s="521"/>
      <c r="R10" s="501"/>
      <c r="S10" s="521"/>
      <c r="T10" s="732"/>
      <c r="U10" s="464"/>
    </row>
    <row r="11" ht="15.75" hidden="1" customHeight="1">
      <c r="A11" s="425"/>
      <c r="B11" s="454"/>
      <c r="C11" s="450" t="s">
        <v>111</v>
      </c>
      <c r="D11" s="703" t="str">
        <f t="shared" ref="D11:D12" si="1">D8/D6</f>
        <v>#DIV/0!</v>
      </c>
      <c r="E11" s="521"/>
      <c r="F11" s="501"/>
      <c r="G11" s="521"/>
      <c r="H11" s="732"/>
      <c r="I11" s="464"/>
      <c r="J11" s="662" t="str">
        <f t="shared" ref="J11:J12" si="2">J8/J6</f>
        <v>#DIV/0!</v>
      </c>
      <c r="K11" s="521"/>
      <c r="L11" s="501"/>
      <c r="M11" s="521"/>
      <c r="N11" s="732"/>
      <c r="O11" s="464"/>
      <c r="P11" s="662" t="str">
        <f t="shared" ref="P11:P12" si="3">P8/P6</f>
        <v>#DIV/0!</v>
      </c>
      <c r="Q11" s="521"/>
      <c r="R11" s="501"/>
      <c r="S11" s="521"/>
      <c r="T11" s="732"/>
      <c r="U11" s="464"/>
    </row>
    <row r="12" ht="15.75" hidden="1" customHeight="1">
      <c r="A12" s="425"/>
      <c r="B12" s="454"/>
      <c r="C12" s="450" t="s">
        <v>118</v>
      </c>
      <c r="D12" s="703" t="str">
        <f t="shared" si="1"/>
        <v>#DIV/0!</v>
      </c>
      <c r="E12" s="521"/>
      <c r="F12" s="501"/>
      <c r="G12" s="521"/>
      <c r="H12" s="732"/>
      <c r="I12" s="464"/>
      <c r="J12" s="662" t="str">
        <f t="shared" si="2"/>
        <v>#DIV/0!</v>
      </c>
      <c r="K12" s="521"/>
      <c r="L12" s="501"/>
      <c r="M12" s="521"/>
      <c r="N12" s="732"/>
      <c r="O12" s="464"/>
      <c r="P12" s="662" t="str">
        <f t="shared" si="3"/>
        <v>#DIV/0!</v>
      </c>
      <c r="Q12" s="521"/>
      <c r="R12" s="501"/>
      <c r="S12" s="521"/>
      <c r="T12" s="732"/>
      <c r="U12" s="464"/>
    </row>
    <row r="13" ht="15.75" hidden="1" customHeight="1">
      <c r="A13" s="425"/>
      <c r="B13" s="454"/>
      <c r="C13" s="468"/>
      <c r="D13" s="983"/>
      <c r="E13" s="526"/>
      <c r="F13" s="527"/>
      <c r="G13" s="526"/>
      <c r="H13" s="984"/>
      <c r="I13" s="528"/>
      <c r="J13" s="663"/>
      <c r="K13" s="526"/>
      <c r="L13" s="527"/>
      <c r="M13" s="526"/>
      <c r="N13" s="984"/>
      <c r="O13" s="528"/>
      <c r="P13" s="663"/>
      <c r="Q13" s="526"/>
      <c r="R13" s="527"/>
      <c r="S13" s="526"/>
      <c r="T13" s="984"/>
      <c r="U13" s="528"/>
    </row>
    <row r="14" ht="15.75" customHeight="1">
      <c r="A14" s="425"/>
      <c r="B14" s="442" t="s">
        <v>173</v>
      </c>
      <c r="C14" s="474" t="s">
        <v>322</v>
      </c>
      <c r="D14" s="475">
        <f t="shared" ref="D14:J14" si="4">SUM(D15:D20)</f>
        <v>6037327.5</v>
      </c>
      <c r="E14" s="475">
        <f t="shared" si="4"/>
        <v>0</v>
      </c>
      <c r="F14" s="475">
        <f t="shared" si="4"/>
        <v>0</v>
      </c>
      <c r="G14" s="475" t="str">
        <f t="shared" si="4"/>
        <v>#DIV/0!</v>
      </c>
      <c r="H14" s="475">
        <f t="shared" si="4"/>
        <v>0</v>
      </c>
      <c r="I14" s="475">
        <f t="shared" si="4"/>
        <v>0</v>
      </c>
      <c r="J14" s="475">
        <f t="shared" si="4"/>
        <v>7335852</v>
      </c>
      <c r="K14" s="629"/>
      <c r="L14" s="493">
        <f>SUM(L15:L20)</f>
        <v>0</v>
      </c>
      <c r="M14" s="628" t="str">
        <f>SUM(M16:M20)</f>
        <v>#DIV/0!</v>
      </c>
      <c r="N14" s="493"/>
      <c r="O14" s="629"/>
      <c r="P14" s="475">
        <f>SUM(P15:P20)</f>
        <v>0</v>
      </c>
      <c r="Q14" s="629"/>
      <c r="R14" s="493">
        <f>SUM(R15:R20)</f>
        <v>0</v>
      </c>
      <c r="S14" s="628" t="str">
        <f>SUM(S16:S20)</f>
        <v>#DIV/0!</v>
      </c>
      <c r="T14" s="493"/>
      <c r="U14" s="629"/>
    </row>
    <row r="15" ht="15.75" customHeight="1">
      <c r="A15" s="425"/>
      <c r="B15" s="454" t="s">
        <v>23</v>
      </c>
      <c r="C15" s="481"/>
      <c r="D15" s="985"/>
      <c r="E15" s="985"/>
      <c r="F15" s="985"/>
      <c r="G15" s="985"/>
      <c r="H15" s="985"/>
      <c r="I15" s="986"/>
      <c r="J15" s="987"/>
      <c r="K15" s="522"/>
      <c r="L15" s="988"/>
      <c r="M15" s="533"/>
      <c r="N15" s="988"/>
      <c r="O15" s="524"/>
      <c r="P15" s="989"/>
      <c r="Q15" s="574"/>
      <c r="R15" s="988"/>
      <c r="S15" s="533"/>
      <c r="T15" s="988"/>
      <c r="U15" s="524"/>
    </row>
    <row r="16" ht="15.75" customHeight="1">
      <c r="A16" s="425"/>
      <c r="B16" s="450"/>
      <c r="C16" s="450" t="s">
        <v>175</v>
      </c>
      <c r="D16" s="500">
        <v>6037327.5</v>
      </c>
      <c r="E16" s="521"/>
      <c r="F16" s="501"/>
      <c r="G16" s="538" t="str">
        <f t="shared" ref="G16:G20" si="5">F16/$F$14</f>
        <v>#DIV/0!</v>
      </c>
      <c r="H16" s="732"/>
      <c r="I16" s="464"/>
      <c r="J16" s="452">
        <v>7335852.0</v>
      </c>
      <c r="K16" s="521"/>
      <c r="L16" s="501"/>
      <c r="M16" s="538" t="str">
        <f t="shared" ref="M16:M20" si="6">L16/$F$14</f>
        <v>#DIV/0!</v>
      </c>
      <c r="N16" s="732"/>
      <c r="O16" s="464"/>
      <c r="P16" s="459"/>
      <c r="Q16" s="552"/>
      <c r="R16" s="501"/>
      <c r="S16" s="538" t="str">
        <f t="shared" ref="S16:S20" si="7">R16/$F$14</f>
        <v>#DIV/0!</v>
      </c>
      <c r="T16" s="732"/>
      <c r="U16" s="464"/>
    </row>
    <row r="17" ht="15.75" customHeight="1">
      <c r="A17" s="425"/>
      <c r="B17" s="450"/>
      <c r="C17" s="450" t="s">
        <v>176</v>
      </c>
      <c r="D17" s="500">
        <v>0.0</v>
      </c>
      <c r="E17" s="521"/>
      <c r="F17" s="501"/>
      <c r="G17" s="538" t="str">
        <f t="shared" si="5"/>
        <v>#DIV/0!</v>
      </c>
      <c r="H17" s="732"/>
      <c r="I17" s="464"/>
      <c r="J17" s="452">
        <v>0.0</v>
      </c>
      <c r="K17" s="521"/>
      <c r="L17" s="501"/>
      <c r="M17" s="538" t="str">
        <f t="shared" si="6"/>
        <v>#DIV/0!</v>
      </c>
      <c r="N17" s="732"/>
      <c r="O17" s="464"/>
      <c r="P17" s="459"/>
      <c r="Q17" s="552"/>
      <c r="R17" s="501"/>
      <c r="S17" s="538" t="str">
        <f t="shared" si="7"/>
        <v>#DIV/0!</v>
      </c>
      <c r="T17" s="732"/>
      <c r="U17" s="464"/>
    </row>
    <row r="18" ht="15.75" customHeight="1">
      <c r="A18" s="425"/>
      <c r="B18" s="450"/>
      <c r="C18" s="450" t="s">
        <v>261</v>
      </c>
      <c r="D18" s="500"/>
      <c r="E18" s="521"/>
      <c r="F18" s="501"/>
      <c r="G18" s="538" t="str">
        <f t="shared" si="5"/>
        <v>#DIV/0!</v>
      </c>
      <c r="H18" s="732"/>
      <c r="I18" s="464"/>
      <c r="J18" s="452"/>
      <c r="K18" s="521"/>
      <c r="L18" s="501"/>
      <c r="M18" s="538" t="str">
        <f t="shared" si="6"/>
        <v>#DIV/0!</v>
      </c>
      <c r="N18" s="732"/>
      <c r="O18" s="464"/>
      <c r="P18" s="459"/>
      <c r="Q18" s="552"/>
      <c r="R18" s="501"/>
      <c r="S18" s="538" t="str">
        <f t="shared" si="7"/>
        <v>#DIV/0!</v>
      </c>
      <c r="T18" s="732"/>
      <c r="U18" s="464"/>
    </row>
    <row r="19" ht="15.75" customHeight="1">
      <c r="A19" s="425"/>
      <c r="B19" s="450"/>
      <c r="C19" s="450" t="s">
        <v>177</v>
      </c>
      <c r="D19" s="500"/>
      <c r="E19" s="521"/>
      <c r="F19" s="501"/>
      <c r="G19" s="538" t="str">
        <f t="shared" si="5"/>
        <v>#DIV/0!</v>
      </c>
      <c r="H19" s="732"/>
      <c r="I19" s="464"/>
      <c r="J19" s="452"/>
      <c r="K19" s="521"/>
      <c r="L19" s="501"/>
      <c r="M19" s="538" t="str">
        <f t="shared" si="6"/>
        <v>#DIV/0!</v>
      </c>
      <c r="N19" s="732"/>
      <c r="O19" s="464"/>
      <c r="P19" s="459"/>
      <c r="Q19" s="552"/>
      <c r="R19" s="501"/>
      <c r="S19" s="538" t="str">
        <f t="shared" si="7"/>
        <v>#DIV/0!</v>
      </c>
      <c r="T19" s="732"/>
      <c r="U19" s="464"/>
    </row>
    <row r="20" ht="15.75" customHeight="1">
      <c r="A20" s="425"/>
      <c r="B20" s="450"/>
      <c r="C20" s="450" t="s">
        <v>178</v>
      </c>
      <c r="D20" s="500"/>
      <c r="E20" s="521"/>
      <c r="F20" s="501"/>
      <c r="G20" s="538" t="str">
        <f t="shared" si="5"/>
        <v>#DIV/0!</v>
      </c>
      <c r="H20" s="732"/>
      <c r="I20" s="464"/>
      <c r="J20" s="452"/>
      <c r="K20" s="521"/>
      <c r="L20" s="501"/>
      <c r="M20" s="538" t="str">
        <f t="shared" si="6"/>
        <v>#DIV/0!</v>
      </c>
      <c r="N20" s="732"/>
      <c r="O20" s="464"/>
      <c r="P20" s="459"/>
      <c r="Q20" s="552"/>
      <c r="R20" s="501"/>
      <c r="S20" s="538" t="str">
        <f t="shared" si="7"/>
        <v>#DIV/0!</v>
      </c>
      <c r="T20" s="732"/>
      <c r="U20" s="464"/>
    </row>
    <row r="21" ht="15.75" customHeight="1">
      <c r="A21" s="425"/>
      <c r="B21" s="450"/>
      <c r="C21" s="450" t="s">
        <v>179</v>
      </c>
      <c r="D21" s="500">
        <v>0.0</v>
      </c>
      <c r="E21" s="538">
        <f>D21/$D$14</f>
        <v>0</v>
      </c>
      <c r="F21" s="501"/>
      <c r="G21" s="538"/>
      <c r="H21" s="732"/>
      <c r="I21" s="550" t="str">
        <f>IFERROR(H21/F21,"")</f>
        <v/>
      </c>
      <c r="J21" s="452">
        <v>0.0</v>
      </c>
      <c r="K21" s="538">
        <f>J21/$D$14</f>
        <v>0</v>
      </c>
      <c r="L21" s="501"/>
      <c r="M21" s="538"/>
      <c r="N21" s="732"/>
      <c r="O21" s="550" t="str">
        <f>IFERROR(N21/L21,"")</f>
        <v/>
      </c>
      <c r="P21" s="459"/>
      <c r="Q21" s="541">
        <f>P21/$D$14</f>
        <v>0</v>
      </c>
      <c r="R21" s="501"/>
      <c r="S21" s="538"/>
      <c r="T21" s="732"/>
      <c r="U21" s="550" t="str">
        <f>IFERROR(T21/R21,"")</f>
        <v/>
      </c>
    </row>
    <row r="22" ht="15.75" customHeight="1">
      <c r="A22" s="425"/>
      <c r="B22" s="450"/>
      <c r="C22" s="450" t="s">
        <v>263</v>
      </c>
      <c r="D22" s="500"/>
      <c r="E22" s="521"/>
      <c r="F22" s="501"/>
      <c r="G22" s="521"/>
      <c r="H22" s="732"/>
      <c r="I22" s="464"/>
      <c r="J22" s="452">
        <v>13500.0</v>
      </c>
      <c r="K22" s="521"/>
      <c r="L22" s="501"/>
      <c r="M22" s="521"/>
      <c r="N22" s="732"/>
      <c r="O22" s="464"/>
      <c r="P22" s="459"/>
      <c r="Q22" s="552"/>
      <c r="R22" s="501"/>
      <c r="S22" s="521"/>
      <c r="T22" s="732"/>
      <c r="U22" s="464"/>
    </row>
    <row r="23" ht="15.75" customHeight="1">
      <c r="A23" s="425"/>
      <c r="B23" s="454"/>
      <c r="C23" s="450"/>
      <c r="D23" s="500"/>
      <c r="E23" s="521"/>
      <c r="F23" s="501"/>
      <c r="G23" s="521"/>
      <c r="H23" s="732"/>
      <c r="I23" s="464"/>
      <c r="J23" s="452"/>
      <c r="K23" s="521"/>
      <c r="L23" s="501"/>
      <c r="M23" s="521"/>
      <c r="N23" s="732"/>
      <c r="O23" s="464"/>
      <c r="P23" s="459"/>
      <c r="Q23" s="552"/>
      <c r="R23" s="501"/>
      <c r="S23" s="521"/>
      <c r="T23" s="732"/>
      <c r="U23" s="464"/>
    </row>
    <row r="24" ht="15.75" customHeight="1">
      <c r="A24" s="425"/>
      <c r="B24" s="454" t="s">
        <v>21</v>
      </c>
      <c r="C24" s="450" t="s">
        <v>21</v>
      </c>
      <c r="D24" s="500">
        <v>527662.5</v>
      </c>
      <c r="E24" s="521"/>
      <c r="F24" s="501"/>
      <c r="G24" s="538" t="str">
        <f>F24/F29</f>
        <v>#DIV/0!</v>
      </c>
      <c r="H24" s="732">
        <v>0.0</v>
      </c>
      <c r="I24" s="464"/>
      <c r="J24" s="452">
        <v>647125.0</v>
      </c>
      <c r="K24" s="521"/>
      <c r="L24" s="501"/>
      <c r="M24" s="538" t="str">
        <f>L24/L29</f>
        <v>#DIV/0!</v>
      </c>
      <c r="N24" s="732">
        <v>0.0</v>
      </c>
      <c r="O24" s="464"/>
      <c r="P24" s="459"/>
      <c r="Q24" s="552"/>
      <c r="R24" s="501"/>
      <c r="S24" s="538" t="str">
        <f>R24/R29</f>
        <v>#DIV/0!</v>
      </c>
      <c r="T24" s="732">
        <v>0.0</v>
      </c>
      <c r="U24" s="464"/>
    </row>
    <row r="25" ht="15.75" customHeight="1">
      <c r="A25" s="425"/>
      <c r="B25" s="454" t="s">
        <v>22</v>
      </c>
      <c r="C25" s="450" t="s">
        <v>22</v>
      </c>
      <c r="D25" s="500">
        <v>4372792.5</v>
      </c>
      <c r="E25" s="521"/>
      <c r="F25" s="501"/>
      <c r="G25" s="538" t="str">
        <f>F25/F29</f>
        <v>#DIV/0!</v>
      </c>
      <c r="H25" s="732">
        <v>0.0</v>
      </c>
      <c r="I25" s="464"/>
      <c r="J25" s="452">
        <v>4130225.0</v>
      </c>
      <c r="K25" s="521"/>
      <c r="L25" s="501"/>
      <c r="M25" s="538" t="str">
        <f>L25/L29</f>
        <v>#DIV/0!</v>
      </c>
      <c r="N25" s="732">
        <v>0.0</v>
      </c>
      <c r="O25" s="464"/>
      <c r="P25" s="459"/>
      <c r="Q25" s="552"/>
      <c r="R25" s="501"/>
      <c r="S25" s="538" t="str">
        <f>R25/R29</f>
        <v>#DIV/0!</v>
      </c>
      <c r="T25" s="732">
        <v>0.0</v>
      </c>
      <c r="U25" s="464"/>
    </row>
    <row r="26" ht="15.75" customHeight="1">
      <c r="A26" s="425"/>
      <c r="B26" s="454" t="s">
        <v>23</v>
      </c>
      <c r="C26" s="450" t="s">
        <v>180</v>
      </c>
      <c r="D26" s="990">
        <f>SUM(D16:D22)</f>
        <v>6037327.5</v>
      </c>
      <c r="E26" s="521"/>
      <c r="F26" s="990">
        <f>SUM(F16:F22)</f>
        <v>0</v>
      </c>
      <c r="G26" s="538" t="str">
        <f>F26/F29</f>
        <v>#DIV/0!</v>
      </c>
      <c r="H26" s="991">
        <f>SUM(H16:H20)</f>
        <v>0</v>
      </c>
      <c r="I26" s="464"/>
      <c r="J26" s="452">
        <f>SUM(J16:J22)</f>
        <v>7349352</v>
      </c>
      <c r="K26" s="521"/>
      <c r="L26" s="990">
        <f>SUM(L16:L22)</f>
        <v>0</v>
      </c>
      <c r="M26" s="538" t="str">
        <f>L26/L29</f>
        <v>#DIV/0!</v>
      </c>
      <c r="N26" s="991">
        <f>SUM(N16:N20)</f>
        <v>0</v>
      </c>
      <c r="O26" s="464"/>
      <c r="P26" s="459"/>
      <c r="Q26" s="552"/>
      <c r="R26" s="990">
        <f>SUM(R16:R22)</f>
        <v>0</v>
      </c>
      <c r="S26" s="538" t="str">
        <f>R26/R29</f>
        <v>#DIV/0!</v>
      </c>
      <c r="T26" s="991">
        <f>SUM(T16:T20)</f>
        <v>0</v>
      </c>
      <c r="U26" s="464"/>
    </row>
    <row r="27" ht="15.75" customHeight="1">
      <c r="A27" s="425"/>
      <c r="B27" s="450"/>
      <c r="C27" s="450"/>
      <c r="D27" s="500"/>
      <c r="E27" s="521"/>
      <c r="F27" s="501"/>
      <c r="G27" s="538"/>
      <c r="H27" s="732"/>
      <c r="I27" s="464"/>
      <c r="J27" s="452"/>
      <c r="K27" s="521"/>
      <c r="L27" s="501"/>
      <c r="M27" s="538"/>
      <c r="N27" s="732"/>
      <c r="O27" s="464"/>
      <c r="P27" s="459"/>
      <c r="Q27" s="552"/>
      <c r="R27" s="501"/>
      <c r="S27" s="538"/>
      <c r="T27" s="732"/>
      <c r="U27" s="464"/>
    </row>
    <row r="28" ht="15.75" customHeight="1">
      <c r="A28" s="425"/>
      <c r="B28" s="468"/>
      <c r="C28" s="468" t="s">
        <v>181</v>
      </c>
      <c r="D28" s="992">
        <v>1068160.0</v>
      </c>
      <c r="E28" s="526"/>
      <c r="F28" s="527"/>
      <c r="G28" s="545" t="str">
        <f>F28/F29</f>
        <v>#DIV/0!</v>
      </c>
      <c r="H28" s="984"/>
      <c r="I28" s="528"/>
      <c r="J28" s="470"/>
      <c r="K28" s="526"/>
      <c r="L28" s="527"/>
      <c r="M28" s="545" t="str">
        <f>L28/L29</f>
        <v>#DIV/0!</v>
      </c>
      <c r="N28" s="984"/>
      <c r="O28" s="528"/>
      <c r="P28" s="472"/>
      <c r="Q28" s="577"/>
      <c r="R28" s="527"/>
      <c r="S28" s="545" t="str">
        <f>R28/R29</f>
        <v>#DIV/0!</v>
      </c>
      <c r="T28" s="984"/>
      <c r="U28" s="528"/>
    </row>
    <row r="29" ht="15.75" customHeight="1">
      <c r="A29" s="425"/>
      <c r="B29" s="474"/>
      <c r="C29" s="474" t="s">
        <v>182</v>
      </c>
      <c r="D29" s="993">
        <f>D24+D25+D26+D28</f>
        <v>12005942.5</v>
      </c>
      <c r="E29" s="555"/>
      <c r="F29" s="530">
        <f>F24+F25+F26+F28</f>
        <v>0</v>
      </c>
      <c r="G29" s="555"/>
      <c r="H29" s="994">
        <f>H24+H25+H26+H28</f>
        <v>0</v>
      </c>
      <c r="I29" s="556"/>
      <c r="J29" s="444">
        <f>J24+J25+J26+J28+J22</f>
        <v>12140202</v>
      </c>
      <c r="K29" s="555"/>
      <c r="L29" s="530">
        <f>L24+L25+L26+L28</f>
        <v>0</v>
      </c>
      <c r="M29" s="555"/>
      <c r="N29" s="994">
        <f>N24+N25+N26+N28</f>
        <v>0</v>
      </c>
      <c r="O29" s="556"/>
      <c r="P29" s="475">
        <f>P24+P25+P26+P28+P22</f>
        <v>0</v>
      </c>
      <c r="Q29" s="557"/>
      <c r="R29" s="530">
        <f>R24+R25+R26+R28</f>
        <v>0</v>
      </c>
      <c r="S29" s="555"/>
      <c r="T29" s="994">
        <f>T24+T25+T26+T28</f>
        <v>0</v>
      </c>
      <c r="U29" s="556"/>
    </row>
    <row r="30" ht="15.75" customHeight="1">
      <c r="A30" s="425"/>
      <c r="B30" s="446"/>
      <c r="C30" s="481"/>
      <c r="D30" s="988"/>
      <c r="E30" s="522"/>
      <c r="F30" s="523"/>
      <c r="G30" s="522"/>
      <c r="H30" s="982"/>
      <c r="I30" s="524"/>
      <c r="J30" s="448"/>
      <c r="K30" s="522"/>
      <c r="L30" s="523"/>
      <c r="M30" s="522"/>
      <c r="N30" s="982"/>
      <c r="O30" s="524"/>
      <c r="P30" s="482"/>
      <c r="Q30" s="574"/>
      <c r="R30" s="523"/>
      <c r="S30" s="522"/>
      <c r="T30" s="982"/>
      <c r="U30" s="524"/>
    </row>
    <row r="31" ht="15.75" hidden="1" customHeight="1">
      <c r="A31" s="425"/>
      <c r="B31" s="450"/>
      <c r="C31" s="450"/>
      <c r="D31" s="500"/>
      <c r="E31" s="538"/>
      <c r="F31" s="501"/>
      <c r="G31" s="612"/>
      <c r="H31" s="732"/>
      <c r="I31" s="693"/>
      <c r="J31" s="452"/>
      <c r="K31" s="538"/>
      <c r="L31" s="501"/>
      <c r="M31" s="612"/>
      <c r="N31" s="732"/>
      <c r="O31" s="693"/>
      <c r="P31" s="459"/>
      <c r="Q31" s="541"/>
      <c r="R31" s="501"/>
      <c r="S31" s="612"/>
      <c r="T31" s="732"/>
      <c r="U31" s="693"/>
    </row>
    <row r="32" ht="15.75" hidden="1" customHeight="1">
      <c r="A32" s="425"/>
      <c r="B32" s="450"/>
      <c r="C32" s="450"/>
      <c r="D32" s="500"/>
      <c r="E32" s="538"/>
      <c r="F32" s="501"/>
      <c r="G32" s="612"/>
      <c r="H32" s="732"/>
      <c r="I32" s="693"/>
      <c r="J32" s="452"/>
      <c r="K32" s="538"/>
      <c r="L32" s="501"/>
      <c r="M32" s="612"/>
      <c r="N32" s="732"/>
      <c r="O32" s="693"/>
      <c r="P32" s="459"/>
      <c r="Q32" s="541"/>
      <c r="R32" s="501"/>
      <c r="S32" s="612"/>
      <c r="T32" s="732"/>
      <c r="U32" s="693"/>
    </row>
    <row r="33" ht="15.75" hidden="1" customHeight="1">
      <c r="A33" s="425"/>
      <c r="B33" s="450"/>
      <c r="C33" s="450"/>
      <c r="D33" s="500"/>
      <c r="E33" s="538"/>
      <c r="F33" s="501"/>
      <c r="G33" s="612"/>
      <c r="H33" s="732"/>
      <c r="I33" s="693"/>
      <c r="J33" s="452"/>
      <c r="K33" s="538"/>
      <c r="L33" s="501"/>
      <c r="M33" s="612"/>
      <c r="N33" s="732"/>
      <c r="O33" s="693"/>
      <c r="P33" s="459"/>
      <c r="Q33" s="541"/>
      <c r="R33" s="501"/>
      <c r="S33" s="612"/>
      <c r="T33" s="732"/>
      <c r="U33" s="693"/>
    </row>
    <row r="34" ht="15.75" hidden="1" customHeight="1">
      <c r="A34" s="425"/>
      <c r="B34" s="450"/>
      <c r="C34" s="450"/>
      <c r="D34" s="500"/>
      <c r="E34" s="538"/>
      <c r="F34" s="501"/>
      <c r="G34" s="612"/>
      <c r="H34" s="732"/>
      <c r="I34" s="693"/>
      <c r="J34" s="452"/>
      <c r="K34" s="538"/>
      <c r="L34" s="501"/>
      <c r="M34" s="612"/>
      <c r="N34" s="732"/>
      <c r="O34" s="693"/>
      <c r="P34" s="459"/>
      <c r="Q34" s="541"/>
      <c r="R34" s="501"/>
      <c r="S34" s="612"/>
      <c r="T34" s="732"/>
      <c r="U34" s="693"/>
    </row>
    <row r="35" ht="15.75" hidden="1" customHeight="1">
      <c r="A35" s="425"/>
      <c r="B35" s="450"/>
      <c r="C35" s="450"/>
      <c r="D35" s="500"/>
      <c r="E35" s="538"/>
      <c r="F35" s="501"/>
      <c r="G35" s="612"/>
      <c r="H35" s="732"/>
      <c r="I35" s="693"/>
      <c r="J35" s="452"/>
      <c r="K35" s="538"/>
      <c r="L35" s="501"/>
      <c r="M35" s="612"/>
      <c r="N35" s="732"/>
      <c r="O35" s="693"/>
      <c r="P35" s="459"/>
      <c r="Q35" s="541"/>
      <c r="R35" s="501"/>
      <c r="S35" s="612"/>
      <c r="T35" s="732"/>
      <c r="U35" s="693"/>
    </row>
    <row r="36" ht="15.75" hidden="1" customHeight="1">
      <c r="A36" s="425"/>
      <c r="B36" s="450"/>
      <c r="C36" s="450"/>
      <c r="D36" s="500"/>
      <c r="E36" s="538"/>
      <c r="F36" s="501"/>
      <c r="G36" s="612"/>
      <c r="H36" s="732"/>
      <c r="I36" s="693"/>
      <c r="J36" s="452"/>
      <c r="K36" s="538"/>
      <c r="L36" s="501"/>
      <c r="M36" s="612"/>
      <c r="N36" s="732"/>
      <c r="O36" s="693"/>
      <c r="P36" s="459"/>
      <c r="Q36" s="541"/>
      <c r="R36" s="501"/>
      <c r="S36" s="612"/>
      <c r="T36" s="732"/>
      <c r="U36" s="693"/>
    </row>
    <row r="37" ht="15.75" hidden="1" customHeight="1">
      <c r="A37" s="425"/>
      <c r="B37" s="450"/>
      <c r="C37" s="450"/>
      <c r="D37" s="500"/>
      <c r="E37" s="538"/>
      <c r="F37" s="501"/>
      <c r="G37" s="612"/>
      <c r="H37" s="732"/>
      <c r="I37" s="693"/>
      <c r="J37" s="452"/>
      <c r="K37" s="538"/>
      <c r="L37" s="501"/>
      <c r="M37" s="612"/>
      <c r="N37" s="732"/>
      <c r="O37" s="693"/>
      <c r="P37" s="459"/>
      <c r="Q37" s="541"/>
      <c r="R37" s="501"/>
      <c r="S37" s="612"/>
      <c r="T37" s="732"/>
      <c r="U37" s="693"/>
    </row>
    <row r="38" ht="15.75" customHeight="1">
      <c r="A38" s="425"/>
      <c r="B38" s="454"/>
      <c r="C38" s="454"/>
      <c r="D38" s="500"/>
      <c r="E38" s="521"/>
      <c r="F38" s="501"/>
      <c r="G38" s="521"/>
      <c r="H38" s="732"/>
      <c r="I38" s="464"/>
      <c r="J38" s="452"/>
      <c r="K38" s="521"/>
      <c r="L38" s="501"/>
      <c r="M38" s="521"/>
      <c r="N38" s="732"/>
      <c r="O38" s="464"/>
      <c r="P38" s="459"/>
      <c r="Q38" s="552"/>
      <c r="R38" s="501"/>
      <c r="S38" s="521"/>
      <c r="T38" s="732"/>
      <c r="U38" s="464"/>
    </row>
    <row r="39" ht="15.75" customHeight="1">
      <c r="A39" s="425"/>
      <c r="B39" s="995" t="s">
        <v>186</v>
      </c>
      <c r="C39" s="468"/>
      <c r="D39" s="992"/>
      <c r="E39" s="526"/>
      <c r="F39" s="527"/>
      <c r="G39" s="526"/>
      <c r="H39" s="984"/>
      <c r="I39" s="528"/>
      <c r="J39" s="470"/>
      <c r="K39" s="526"/>
      <c r="L39" s="527"/>
      <c r="M39" s="526"/>
      <c r="N39" s="984"/>
      <c r="O39" s="528"/>
      <c r="P39" s="472"/>
      <c r="Q39" s="577"/>
      <c r="R39" s="527"/>
      <c r="S39" s="526"/>
      <c r="T39" s="984"/>
      <c r="U39" s="528"/>
    </row>
    <row r="40" ht="15.75" customHeight="1">
      <c r="A40" s="425"/>
      <c r="B40" s="442" t="s">
        <v>28</v>
      </c>
      <c r="C40" s="474"/>
      <c r="D40" s="993"/>
      <c r="E40" s="555"/>
      <c r="F40" s="530"/>
      <c r="G40" s="555"/>
      <c r="H40" s="994"/>
      <c r="I40" s="556"/>
      <c r="J40" s="444"/>
      <c r="K40" s="555"/>
      <c r="L40" s="530"/>
      <c r="M40" s="555"/>
      <c r="N40" s="994"/>
      <c r="O40" s="556"/>
      <c r="P40" s="475"/>
      <c r="Q40" s="557"/>
      <c r="R40" s="530"/>
      <c r="S40" s="555"/>
      <c r="T40" s="994"/>
      <c r="U40" s="556"/>
    </row>
    <row r="41" ht="15.75" customHeight="1">
      <c r="A41" s="425"/>
      <c r="B41" s="481"/>
      <c r="C41" s="996" t="s">
        <v>187</v>
      </c>
      <c r="D41" s="988"/>
      <c r="E41" s="522"/>
      <c r="F41" s="523"/>
      <c r="G41" s="522"/>
      <c r="H41" s="982"/>
      <c r="I41" s="524"/>
      <c r="J41" s="448"/>
      <c r="K41" s="522"/>
      <c r="L41" s="523"/>
      <c r="M41" s="522"/>
      <c r="N41" s="982"/>
      <c r="O41" s="524"/>
      <c r="P41" s="482"/>
      <c r="Q41" s="574"/>
      <c r="R41" s="523"/>
      <c r="S41" s="522"/>
      <c r="T41" s="982"/>
      <c r="U41" s="524"/>
    </row>
    <row r="42" ht="15.75" customHeight="1">
      <c r="A42" s="425"/>
      <c r="B42" s="450"/>
      <c r="C42" s="450" t="s">
        <v>188</v>
      </c>
      <c r="D42" s="452">
        <f>'MSBC CK Allocation'!C31</f>
        <v>275371.0999</v>
      </c>
      <c r="E42" s="521"/>
      <c r="F42" s="501">
        <f>G42*F26</f>
        <v>0</v>
      </c>
      <c r="G42" s="538"/>
      <c r="H42" s="732"/>
      <c r="I42" s="464"/>
      <c r="J42" s="452">
        <f>'MSBC CK Allocation'!D31</f>
        <v>253720.6296</v>
      </c>
      <c r="K42" s="521"/>
      <c r="L42" s="501">
        <f>M42*L26</f>
        <v>0</v>
      </c>
      <c r="M42" s="538"/>
      <c r="N42" s="732"/>
      <c r="O42" s="464"/>
      <c r="P42" s="459"/>
      <c r="Q42" s="552"/>
      <c r="R42" s="501">
        <f>S42*R26</f>
        <v>0</v>
      </c>
      <c r="S42" s="538"/>
      <c r="T42" s="732"/>
      <c r="U42" s="464"/>
    </row>
    <row r="43" ht="15.75" customHeight="1">
      <c r="A43" s="425"/>
      <c r="B43" s="450"/>
      <c r="C43" s="450" t="s">
        <v>189</v>
      </c>
      <c r="D43" s="500">
        <v>2681208.0835189014</v>
      </c>
      <c r="E43" s="521"/>
      <c r="F43" s="501">
        <f>G43*F26</f>
        <v>0</v>
      </c>
      <c r="G43" s="538"/>
      <c r="H43" s="732"/>
      <c r="I43" s="464"/>
      <c r="J43" s="452">
        <v>2790240.846552158</v>
      </c>
      <c r="K43" s="521"/>
      <c r="L43" s="501">
        <f>M43*L26</f>
        <v>0</v>
      </c>
      <c r="M43" s="538"/>
      <c r="N43" s="732"/>
      <c r="O43" s="464"/>
      <c r="P43" s="459"/>
      <c r="Q43" s="552"/>
      <c r="R43" s="501">
        <f>S43*R26</f>
        <v>0</v>
      </c>
      <c r="S43" s="538"/>
      <c r="T43" s="732"/>
      <c r="U43" s="464"/>
    </row>
    <row r="44" ht="15.75" customHeight="1">
      <c r="A44" s="425"/>
      <c r="B44" s="450"/>
      <c r="C44" s="450" t="s">
        <v>21</v>
      </c>
      <c r="D44" s="500">
        <v>188494.51297619</v>
      </c>
      <c r="E44" s="521"/>
      <c r="F44" s="501">
        <f t="shared" ref="F44:F45" si="8">G44*F24</f>
        <v>0</v>
      </c>
      <c r="G44" s="538"/>
      <c r="H44" s="732"/>
      <c r="I44" s="464"/>
      <c r="J44" s="452">
        <v>189015.3796878289</v>
      </c>
      <c r="K44" s="521"/>
      <c r="L44" s="501">
        <f t="shared" ref="L44:L45" si="9">M44*L24</f>
        <v>0</v>
      </c>
      <c r="M44" s="538"/>
      <c r="N44" s="732"/>
      <c r="O44" s="464"/>
      <c r="P44" s="459"/>
      <c r="Q44" s="552"/>
      <c r="R44" s="501">
        <f t="shared" ref="R44:R45" si="10">S44*R24</f>
        <v>0</v>
      </c>
      <c r="S44" s="538"/>
      <c r="T44" s="732"/>
      <c r="U44" s="464"/>
    </row>
    <row r="45" ht="15.75" customHeight="1">
      <c r="A45" s="425"/>
      <c r="B45" s="450"/>
      <c r="C45" s="450" t="s">
        <v>22</v>
      </c>
      <c r="D45" s="500">
        <v>1399401.2399999998</v>
      </c>
      <c r="E45" s="521"/>
      <c r="F45" s="501">
        <f t="shared" si="8"/>
        <v>0</v>
      </c>
      <c r="G45" s="538"/>
      <c r="H45" s="732"/>
      <c r="I45" s="464"/>
      <c r="J45" s="452">
        <v>1302934.76</v>
      </c>
      <c r="K45" s="521"/>
      <c r="L45" s="501">
        <f t="shared" si="9"/>
        <v>0</v>
      </c>
      <c r="M45" s="538"/>
      <c r="N45" s="732"/>
      <c r="O45" s="464"/>
      <c r="P45" s="459"/>
      <c r="Q45" s="552"/>
      <c r="R45" s="501">
        <f t="shared" si="10"/>
        <v>0</v>
      </c>
      <c r="S45" s="538"/>
      <c r="T45" s="732"/>
      <c r="U45" s="464"/>
    </row>
    <row r="46" ht="15.75" customHeight="1">
      <c r="A46" s="425"/>
      <c r="B46" s="468"/>
      <c r="C46" s="468" t="s">
        <v>190</v>
      </c>
      <c r="D46" s="992">
        <f>'Calculation Sheet for GST on Pu'!C26</f>
        <v>179462.6559</v>
      </c>
      <c r="E46" s="526"/>
      <c r="F46" s="527">
        <f>G46*SUM(F24:F26)</f>
        <v>0</v>
      </c>
      <c r="G46" s="545"/>
      <c r="H46" s="984"/>
      <c r="I46" s="528"/>
      <c r="J46" s="470">
        <f>'Calculation Sheet for GST on Pu'!D26</f>
        <v>176123.7799</v>
      </c>
      <c r="K46" s="526"/>
      <c r="L46" s="527">
        <f>M46*SUM(L24:L26)</f>
        <v>0</v>
      </c>
      <c r="M46" s="545"/>
      <c r="N46" s="984"/>
      <c r="O46" s="528"/>
      <c r="P46" s="472"/>
      <c r="Q46" s="577"/>
      <c r="R46" s="527">
        <f>S46*SUM(R24:R26)</f>
        <v>0</v>
      </c>
      <c r="S46" s="545"/>
      <c r="T46" s="984"/>
      <c r="U46" s="528"/>
    </row>
    <row r="47" ht="15.75" customHeight="1">
      <c r="A47" s="425"/>
      <c r="B47" s="474"/>
      <c r="C47" s="474" t="s">
        <v>191</v>
      </c>
      <c r="D47" s="475">
        <f>SUM(D42:D46)</f>
        <v>4723937.592</v>
      </c>
      <c r="E47" s="442"/>
      <c r="F47" s="475">
        <f>SUM(F42:F46)</f>
        <v>0</v>
      </c>
      <c r="G47" s="581" t="str">
        <f>F47/F29</f>
        <v>#DIV/0!</v>
      </c>
      <c r="H47" s="997">
        <f>SUM(H42:H46)</f>
        <v>0</v>
      </c>
      <c r="I47" s="442"/>
      <c r="J47" s="475">
        <f>SUM(J42:J46)</f>
        <v>4712035.396</v>
      </c>
      <c r="K47" s="442"/>
      <c r="L47" s="475">
        <f>SUM(L42:L46)</f>
        <v>0</v>
      </c>
      <c r="M47" s="581" t="str">
        <f>L47/L29</f>
        <v>#DIV/0!</v>
      </c>
      <c r="N47" s="997">
        <f>SUM(N42:N46)</f>
        <v>0</v>
      </c>
      <c r="O47" s="442"/>
      <c r="P47" s="475">
        <f>SUM(P42:P46)</f>
        <v>0</v>
      </c>
      <c r="Q47" s="442"/>
      <c r="R47" s="475">
        <f>SUM(R42:R46)</f>
        <v>0</v>
      </c>
      <c r="S47" s="581" t="str">
        <f>R47/R29</f>
        <v>#DIV/0!</v>
      </c>
      <c r="T47" s="997">
        <f>SUM(T42:T46)</f>
        <v>0</v>
      </c>
      <c r="U47" s="442"/>
    </row>
    <row r="48" ht="15.75" customHeight="1">
      <c r="A48" s="425"/>
      <c r="B48" s="481"/>
      <c r="C48" s="998" t="s">
        <v>192</v>
      </c>
      <c r="D48" s="988">
        <v>57613.8</v>
      </c>
      <c r="E48" s="522"/>
      <c r="F48" s="523">
        <f>G48*SUM(F24:F26)</f>
        <v>0</v>
      </c>
      <c r="G48" s="533"/>
      <c r="H48" s="982"/>
      <c r="I48" s="524"/>
      <c r="J48" s="448">
        <f>25761.5+2000</f>
        <v>27761.5</v>
      </c>
      <c r="K48" s="522"/>
      <c r="L48" s="523">
        <f>M48*SUM(L24:L26)</f>
        <v>0</v>
      </c>
      <c r="M48" s="533"/>
      <c r="N48" s="982"/>
      <c r="O48" s="524"/>
      <c r="P48" s="482"/>
      <c r="Q48" s="574"/>
      <c r="R48" s="523">
        <f>S48*SUM(R24:R26)</f>
        <v>0</v>
      </c>
      <c r="S48" s="533"/>
      <c r="T48" s="982"/>
      <c r="U48" s="524"/>
    </row>
    <row r="49" ht="15.75" customHeight="1">
      <c r="A49" s="425"/>
      <c r="B49" s="468"/>
      <c r="C49" s="995" t="s">
        <v>193</v>
      </c>
      <c r="D49" s="999">
        <f>D47+D48</f>
        <v>4781551.392</v>
      </c>
      <c r="E49" s="1000"/>
      <c r="F49" s="1001">
        <f>F47+F48</f>
        <v>0</v>
      </c>
      <c r="G49" s="1002" t="str">
        <f>F49/F29</f>
        <v>#DIV/0!</v>
      </c>
      <c r="H49" s="1003">
        <f>H47+H48</f>
        <v>0</v>
      </c>
      <c r="I49" s="1004"/>
      <c r="J49" s="1005">
        <f>J47+J48</f>
        <v>4739796.896</v>
      </c>
      <c r="K49" s="1000"/>
      <c r="L49" s="1001">
        <f>L47+L48</f>
        <v>0</v>
      </c>
      <c r="M49" s="1002" t="str">
        <f>L49/L29</f>
        <v>#DIV/0!</v>
      </c>
      <c r="N49" s="1003">
        <f>N47+N48</f>
        <v>0</v>
      </c>
      <c r="O49" s="1004"/>
      <c r="P49" s="1006">
        <f>P47+P48</f>
        <v>0</v>
      </c>
      <c r="Q49" s="1007"/>
      <c r="R49" s="1001">
        <f>R47+R48</f>
        <v>0</v>
      </c>
      <c r="S49" s="1002" t="str">
        <f>R49/R29</f>
        <v>#DIV/0!</v>
      </c>
      <c r="T49" s="1003">
        <f>T47+T48</f>
        <v>0</v>
      </c>
      <c r="U49" s="1004"/>
    </row>
    <row r="50" ht="15.75" customHeight="1">
      <c r="A50" s="425"/>
      <c r="B50" s="477"/>
      <c r="C50" s="474" t="s">
        <v>32</v>
      </c>
      <c r="D50" s="993">
        <f>D29-D49</f>
        <v>7224391.108</v>
      </c>
      <c r="E50" s="1008"/>
      <c r="F50" s="1009">
        <f>+F29-F49</f>
        <v>0</v>
      </c>
      <c r="G50" s="1008"/>
      <c r="H50" s="1010"/>
      <c r="I50" s="1011"/>
      <c r="J50" s="444">
        <f>J29-J49</f>
        <v>7400405.104</v>
      </c>
      <c r="K50" s="1008"/>
      <c r="L50" s="1009">
        <f>+L29-L49</f>
        <v>0</v>
      </c>
      <c r="M50" s="1008"/>
      <c r="N50" s="1010"/>
      <c r="O50" s="1011"/>
      <c r="P50" s="475">
        <f>P29-P49</f>
        <v>0</v>
      </c>
      <c r="Q50" s="1012"/>
      <c r="R50" s="1009">
        <f>+R29-R49</f>
        <v>0</v>
      </c>
      <c r="S50" s="1008"/>
      <c r="T50" s="1010"/>
      <c r="U50" s="1011"/>
    </row>
    <row r="51" ht="15.75" customHeight="1">
      <c r="A51" s="425"/>
      <c r="B51" s="481"/>
      <c r="C51" s="481"/>
      <c r="D51" s="988"/>
      <c r="E51" s="522"/>
      <c r="F51" s="523"/>
      <c r="G51" s="522"/>
      <c r="H51" s="982"/>
      <c r="I51" s="524"/>
      <c r="J51" s="448"/>
      <c r="K51" s="522"/>
      <c r="L51" s="523"/>
      <c r="M51" s="522"/>
      <c r="N51" s="982"/>
      <c r="O51" s="524"/>
      <c r="P51" s="482"/>
      <c r="Q51" s="574"/>
      <c r="R51" s="523"/>
      <c r="S51" s="522"/>
      <c r="T51" s="982"/>
      <c r="U51" s="524"/>
    </row>
    <row r="52" ht="15.75" customHeight="1">
      <c r="A52" s="425"/>
      <c r="B52" s="450"/>
      <c r="C52" s="450"/>
      <c r="D52" s="500"/>
      <c r="E52" s="521"/>
      <c r="F52" s="501"/>
      <c r="G52" s="521"/>
      <c r="H52" s="732"/>
      <c r="I52" s="464"/>
      <c r="J52" s="452"/>
      <c r="K52" s="521"/>
      <c r="L52" s="501"/>
      <c r="M52" s="521"/>
      <c r="N52" s="732"/>
      <c r="O52" s="464"/>
      <c r="P52" s="459"/>
      <c r="Q52" s="552"/>
      <c r="R52" s="501"/>
      <c r="S52" s="521"/>
      <c r="T52" s="732"/>
      <c r="U52" s="464"/>
    </row>
    <row r="53" ht="15.75" customHeight="1">
      <c r="A53" s="425"/>
      <c r="B53" s="450"/>
      <c r="C53" s="450"/>
      <c r="D53" s="500"/>
      <c r="E53" s="521"/>
      <c r="F53" s="501"/>
      <c r="G53" s="521"/>
      <c r="H53" s="732"/>
      <c r="I53" s="464"/>
      <c r="J53" s="452"/>
      <c r="K53" s="521"/>
      <c r="L53" s="501"/>
      <c r="M53" s="521"/>
      <c r="N53" s="732"/>
      <c r="O53" s="464"/>
      <c r="P53" s="459"/>
      <c r="Q53" s="552"/>
      <c r="R53" s="501"/>
      <c r="S53" s="521"/>
      <c r="T53" s="732"/>
      <c r="U53" s="464"/>
    </row>
    <row r="54" ht="15.75" customHeight="1">
      <c r="A54" s="425"/>
      <c r="B54" s="450"/>
      <c r="C54" s="450"/>
      <c r="D54" s="500"/>
      <c r="E54" s="521"/>
      <c r="F54" s="501"/>
      <c r="G54" s="521"/>
      <c r="H54" s="732"/>
      <c r="I54" s="464"/>
      <c r="J54" s="452"/>
      <c r="K54" s="521"/>
      <c r="L54" s="501"/>
      <c r="M54" s="521"/>
      <c r="N54" s="732"/>
      <c r="O54" s="464"/>
      <c r="P54" s="459"/>
      <c r="Q54" s="552"/>
      <c r="R54" s="501"/>
      <c r="S54" s="521"/>
      <c r="T54" s="732"/>
      <c r="U54" s="464"/>
    </row>
    <row r="55" ht="15.75" customHeight="1">
      <c r="A55" s="425"/>
      <c r="B55" s="450"/>
      <c r="C55" s="622" t="s">
        <v>194</v>
      </c>
      <c r="D55" s="500"/>
      <c r="E55" s="521"/>
      <c r="F55" s="501"/>
      <c r="G55" s="521"/>
      <c r="H55" s="732"/>
      <c r="I55" s="464"/>
      <c r="J55" s="452"/>
      <c r="K55" s="521"/>
      <c r="L55" s="501"/>
      <c r="M55" s="521"/>
      <c r="N55" s="732"/>
      <c r="O55" s="464"/>
      <c r="P55" s="459"/>
      <c r="Q55" s="552"/>
      <c r="R55" s="501"/>
      <c r="S55" s="521"/>
      <c r="T55" s="732"/>
      <c r="U55" s="464"/>
    </row>
    <row r="56" ht="15.75" customHeight="1">
      <c r="A56" s="425"/>
      <c r="B56" s="450"/>
      <c r="C56" s="450" t="s">
        <v>195</v>
      </c>
      <c r="D56" s="500">
        <v>47693.62</v>
      </c>
      <c r="E56" s="521"/>
      <c r="F56" s="501">
        <f t="shared" ref="F56:F61" si="11">G56*F$29</f>
        <v>0</v>
      </c>
      <c r="G56" s="538">
        <v>0.003</v>
      </c>
      <c r="H56" s="732"/>
      <c r="I56" s="464"/>
      <c r="J56" s="452">
        <v>50415.0</v>
      </c>
      <c r="K56" s="521"/>
      <c r="L56" s="501">
        <f t="shared" ref="L56:L61" si="12">M56*L$29</f>
        <v>0</v>
      </c>
      <c r="M56" s="538">
        <v>0.003</v>
      </c>
      <c r="N56" s="732"/>
      <c r="O56" s="464"/>
      <c r="P56" s="459"/>
      <c r="Q56" s="552"/>
      <c r="R56" s="501">
        <f t="shared" ref="R56:R61" si="13">S56*R$29</f>
        <v>0</v>
      </c>
      <c r="S56" s="538">
        <v>0.003</v>
      </c>
      <c r="T56" s="732"/>
      <c r="U56" s="464"/>
    </row>
    <row r="57" ht="15.75" customHeight="1">
      <c r="A57" s="425"/>
      <c r="B57" s="450"/>
      <c r="C57" s="450" t="s">
        <v>196</v>
      </c>
      <c r="D57" s="500">
        <v>93047.84</v>
      </c>
      <c r="E57" s="521"/>
      <c r="F57" s="501">
        <f t="shared" si="11"/>
        <v>0</v>
      </c>
      <c r="G57" s="538">
        <v>0.0076</v>
      </c>
      <c r="H57" s="732"/>
      <c r="I57" s="464"/>
      <c r="J57" s="452">
        <v>67379.0</v>
      </c>
      <c r="K57" s="521"/>
      <c r="L57" s="501">
        <f t="shared" si="12"/>
        <v>0</v>
      </c>
      <c r="M57" s="538">
        <v>0.0076</v>
      </c>
      <c r="N57" s="732"/>
      <c r="O57" s="464"/>
      <c r="P57" s="459"/>
      <c r="Q57" s="552"/>
      <c r="R57" s="501">
        <f t="shared" si="13"/>
        <v>0</v>
      </c>
      <c r="S57" s="538">
        <v>0.0076</v>
      </c>
      <c r="T57" s="732"/>
      <c r="U57" s="464"/>
    </row>
    <row r="58" ht="15.75" customHeight="1">
      <c r="A58" s="425"/>
      <c r="B58" s="450"/>
      <c r="C58" s="450" t="s">
        <v>266</v>
      </c>
      <c r="D58" s="500">
        <v>0.0</v>
      </c>
      <c r="E58" s="521"/>
      <c r="F58" s="501">
        <f t="shared" si="11"/>
        <v>0</v>
      </c>
      <c r="G58" s="538">
        <v>0.0039</v>
      </c>
      <c r="H58" s="732"/>
      <c r="I58" s="464"/>
      <c r="J58" s="452">
        <v>0.0</v>
      </c>
      <c r="K58" s="521"/>
      <c r="L58" s="501">
        <f t="shared" si="12"/>
        <v>0</v>
      </c>
      <c r="M58" s="538">
        <v>0.0039</v>
      </c>
      <c r="N58" s="732"/>
      <c r="O58" s="464"/>
      <c r="P58" s="459"/>
      <c r="Q58" s="552"/>
      <c r="R58" s="501">
        <f t="shared" si="13"/>
        <v>0</v>
      </c>
      <c r="S58" s="538">
        <v>0.0039</v>
      </c>
      <c r="T58" s="732"/>
      <c r="U58" s="464"/>
    </row>
    <row r="59" ht="15.75" customHeight="1">
      <c r="A59" s="425"/>
      <c r="B59" s="450"/>
      <c r="C59" s="450" t="s">
        <v>197</v>
      </c>
      <c r="D59" s="500">
        <v>72312.79</v>
      </c>
      <c r="E59" s="521"/>
      <c r="F59" s="501">
        <f t="shared" si="11"/>
        <v>0</v>
      </c>
      <c r="G59" s="538">
        <v>7.0E-4</v>
      </c>
      <c r="H59" s="732"/>
      <c r="I59" s="464"/>
      <c r="J59" s="452">
        <v>51820.0</v>
      </c>
      <c r="K59" s="521"/>
      <c r="L59" s="501">
        <f t="shared" si="12"/>
        <v>0</v>
      </c>
      <c r="M59" s="538">
        <v>7.0E-4</v>
      </c>
      <c r="N59" s="732"/>
      <c r="O59" s="464"/>
      <c r="P59" s="459"/>
      <c r="Q59" s="552"/>
      <c r="R59" s="501">
        <f t="shared" si="13"/>
        <v>0</v>
      </c>
      <c r="S59" s="538">
        <v>7.0E-4</v>
      </c>
      <c r="T59" s="732"/>
      <c r="U59" s="464"/>
    </row>
    <row r="60" ht="15.75" customHeight="1">
      <c r="A60" s="425"/>
      <c r="B60" s="450"/>
      <c r="C60" s="450" t="s">
        <v>198</v>
      </c>
      <c r="D60" s="500">
        <v>64118.55</v>
      </c>
      <c r="E60" s="521"/>
      <c r="F60" s="501">
        <f t="shared" si="11"/>
        <v>0</v>
      </c>
      <c r="G60" s="538">
        <v>4.0E-4</v>
      </c>
      <c r="H60" s="732"/>
      <c r="I60" s="464"/>
      <c r="J60" s="452">
        <v>19932.0</v>
      </c>
      <c r="K60" s="521"/>
      <c r="L60" s="501">
        <f t="shared" si="12"/>
        <v>0</v>
      </c>
      <c r="M60" s="538">
        <v>4.0E-4</v>
      </c>
      <c r="N60" s="732"/>
      <c r="O60" s="464"/>
      <c r="P60" s="459"/>
      <c r="Q60" s="552"/>
      <c r="R60" s="501">
        <f t="shared" si="13"/>
        <v>0</v>
      </c>
      <c r="S60" s="538">
        <v>4.0E-4</v>
      </c>
      <c r="T60" s="732"/>
      <c r="U60" s="464"/>
    </row>
    <row r="61" ht="15.75" customHeight="1">
      <c r="A61" s="425"/>
      <c r="B61" s="468"/>
      <c r="C61" s="468" t="s">
        <v>199</v>
      </c>
      <c r="D61" s="992">
        <v>553.3333333333333</v>
      </c>
      <c r="E61" s="526"/>
      <c r="F61" s="527">
        <f t="shared" si="11"/>
        <v>0</v>
      </c>
      <c r="G61" s="545">
        <v>4.0E-4</v>
      </c>
      <c r="H61" s="984"/>
      <c r="I61" s="528"/>
      <c r="J61" s="470">
        <v>333.0</v>
      </c>
      <c r="K61" s="521"/>
      <c r="L61" s="501">
        <f t="shared" si="12"/>
        <v>0</v>
      </c>
      <c r="M61" s="538">
        <v>4.0E-4</v>
      </c>
      <c r="N61" s="732"/>
      <c r="O61" s="464"/>
      <c r="P61" s="472"/>
      <c r="Q61" s="552"/>
      <c r="R61" s="501">
        <f t="shared" si="13"/>
        <v>0</v>
      </c>
      <c r="S61" s="538">
        <v>4.0E-4</v>
      </c>
      <c r="T61" s="732"/>
      <c r="U61" s="464"/>
    </row>
    <row r="62" ht="15.75" customHeight="1">
      <c r="A62" s="425"/>
      <c r="B62" s="477"/>
      <c r="C62" s="474" t="s">
        <v>200</v>
      </c>
      <c r="D62" s="475">
        <f>SUM(D56:D61)</f>
        <v>277726.1333</v>
      </c>
      <c r="E62" s="442"/>
      <c r="F62" s="475">
        <f>SUM(F56:F61)</f>
        <v>0</v>
      </c>
      <c r="G62" s="581" t="str">
        <f>F62/F29</f>
        <v>#DIV/0!</v>
      </c>
      <c r="H62" s="997">
        <f>SUM(H56:H61)</f>
        <v>0</v>
      </c>
      <c r="I62" s="442"/>
      <c r="J62" s="475">
        <f>SUM(J56:J61)</f>
        <v>189879</v>
      </c>
      <c r="K62" s="1013"/>
      <c r="L62" s="744">
        <f>SUM(L56:L61)</f>
        <v>0</v>
      </c>
      <c r="M62" s="743" t="str">
        <f>L62/L29</f>
        <v>#DIV/0!</v>
      </c>
      <c r="N62" s="1014">
        <f>SUM(N56:N61)</f>
        <v>0</v>
      </c>
      <c r="O62" s="745"/>
      <c r="P62" s="475">
        <f>SUM(P56:P61)</f>
        <v>0</v>
      </c>
      <c r="Q62" s="1013"/>
      <c r="R62" s="744">
        <f>SUM(R56:R61)</f>
        <v>0</v>
      </c>
      <c r="S62" s="743" t="str">
        <f>R62/R29</f>
        <v>#DIV/0!</v>
      </c>
      <c r="T62" s="1014">
        <f>SUM(T56:T61)</f>
        <v>0</v>
      </c>
      <c r="U62" s="745"/>
    </row>
    <row r="63" ht="15.75" customHeight="1">
      <c r="A63" s="425"/>
      <c r="B63" s="450"/>
      <c r="C63" s="450"/>
      <c r="D63" s="500"/>
      <c r="E63" s="521"/>
      <c r="F63" s="501"/>
      <c r="G63" s="521"/>
      <c r="H63" s="732"/>
      <c r="I63" s="464"/>
      <c r="J63" s="452"/>
      <c r="K63" s="521"/>
      <c r="L63" s="501"/>
      <c r="M63" s="521"/>
      <c r="N63" s="732"/>
      <c r="O63" s="464"/>
      <c r="P63" s="459"/>
      <c r="Q63" s="552"/>
      <c r="R63" s="501"/>
      <c r="S63" s="521"/>
      <c r="T63" s="732"/>
      <c r="U63" s="464"/>
    </row>
    <row r="64" ht="15.75" customHeight="1">
      <c r="A64" s="425"/>
      <c r="B64" s="575" t="s">
        <v>204</v>
      </c>
      <c r="C64" s="576"/>
      <c r="D64" s="992"/>
      <c r="E64" s="526"/>
      <c r="F64" s="527"/>
      <c r="G64" s="526"/>
      <c r="H64" s="984"/>
      <c r="I64" s="528"/>
      <c r="J64" s="470"/>
      <c r="K64" s="526"/>
      <c r="L64" s="527"/>
      <c r="M64" s="526"/>
      <c r="N64" s="984"/>
      <c r="O64" s="528"/>
      <c r="P64" s="472"/>
      <c r="Q64" s="577"/>
      <c r="R64" s="527"/>
      <c r="S64" s="526"/>
      <c r="T64" s="984"/>
      <c r="U64" s="528"/>
    </row>
    <row r="65" ht="15.75" customHeight="1">
      <c r="A65" s="425"/>
      <c r="B65" s="477"/>
      <c r="C65" s="492" t="s">
        <v>205</v>
      </c>
      <c r="D65" s="993">
        <f>SUM(D66:D71)</f>
        <v>17063.98</v>
      </c>
      <c r="E65" s="555"/>
      <c r="F65" s="530">
        <f>SUM(F66:F72)</f>
        <v>35000</v>
      </c>
      <c r="G65" s="529" t="str">
        <f t="shared" ref="G65:G66" si="14">F65/F$29</f>
        <v>#DIV/0!</v>
      </c>
      <c r="H65" s="994">
        <f>SUM(H66:H69)</f>
        <v>0</v>
      </c>
      <c r="I65" s="556"/>
      <c r="J65" s="444">
        <f>SUM(J66:J71)</f>
        <v>35000</v>
      </c>
      <c r="K65" s="555"/>
      <c r="L65" s="530">
        <f>SUM(L66:L72)</f>
        <v>0</v>
      </c>
      <c r="M65" s="529" t="str">
        <f t="shared" ref="M65:M66" si="15">L65/L$29</f>
        <v>#DIV/0!</v>
      </c>
      <c r="N65" s="994">
        <f>SUM(N66:N69)</f>
        <v>0</v>
      </c>
      <c r="O65" s="556"/>
      <c r="P65" s="475">
        <f>SUM(P66:P71)</f>
        <v>0</v>
      </c>
      <c r="Q65" s="557"/>
      <c r="R65" s="530">
        <f>SUM(R66:R72)</f>
        <v>0</v>
      </c>
      <c r="S65" s="529" t="str">
        <f t="shared" ref="S65:S66" si="16">R65/R$29</f>
        <v>#DIV/0!</v>
      </c>
      <c r="T65" s="994">
        <f>SUM(T66:T69)</f>
        <v>0</v>
      </c>
      <c r="U65" s="556"/>
    </row>
    <row r="66" ht="15.75" customHeight="1">
      <c r="A66" s="425"/>
      <c r="B66" s="481"/>
      <c r="C66" s="481" t="s">
        <v>268</v>
      </c>
      <c r="D66" s="988">
        <v>17063.98</v>
      </c>
      <c r="E66" s="522"/>
      <c r="F66" s="523"/>
      <c r="G66" s="533" t="str">
        <f t="shared" si="14"/>
        <v>#DIV/0!</v>
      </c>
      <c r="H66" s="982"/>
      <c r="I66" s="524"/>
      <c r="J66" s="448"/>
      <c r="K66" s="522"/>
      <c r="L66" s="523"/>
      <c r="M66" s="533" t="str">
        <f t="shared" si="15"/>
        <v>#DIV/0!</v>
      </c>
      <c r="N66" s="982"/>
      <c r="O66" s="524"/>
      <c r="P66" s="506"/>
      <c r="Q66" s="574"/>
      <c r="R66" s="523"/>
      <c r="S66" s="533" t="str">
        <f t="shared" si="16"/>
        <v>#DIV/0!</v>
      </c>
      <c r="T66" s="982"/>
      <c r="U66" s="524"/>
    </row>
    <row r="67" ht="15.0" customHeight="1">
      <c r="B67" s="729"/>
      <c r="C67" s="1015" t="s">
        <v>335</v>
      </c>
      <c r="E67" s="932"/>
      <c r="F67" s="932">
        <v>35000.0</v>
      </c>
      <c r="G67" s="932"/>
      <c r="H67" s="932"/>
      <c r="I67" s="932"/>
      <c r="J67" s="448">
        <v>35000.0</v>
      </c>
      <c r="K67" s="932"/>
      <c r="L67" s="932"/>
      <c r="M67" s="932"/>
      <c r="N67" s="932"/>
      <c r="O67" s="932"/>
      <c r="P67" s="482"/>
      <c r="Q67" s="932"/>
      <c r="R67" s="932"/>
      <c r="S67" s="932"/>
      <c r="T67" s="932"/>
      <c r="U67" s="932"/>
    </row>
    <row r="68" ht="15.75" customHeight="1">
      <c r="A68" s="425"/>
      <c r="B68" s="450"/>
      <c r="C68" s="450" t="s">
        <v>212</v>
      </c>
      <c r="D68" s="500"/>
      <c r="E68" s="521"/>
      <c r="F68" s="501"/>
      <c r="G68" s="538" t="str">
        <f t="shared" ref="G68:G69" si="17">F68/F$29</f>
        <v>#DIV/0!</v>
      </c>
      <c r="H68" s="732"/>
      <c r="I68" s="464"/>
      <c r="J68" s="452"/>
      <c r="K68" s="521"/>
      <c r="L68" s="501"/>
      <c r="M68" s="538" t="str">
        <f t="shared" ref="M68:M69" si="18">L68/L$29</f>
        <v>#DIV/0!</v>
      </c>
      <c r="N68" s="732"/>
      <c r="O68" s="464"/>
      <c r="P68" s="459"/>
      <c r="Q68" s="552"/>
      <c r="R68" s="501"/>
      <c r="S68" s="538" t="str">
        <f t="shared" ref="S68:S69" si="19">R68/R$29</f>
        <v>#DIV/0!</v>
      </c>
      <c r="T68" s="732"/>
      <c r="U68" s="464"/>
    </row>
    <row r="69" ht="15.75" customHeight="1">
      <c r="A69" s="425"/>
      <c r="B69" s="450"/>
      <c r="C69" s="508" t="s">
        <v>213</v>
      </c>
      <c r="D69" s="500">
        <v>0.0</v>
      </c>
      <c r="E69" s="521"/>
      <c r="F69" s="501"/>
      <c r="G69" s="538" t="str">
        <f t="shared" si="17"/>
        <v>#DIV/0!</v>
      </c>
      <c r="H69" s="732"/>
      <c r="I69" s="464"/>
      <c r="J69" s="452">
        <v>0.0</v>
      </c>
      <c r="K69" s="521"/>
      <c r="L69" s="501"/>
      <c r="M69" s="538" t="str">
        <f t="shared" si="18"/>
        <v>#DIV/0!</v>
      </c>
      <c r="N69" s="732"/>
      <c r="O69" s="464"/>
      <c r="P69" s="459"/>
      <c r="Q69" s="552"/>
      <c r="R69" s="501"/>
      <c r="S69" s="538" t="str">
        <f t="shared" si="19"/>
        <v>#DIV/0!</v>
      </c>
      <c r="T69" s="732"/>
      <c r="U69" s="464"/>
    </row>
    <row r="70" ht="15.75" customHeight="1">
      <c r="A70" s="425"/>
      <c r="B70" s="450"/>
      <c r="C70" s="1016" t="s">
        <v>307</v>
      </c>
      <c r="D70" s="500"/>
      <c r="E70" s="521"/>
      <c r="F70" s="501"/>
      <c r="G70" s="538"/>
      <c r="H70" s="732"/>
      <c r="I70" s="464"/>
      <c r="J70" s="452"/>
      <c r="K70" s="521"/>
      <c r="L70" s="501"/>
      <c r="M70" s="538"/>
      <c r="N70" s="732"/>
      <c r="O70" s="464"/>
      <c r="P70" s="459"/>
      <c r="Q70" s="552"/>
      <c r="R70" s="501"/>
      <c r="S70" s="538"/>
      <c r="T70" s="732"/>
      <c r="U70" s="464"/>
    </row>
    <row r="71" ht="15.75" customHeight="1">
      <c r="A71" s="425"/>
      <c r="B71" s="450"/>
      <c r="C71" s="450" t="s">
        <v>285</v>
      </c>
      <c r="D71" s="500">
        <v>0.0</v>
      </c>
      <c r="E71" s="521"/>
      <c r="F71" s="501"/>
      <c r="G71" s="538" t="str">
        <f>F71/F$29</f>
        <v>#DIV/0!</v>
      </c>
      <c r="H71" s="732"/>
      <c r="I71" s="464"/>
      <c r="J71" s="452">
        <v>0.0</v>
      </c>
      <c r="K71" s="521"/>
      <c r="L71" s="501"/>
      <c r="M71" s="538" t="str">
        <f>L71/L$29</f>
        <v>#DIV/0!</v>
      </c>
      <c r="N71" s="732"/>
      <c r="O71" s="464"/>
      <c r="P71" s="459"/>
      <c r="Q71" s="552"/>
      <c r="R71" s="501"/>
      <c r="S71" s="538" t="str">
        <f>R71/R$29</f>
        <v>#DIV/0!</v>
      </c>
      <c r="T71" s="732"/>
      <c r="U71" s="464"/>
    </row>
    <row r="72" ht="15.75" customHeight="1">
      <c r="A72" s="425"/>
      <c r="B72" s="468"/>
      <c r="C72" s="578"/>
      <c r="D72" s="992"/>
      <c r="E72" s="526"/>
      <c r="F72" s="527"/>
      <c r="G72" s="526"/>
      <c r="H72" s="984"/>
      <c r="I72" s="528"/>
      <c r="J72" s="470"/>
      <c r="K72" s="526"/>
      <c r="L72" s="527"/>
      <c r="M72" s="526"/>
      <c r="N72" s="984"/>
      <c r="O72" s="528"/>
      <c r="P72" s="472"/>
      <c r="Q72" s="577"/>
      <c r="R72" s="527"/>
      <c r="S72" s="526"/>
      <c r="T72" s="984"/>
      <c r="U72" s="528"/>
    </row>
    <row r="73" ht="15.75" customHeight="1">
      <c r="A73" s="425"/>
      <c r="B73" s="477"/>
      <c r="C73" s="492" t="s">
        <v>35</v>
      </c>
      <c r="D73" s="993">
        <f>SUM(D74:D77)</f>
        <v>0</v>
      </c>
      <c r="E73" s="555"/>
      <c r="F73" s="530">
        <f>SUM(F74:F77)</f>
        <v>0</v>
      </c>
      <c r="G73" s="529" t="str">
        <f>F73/F29</f>
        <v>#DIV/0!</v>
      </c>
      <c r="H73" s="994">
        <f>SUM(H74:H77)</f>
        <v>0</v>
      </c>
      <c r="I73" s="556"/>
      <c r="J73" s="444">
        <f>SUM(J74:J77)</f>
        <v>0</v>
      </c>
      <c r="K73" s="1008"/>
      <c r="L73" s="1009">
        <f>SUM(L74:L77)</f>
        <v>0</v>
      </c>
      <c r="M73" s="1017" t="str">
        <f>L73/L29</f>
        <v>#DIV/0!</v>
      </c>
      <c r="N73" s="1010">
        <f>SUM(N74:N77)</f>
        <v>0</v>
      </c>
      <c r="O73" s="1011"/>
      <c r="P73" s="475">
        <f>SUM(P74:P77)</f>
        <v>0</v>
      </c>
      <c r="Q73" s="1012"/>
      <c r="R73" s="1009">
        <f>SUM(R74:R77)</f>
        <v>0</v>
      </c>
      <c r="S73" s="1017" t="str">
        <f>R73/R29</f>
        <v>#DIV/0!</v>
      </c>
      <c r="T73" s="1010">
        <f>SUM(T74:T77)</f>
        <v>0</v>
      </c>
      <c r="U73" s="1011"/>
    </row>
    <row r="74" ht="15.75" customHeight="1">
      <c r="A74" s="425"/>
      <c r="B74" s="481"/>
      <c r="C74" s="481" t="s">
        <v>215</v>
      </c>
      <c r="D74" s="988">
        <v>0.0</v>
      </c>
      <c r="E74" s="522"/>
      <c r="F74" s="523"/>
      <c r="G74" s="522"/>
      <c r="H74" s="982"/>
      <c r="I74" s="524"/>
      <c r="J74" s="448">
        <v>0.0</v>
      </c>
      <c r="K74" s="522"/>
      <c r="L74" s="523"/>
      <c r="M74" s="522"/>
      <c r="N74" s="982"/>
      <c r="O74" s="524"/>
      <c r="P74" s="482">
        <v>0.0</v>
      </c>
      <c r="Q74" s="574"/>
      <c r="R74" s="523"/>
      <c r="S74" s="522"/>
      <c r="T74" s="982"/>
      <c r="U74" s="524"/>
    </row>
    <row r="75" ht="15.75" customHeight="1">
      <c r="A75" s="425"/>
      <c r="B75" s="450"/>
      <c r="C75" s="450" t="s">
        <v>216</v>
      </c>
      <c r="D75" s="988">
        <v>0.0</v>
      </c>
      <c r="E75" s="521"/>
      <c r="F75" s="501"/>
      <c r="G75" s="521"/>
      <c r="H75" s="732"/>
      <c r="I75" s="464"/>
      <c r="J75" s="448">
        <v>0.0</v>
      </c>
      <c r="K75" s="521"/>
      <c r="L75" s="501"/>
      <c r="M75" s="521"/>
      <c r="N75" s="732"/>
      <c r="O75" s="464"/>
      <c r="P75" s="482">
        <v>0.0</v>
      </c>
      <c r="Q75" s="552"/>
      <c r="R75" s="501"/>
      <c r="S75" s="521"/>
      <c r="T75" s="732"/>
      <c r="U75" s="464"/>
    </row>
    <row r="76" ht="15.75" customHeight="1">
      <c r="A76" s="425"/>
      <c r="B76" s="450"/>
      <c r="C76" s="450" t="s">
        <v>272</v>
      </c>
      <c r="D76" s="988">
        <v>0.0</v>
      </c>
      <c r="E76" s="521"/>
      <c r="F76" s="501">
        <f>G76*F$17</f>
        <v>0</v>
      </c>
      <c r="G76" s="538">
        <f>15%</f>
        <v>0.15</v>
      </c>
      <c r="H76" s="732"/>
      <c r="I76" s="464"/>
      <c r="J76" s="448">
        <v>0.0</v>
      </c>
      <c r="K76" s="521"/>
      <c r="L76" s="501">
        <f>M76*L$17</f>
        <v>0</v>
      </c>
      <c r="M76" s="538">
        <f>15%</f>
        <v>0.15</v>
      </c>
      <c r="N76" s="732"/>
      <c r="O76" s="464"/>
      <c r="P76" s="482">
        <v>0.0</v>
      </c>
      <c r="Q76" s="552"/>
      <c r="R76" s="501">
        <f>S76*R$17</f>
        <v>0</v>
      </c>
      <c r="S76" s="538">
        <f>15%</f>
        <v>0.15</v>
      </c>
      <c r="T76" s="732"/>
      <c r="U76" s="464"/>
    </row>
    <row r="77" ht="15.75" customHeight="1">
      <c r="A77" s="425"/>
      <c r="B77" s="450"/>
      <c r="C77" s="450" t="s">
        <v>308</v>
      </c>
      <c r="D77" s="988">
        <v>0.0</v>
      </c>
      <c r="E77" s="521"/>
      <c r="F77" s="501"/>
      <c r="G77" s="521"/>
      <c r="H77" s="732"/>
      <c r="I77" s="464"/>
      <c r="J77" s="448">
        <v>0.0</v>
      </c>
      <c r="K77" s="521"/>
      <c r="L77" s="501"/>
      <c r="M77" s="521"/>
      <c r="N77" s="732"/>
      <c r="O77" s="464"/>
      <c r="P77" s="482">
        <v>0.0</v>
      </c>
      <c r="Q77" s="552"/>
      <c r="R77" s="501"/>
      <c r="S77" s="521"/>
      <c r="T77" s="732"/>
      <c r="U77" s="464"/>
    </row>
    <row r="78" ht="15.75" customHeight="1">
      <c r="A78" s="425"/>
      <c r="B78" s="450"/>
      <c r="C78" s="450"/>
      <c r="D78" s="500"/>
      <c r="E78" s="521"/>
      <c r="F78" s="501"/>
      <c r="G78" s="521"/>
      <c r="H78" s="732"/>
      <c r="I78" s="464"/>
      <c r="J78" s="452"/>
      <c r="K78" s="521"/>
      <c r="L78" s="501"/>
      <c r="M78" s="521"/>
      <c r="N78" s="732"/>
      <c r="O78" s="464"/>
      <c r="P78" s="459"/>
      <c r="Q78" s="552"/>
      <c r="R78" s="501"/>
      <c r="S78" s="521"/>
      <c r="T78" s="732"/>
      <c r="U78" s="464"/>
    </row>
    <row r="79" ht="15.75" customHeight="1">
      <c r="A79" s="425"/>
      <c r="B79" s="468"/>
      <c r="C79" s="468"/>
      <c r="D79" s="992"/>
      <c r="E79" s="526"/>
      <c r="F79" s="527"/>
      <c r="G79" s="526"/>
      <c r="H79" s="984"/>
      <c r="I79" s="528"/>
      <c r="J79" s="470"/>
      <c r="K79" s="526"/>
      <c r="L79" s="527"/>
      <c r="M79" s="526"/>
      <c r="N79" s="984"/>
      <c r="O79" s="528"/>
      <c r="P79" s="472"/>
      <c r="Q79" s="577"/>
      <c r="R79" s="527"/>
      <c r="S79" s="526"/>
      <c r="T79" s="984"/>
      <c r="U79" s="528"/>
    </row>
    <row r="80" ht="15.75" customHeight="1">
      <c r="A80" s="425"/>
      <c r="B80" s="474"/>
      <c r="C80" s="492" t="s">
        <v>36</v>
      </c>
      <c r="D80" s="993">
        <f>SUM(D81:D84)</f>
        <v>983479</v>
      </c>
      <c r="E80" s="555"/>
      <c r="F80" s="530">
        <f>SUM(F81:F84)</f>
        <v>2419</v>
      </c>
      <c r="G80" s="529" t="str">
        <f t="shared" ref="G80:G83" si="20">F80/F$29</f>
        <v>#DIV/0!</v>
      </c>
      <c r="H80" s="994">
        <f>SUM(H81:H84)</f>
        <v>2419</v>
      </c>
      <c r="I80" s="556"/>
      <c r="J80" s="444">
        <f>SUM(J81:J84)</f>
        <v>982279</v>
      </c>
      <c r="K80" s="555"/>
      <c r="L80" s="530">
        <f>SUM(L81:L84)</f>
        <v>0</v>
      </c>
      <c r="M80" s="529" t="str">
        <f t="shared" ref="M80:M84" si="21">L80/L$29</f>
        <v>#DIV/0!</v>
      </c>
      <c r="N80" s="994">
        <f>SUM(N81:N84)</f>
        <v>0</v>
      </c>
      <c r="O80" s="556"/>
      <c r="P80" s="475">
        <f>SUM(P81:P84)</f>
        <v>0</v>
      </c>
      <c r="Q80" s="557"/>
      <c r="R80" s="530">
        <f>SUM(R81:R84)</f>
        <v>0</v>
      </c>
      <c r="S80" s="529" t="str">
        <f t="shared" ref="S80:S84" si="22">R80/R$29</f>
        <v>#DIV/0!</v>
      </c>
      <c r="T80" s="994">
        <f>SUM(T81:T84)</f>
        <v>0</v>
      </c>
      <c r="U80" s="556"/>
    </row>
    <row r="81" ht="15.75" customHeight="1">
      <c r="A81" s="425"/>
      <c r="B81" s="481"/>
      <c r="C81" s="481" t="s">
        <v>336</v>
      </c>
      <c r="D81" s="988">
        <v>804300.0</v>
      </c>
      <c r="E81" s="522"/>
      <c r="F81" s="523"/>
      <c r="G81" s="533" t="str">
        <f t="shared" si="20"/>
        <v>#DIV/0!</v>
      </c>
      <c r="H81" s="982"/>
      <c r="I81" s="524"/>
      <c r="J81" s="448">
        <v>804300.0</v>
      </c>
      <c r="K81" s="522"/>
      <c r="L81" s="523"/>
      <c r="M81" s="533" t="str">
        <f t="shared" si="21"/>
        <v>#DIV/0!</v>
      </c>
      <c r="N81" s="982"/>
      <c r="O81" s="524"/>
      <c r="P81" s="482"/>
      <c r="Q81" s="574"/>
      <c r="R81" s="523"/>
      <c r="S81" s="533" t="str">
        <f t="shared" si="22"/>
        <v>#DIV/0!</v>
      </c>
      <c r="T81" s="982"/>
      <c r="U81" s="524"/>
    </row>
    <row r="82" ht="15.75" customHeight="1">
      <c r="A82" s="425"/>
      <c r="B82" s="450"/>
      <c r="C82" s="450" t="s">
        <v>221</v>
      </c>
      <c r="D82" s="500">
        <v>176760.0</v>
      </c>
      <c r="E82" s="521"/>
      <c r="F82" s="501"/>
      <c r="G82" s="538" t="str">
        <f t="shared" si="20"/>
        <v>#DIV/0!</v>
      </c>
      <c r="H82" s="732"/>
      <c r="I82" s="464"/>
      <c r="J82" s="452">
        <v>175560.0</v>
      </c>
      <c r="K82" s="521"/>
      <c r="L82" s="501"/>
      <c r="M82" s="538" t="str">
        <f t="shared" si="21"/>
        <v>#DIV/0!</v>
      </c>
      <c r="N82" s="732"/>
      <c r="O82" s="464"/>
      <c r="P82" s="459"/>
      <c r="Q82" s="552"/>
      <c r="R82" s="501"/>
      <c r="S82" s="538" t="str">
        <f t="shared" si="22"/>
        <v>#DIV/0!</v>
      </c>
      <c r="T82" s="732"/>
      <c r="U82" s="464"/>
    </row>
    <row r="83" ht="15.75" customHeight="1">
      <c r="A83" s="425"/>
      <c r="B83" s="450"/>
      <c r="C83" s="450" t="s">
        <v>222</v>
      </c>
      <c r="D83" s="500">
        <v>0.0</v>
      </c>
      <c r="E83" s="521"/>
      <c r="F83" s="501"/>
      <c r="G83" s="538" t="str">
        <f t="shared" si="20"/>
        <v>#DIV/0!</v>
      </c>
      <c r="H83" s="732"/>
      <c r="I83" s="464"/>
      <c r="J83" s="452">
        <v>0.0</v>
      </c>
      <c r="K83" s="521"/>
      <c r="L83" s="501"/>
      <c r="M83" s="538" t="str">
        <f t="shared" si="21"/>
        <v>#DIV/0!</v>
      </c>
      <c r="N83" s="732"/>
      <c r="O83" s="464"/>
      <c r="P83" s="459"/>
      <c r="Q83" s="552"/>
      <c r="R83" s="501"/>
      <c r="S83" s="538" t="str">
        <f t="shared" si="22"/>
        <v>#DIV/0!</v>
      </c>
      <c r="T83" s="732"/>
      <c r="U83" s="464"/>
    </row>
    <row r="84" ht="15.75" customHeight="1">
      <c r="A84" s="425"/>
      <c r="B84" s="450"/>
      <c r="C84" s="450" t="s">
        <v>223</v>
      </c>
      <c r="D84" s="500">
        <v>2419.0</v>
      </c>
      <c r="E84" s="500">
        <v>2419.0</v>
      </c>
      <c r="F84" s="500">
        <v>2419.0</v>
      </c>
      <c r="G84" s="500">
        <v>2419.0</v>
      </c>
      <c r="H84" s="500">
        <v>2419.0</v>
      </c>
      <c r="I84" s="496">
        <v>2419.0</v>
      </c>
      <c r="J84" s="452">
        <v>2419.0</v>
      </c>
      <c r="K84" s="521"/>
      <c r="L84" s="501"/>
      <c r="M84" s="538" t="str">
        <f t="shared" si="21"/>
        <v>#DIV/0!</v>
      </c>
      <c r="N84" s="732"/>
      <c r="O84" s="464"/>
      <c r="P84" s="459"/>
      <c r="Q84" s="552"/>
      <c r="R84" s="501"/>
      <c r="S84" s="538" t="str">
        <f t="shared" si="22"/>
        <v>#DIV/0!</v>
      </c>
      <c r="T84" s="732"/>
      <c r="U84" s="464"/>
    </row>
    <row r="85" ht="15.75" customHeight="1">
      <c r="A85" s="425"/>
      <c r="B85" s="468"/>
      <c r="C85" s="578"/>
      <c r="D85" s="992"/>
      <c r="E85" s="526"/>
      <c r="F85" s="527"/>
      <c r="G85" s="526"/>
      <c r="H85" s="984"/>
      <c r="I85" s="528"/>
      <c r="J85" s="470"/>
      <c r="K85" s="526"/>
      <c r="L85" s="527"/>
      <c r="M85" s="526"/>
      <c r="N85" s="984"/>
      <c r="O85" s="528"/>
      <c r="P85" s="472"/>
      <c r="Q85" s="577"/>
      <c r="R85" s="527"/>
      <c r="S85" s="526"/>
      <c r="T85" s="984"/>
      <c r="U85" s="528"/>
    </row>
    <row r="86" ht="15.75" customHeight="1">
      <c r="A86" s="425"/>
      <c r="B86" s="474"/>
      <c r="C86" s="492" t="s">
        <v>37</v>
      </c>
      <c r="D86" s="993">
        <f>SUM(D87:D94)</f>
        <v>3781770.5</v>
      </c>
      <c r="E86" s="555"/>
      <c r="F86" s="530">
        <f>SUM(F87:F94)</f>
        <v>0</v>
      </c>
      <c r="G86" s="529" t="str">
        <f>F86/F$29</f>
        <v>#DIV/0!</v>
      </c>
      <c r="H86" s="994">
        <f>SUM(H87:H94)</f>
        <v>0</v>
      </c>
      <c r="I86" s="556"/>
      <c r="J86" s="444">
        <f>SUM(J87:J94)</f>
        <v>3797461.05</v>
      </c>
      <c r="K86" s="555"/>
      <c r="L86" s="530">
        <f>SUM(L87:L94)</f>
        <v>0</v>
      </c>
      <c r="M86" s="529" t="str">
        <f>L86/L$29</f>
        <v>#DIV/0!</v>
      </c>
      <c r="N86" s="994">
        <f>SUM(N87:N94)</f>
        <v>0</v>
      </c>
      <c r="O86" s="556"/>
      <c r="P86" s="475">
        <f>SUM(P87:P94)</f>
        <v>0</v>
      </c>
      <c r="Q86" s="557"/>
      <c r="R86" s="530">
        <f>SUM(R87:R94)</f>
        <v>0</v>
      </c>
      <c r="S86" s="529" t="str">
        <f>R86/R$29</f>
        <v>#DIV/0!</v>
      </c>
      <c r="T86" s="994">
        <f>SUM(T87:T94)</f>
        <v>0</v>
      </c>
      <c r="U86" s="556"/>
    </row>
    <row r="87" ht="15.75" customHeight="1">
      <c r="A87" s="425"/>
      <c r="B87" s="481"/>
      <c r="C87" s="481" t="s">
        <v>224</v>
      </c>
      <c r="D87" s="988"/>
      <c r="E87" s="522"/>
      <c r="F87" s="523"/>
      <c r="G87" s="533" t="str">
        <f t="shared" ref="G87:G88" si="23">F87/$F$29</f>
        <v>#DIV/0!</v>
      </c>
      <c r="H87" s="982"/>
      <c r="I87" s="524"/>
      <c r="J87" s="452"/>
      <c r="K87" s="522"/>
      <c r="L87" s="523"/>
      <c r="M87" s="533" t="str">
        <f t="shared" ref="M87:M88" si="24">L87/$F$29</f>
        <v>#DIV/0!</v>
      </c>
      <c r="N87" s="982"/>
      <c r="O87" s="524"/>
      <c r="P87" s="459"/>
      <c r="Q87" s="574"/>
      <c r="R87" s="523"/>
      <c r="S87" s="533" t="str">
        <f t="shared" ref="S87:S88" si="25">R87/$F$29</f>
        <v>#DIV/0!</v>
      </c>
      <c r="T87" s="982"/>
      <c r="U87" s="524"/>
    </row>
    <row r="88" ht="15.75" customHeight="1">
      <c r="A88" s="425"/>
      <c r="B88" s="450"/>
      <c r="C88" s="450" t="s">
        <v>225</v>
      </c>
      <c r="D88" s="500">
        <v>2800450.5</v>
      </c>
      <c r="E88" s="521"/>
      <c r="F88" s="501"/>
      <c r="G88" s="538" t="str">
        <f t="shared" si="23"/>
        <v>#DIV/0!</v>
      </c>
      <c r="H88" s="732"/>
      <c r="I88" s="464"/>
      <c r="J88" s="452">
        <v>2798259.75</v>
      </c>
      <c r="K88" s="521"/>
      <c r="L88" s="501"/>
      <c r="M88" s="538" t="str">
        <f t="shared" si="24"/>
        <v>#DIV/0!</v>
      </c>
      <c r="N88" s="732"/>
      <c r="O88" s="464"/>
      <c r="P88" s="459"/>
      <c r="Q88" s="552"/>
      <c r="R88" s="501"/>
      <c r="S88" s="538" t="str">
        <f t="shared" si="25"/>
        <v>#DIV/0!</v>
      </c>
      <c r="T88" s="732"/>
      <c r="U88" s="464"/>
    </row>
    <row r="89" ht="15.75" customHeight="1">
      <c r="A89" s="425"/>
      <c r="B89" s="450"/>
      <c r="C89" s="450" t="s">
        <v>337</v>
      </c>
      <c r="D89" s="500">
        <v>663750.0</v>
      </c>
      <c r="E89" s="521"/>
      <c r="F89" s="501"/>
      <c r="G89" s="538"/>
      <c r="H89" s="732"/>
      <c r="I89" s="464"/>
      <c r="J89" s="452">
        <f>562500*1.18</f>
        <v>663750</v>
      </c>
      <c r="K89" s="521"/>
      <c r="L89" s="501"/>
      <c r="M89" s="538"/>
      <c r="N89" s="732"/>
      <c r="O89" s="464"/>
      <c r="P89" s="459"/>
      <c r="Q89" s="552"/>
      <c r="R89" s="501"/>
      <c r="S89" s="538"/>
      <c r="T89" s="732"/>
      <c r="U89" s="464"/>
    </row>
    <row r="90" ht="15.75" customHeight="1">
      <c r="A90" s="425"/>
      <c r="B90" s="450"/>
      <c r="C90" s="450" t="s">
        <v>338</v>
      </c>
      <c r="D90" s="500"/>
      <c r="E90" s="521"/>
      <c r="F90" s="501"/>
      <c r="G90" s="538" t="str">
        <f t="shared" ref="G90:G94" si="26">F90/$F$29</f>
        <v>#DIV/0!</v>
      </c>
      <c r="H90" s="732"/>
      <c r="I90" s="464"/>
      <c r="J90" s="452">
        <f>228280+9960</f>
        <v>238240</v>
      </c>
      <c r="K90" s="521"/>
      <c r="L90" s="501"/>
      <c r="M90" s="538" t="str">
        <f t="shared" ref="M90:M94" si="27">L90/$F$29</f>
        <v>#DIV/0!</v>
      </c>
      <c r="N90" s="732"/>
      <c r="O90" s="464"/>
      <c r="P90" s="459"/>
      <c r="Q90" s="552"/>
      <c r="R90" s="501"/>
      <c r="S90" s="538" t="str">
        <f t="shared" ref="S90:S94" si="28">R90/$F$29</f>
        <v>#DIV/0!</v>
      </c>
      <c r="T90" s="732"/>
      <c r="U90" s="464"/>
    </row>
    <row r="91" ht="15.75" customHeight="1">
      <c r="A91" s="425"/>
      <c r="B91" s="450"/>
      <c r="C91" s="450" t="s">
        <v>228</v>
      </c>
      <c r="D91" s="500">
        <v>234179.0</v>
      </c>
      <c r="E91" s="521"/>
      <c r="F91" s="501"/>
      <c r="G91" s="538" t="str">
        <f t="shared" si="26"/>
        <v>#DIV/0!</v>
      </c>
      <c r="H91" s="732"/>
      <c r="I91" s="464"/>
      <c r="J91" s="452">
        <v>5395.3</v>
      </c>
      <c r="K91" s="521"/>
      <c r="L91" s="501"/>
      <c r="M91" s="538" t="str">
        <f t="shared" si="27"/>
        <v>#DIV/0!</v>
      </c>
      <c r="N91" s="732"/>
      <c r="O91" s="464"/>
      <c r="P91" s="459"/>
      <c r="Q91" s="552"/>
      <c r="R91" s="501"/>
      <c r="S91" s="538" t="str">
        <f t="shared" si="28"/>
        <v>#DIV/0!</v>
      </c>
      <c r="T91" s="732"/>
      <c r="U91" s="464"/>
    </row>
    <row r="92" ht="15.75" customHeight="1">
      <c r="A92" s="425"/>
      <c r="B92" s="450"/>
      <c r="C92" s="450" t="s">
        <v>229</v>
      </c>
      <c r="D92" s="500">
        <v>40000.0</v>
      </c>
      <c r="E92" s="521"/>
      <c r="F92" s="501"/>
      <c r="G92" s="538" t="str">
        <f t="shared" si="26"/>
        <v>#DIV/0!</v>
      </c>
      <c r="H92" s="732"/>
      <c r="I92" s="464"/>
      <c r="J92" s="452">
        <v>40000.0</v>
      </c>
      <c r="K92" s="521"/>
      <c r="L92" s="501"/>
      <c r="M92" s="538" t="str">
        <f t="shared" si="27"/>
        <v>#DIV/0!</v>
      </c>
      <c r="N92" s="732"/>
      <c r="O92" s="464"/>
      <c r="P92" s="459"/>
      <c r="Q92" s="552"/>
      <c r="R92" s="501"/>
      <c r="S92" s="538" t="str">
        <f t="shared" si="28"/>
        <v>#DIV/0!</v>
      </c>
      <c r="T92" s="732"/>
      <c r="U92" s="464"/>
    </row>
    <row r="93" ht="15.75" customHeight="1">
      <c r="A93" s="425"/>
      <c r="B93" s="450"/>
      <c r="C93" s="450" t="s">
        <v>230</v>
      </c>
      <c r="D93" s="500">
        <v>35546.0</v>
      </c>
      <c r="E93" s="521"/>
      <c r="F93" s="501"/>
      <c r="G93" s="538" t="str">
        <f t="shared" si="26"/>
        <v>#DIV/0!</v>
      </c>
      <c r="H93" s="732"/>
      <c r="I93" s="464"/>
      <c r="J93" s="452">
        <v>51816.0</v>
      </c>
      <c r="K93" s="521"/>
      <c r="L93" s="501"/>
      <c r="M93" s="538" t="str">
        <f t="shared" si="27"/>
        <v>#DIV/0!</v>
      </c>
      <c r="N93" s="732"/>
      <c r="O93" s="464"/>
      <c r="P93" s="459"/>
      <c r="Q93" s="552"/>
      <c r="R93" s="501"/>
      <c r="S93" s="538" t="str">
        <f t="shared" si="28"/>
        <v>#DIV/0!</v>
      </c>
      <c r="T93" s="732"/>
      <c r="U93" s="464"/>
    </row>
    <row r="94" ht="15.75" customHeight="1">
      <c r="A94" s="425"/>
      <c r="B94" s="450"/>
      <c r="C94" s="450" t="s">
        <v>231</v>
      </c>
      <c r="D94" s="500">
        <v>7845.0</v>
      </c>
      <c r="E94" s="521"/>
      <c r="F94" s="501"/>
      <c r="G94" s="538" t="str">
        <f t="shared" si="26"/>
        <v>#DIV/0!</v>
      </c>
      <c r="H94" s="732"/>
      <c r="I94" s="464"/>
      <c r="J94" s="452">
        <v>0.0</v>
      </c>
      <c r="K94" s="521"/>
      <c r="L94" s="501"/>
      <c r="M94" s="538" t="str">
        <f t="shared" si="27"/>
        <v>#DIV/0!</v>
      </c>
      <c r="N94" s="732"/>
      <c r="O94" s="464"/>
      <c r="P94" s="459"/>
      <c r="Q94" s="552"/>
      <c r="R94" s="501"/>
      <c r="S94" s="538" t="str">
        <f t="shared" si="28"/>
        <v>#DIV/0!</v>
      </c>
      <c r="T94" s="732"/>
      <c r="U94" s="464"/>
    </row>
    <row r="95" ht="15.75" customHeight="1">
      <c r="A95" s="425"/>
      <c r="B95" s="450"/>
      <c r="C95" s="558" t="s">
        <v>232</v>
      </c>
      <c r="D95" s="500"/>
      <c r="E95" s="521"/>
      <c r="F95" s="501"/>
      <c r="G95" s="521"/>
      <c r="H95" s="732"/>
      <c r="I95" s="464"/>
      <c r="J95" s="452"/>
      <c r="K95" s="521"/>
      <c r="L95" s="501"/>
      <c r="M95" s="521"/>
      <c r="N95" s="732"/>
      <c r="O95" s="464"/>
      <c r="P95" s="459"/>
      <c r="Q95" s="552"/>
      <c r="R95" s="501"/>
      <c r="S95" s="521"/>
      <c r="T95" s="732"/>
      <c r="U95" s="464"/>
    </row>
    <row r="96" ht="15.75" customHeight="1">
      <c r="A96" s="425"/>
      <c r="B96" s="468"/>
      <c r="C96" s="578"/>
      <c r="D96" s="992"/>
      <c r="E96" s="526"/>
      <c r="F96" s="527"/>
      <c r="G96" s="526"/>
      <c r="H96" s="984"/>
      <c r="I96" s="528"/>
      <c r="J96" s="452"/>
      <c r="K96" s="526"/>
      <c r="L96" s="527"/>
      <c r="M96" s="526"/>
      <c r="N96" s="984"/>
      <c r="O96" s="528"/>
      <c r="P96" s="459"/>
      <c r="Q96" s="577"/>
      <c r="R96" s="527"/>
      <c r="S96" s="526"/>
      <c r="T96" s="984"/>
      <c r="U96" s="528"/>
    </row>
    <row r="97" ht="15.75" customHeight="1">
      <c r="A97" s="425"/>
      <c r="B97" s="477"/>
      <c r="C97" s="492" t="s">
        <v>38</v>
      </c>
      <c r="D97" s="993">
        <f>SUM(D98)</f>
        <v>34858.62</v>
      </c>
      <c r="E97" s="1008"/>
      <c r="F97" s="1009">
        <f>SUM(F98)</f>
        <v>0</v>
      </c>
      <c r="G97" s="1017" t="str">
        <f>F97/F$29</f>
        <v>#DIV/0!</v>
      </c>
      <c r="H97" s="1010" t="str">
        <f>SUM(#REF!)</f>
        <v>#REF!</v>
      </c>
      <c r="I97" s="1011"/>
      <c r="J97" s="444">
        <f>SUM(J98)</f>
        <v>2027</v>
      </c>
      <c r="K97" s="1008"/>
      <c r="L97" s="1009">
        <f>SUM(L98)</f>
        <v>0</v>
      </c>
      <c r="M97" s="1017" t="str">
        <f>L97/L$29</f>
        <v>#DIV/0!</v>
      </c>
      <c r="N97" s="1010" t="str">
        <f>SUM(#REF!)</f>
        <v>#REF!</v>
      </c>
      <c r="O97" s="1011"/>
      <c r="P97" s="475">
        <f>SUM(P98)</f>
        <v>0</v>
      </c>
      <c r="Q97" s="1012"/>
      <c r="R97" s="1009">
        <f>SUM(R98)</f>
        <v>0</v>
      </c>
      <c r="S97" s="1017" t="str">
        <f>R97/R$29</f>
        <v>#DIV/0!</v>
      </c>
      <c r="T97" s="1010" t="str">
        <f>SUM(#REF!)</f>
        <v>#REF!</v>
      </c>
      <c r="U97" s="1011"/>
    </row>
    <row r="98" ht="15.75" customHeight="1">
      <c r="A98" s="425"/>
      <c r="B98" s="481"/>
      <c r="C98" s="481" t="s">
        <v>339</v>
      </c>
      <c r="D98" s="988">
        <v>34858.62</v>
      </c>
      <c r="E98" s="522"/>
      <c r="F98" s="523"/>
      <c r="G98" s="533"/>
      <c r="H98" s="982"/>
      <c r="I98" s="524"/>
      <c r="J98" s="448">
        <v>2027.0</v>
      </c>
      <c r="K98" s="522"/>
      <c r="L98" s="523"/>
      <c r="M98" s="533"/>
      <c r="N98" s="982"/>
      <c r="O98" s="524"/>
      <c r="P98" s="482"/>
      <c r="Q98" s="574"/>
      <c r="R98" s="523"/>
      <c r="S98" s="533"/>
      <c r="T98" s="982"/>
      <c r="U98" s="524"/>
    </row>
    <row r="99" ht="15.75" customHeight="1">
      <c r="A99" s="425"/>
      <c r="B99" s="468"/>
      <c r="C99" s="468"/>
      <c r="D99" s="992"/>
      <c r="E99" s="526"/>
      <c r="F99" s="527"/>
      <c r="G99" s="526"/>
      <c r="H99" s="984"/>
      <c r="I99" s="528"/>
      <c r="J99" s="470"/>
      <c r="K99" s="526"/>
      <c r="L99" s="527"/>
      <c r="M99" s="526"/>
      <c r="N99" s="984"/>
      <c r="O99" s="528"/>
      <c r="P99" s="472"/>
      <c r="Q99" s="577"/>
      <c r="R99" s="527"/>
      <c r="S99" s="526"/>
      <c r="T99" s="984"/>
      <c r="U99" s="528"/>
    </row>
    <row r="100" ht="15.75" customHeight="1">
      <c r="A100" s="425"/>
      <c r="B100" s="477"/>
      <c r="C100" s="492" t="s">
        <v>238</v>
      </c>
      <c r="D100" s="993">
        <f>SUM(D101:D102)</f>
        <v>3146.666667</v>
      </c>
      <c r="E100" s="1008"/>
      <c r="F100" s="1009">
        <f>SUM(F101:F102)</f>
        <v>3146.666667</v>
      </c>
      <c r="G100" s="1017" t="str">
        <f>F100/F$29</f>
        <v>#DIV/0!</v>
      </c>
      <c r="H100" s="1010">
        <f>SUM(H101:H102)</f>
        <v>3146.666667</v>
      </c>
      <c r="I100" s="1011"/>
      <c r="J100" s="444">
        <f>SUM(J101:J102)</f>
        <v>3146.666667</v>
      </c>
      <c r="K100" s="1008"/>
      <c r="L100" s="1009">
        <f>SUM(L101:L102)</f>
        <v>0</v>
      </c>
      <c r="M100" s="1017" t="str">
        <f>L100/L$29</f>
        <v>#DIV/0!</v>
      </c>
      <c r="N100" s="1010">
        <f>SUM(N101:N102)</f>
        <v>0</v>
      </c>
      <c r="O100" s="1011"/>
      <c r="P100" s="475">
        <f>SUM(P101:P102)</f>
        <v>0</v>
      </c>
      <c r="Q100" s="1012"/>
      <c r="R100" s="1009">
        <f>SUM(R101:R102)</f>
        <v>0</v>
      </c>
      <c r="S100" s="1017" t="str">
        <f>R100/R$29</f>
        <v>#DIV/0!</v>
      </c>
      <c r="T100" s="1010">
        <f>SUM(T101:T102)</f>
        <v>0</v>
      </c>
      <c r="U100" s="1011"/>
    </row>
    <row r="101" ht="15.75" customHeight="1">
      <c r="A101" s="425"/>
      <c r="B101" s="481"/>
      <c r="C101" s="481" t="s">
        <v>239</v>
      </c>
      <c r="D101" s="988"/>
      <c r="E101" s="522"/>
      <c r="F101" s="523"/>
      <c r="G101" s="522"/>
      <c r="H101" s="982"/>
      <c r="I101" s="524"/>
      <c r="J101" s="448"/>
      <c r="K101" s="522"/>
      <c r="L101" s="523"/>
      <c r="M101" s="522"/>
      <c r="N101" s="982"/>
      <c r="O101" s="524"/>
      <c r="P101" s="482"/>
      <c r="Q101" s="574"/>
      <c r="R101" s="523"/>
      <c r="S101" s="522"/>
      <c r="T101" s="982"/>
      <c r="U101" s="524"/>
    </row>
    <row r="102" ht="15.75" customHeight="1">
      <c r="A102" s="425"/>
      <c r="B102" s="450"/>
      <c r="C102" s="450" t="s">
        <v>301</v>
      </c>
      <c r="D102" s="500">
        <v>3146.6666666666665</v>
      </c>
      <c r="E102" s="500">
        <v>3146.6666666666665</v>
      </c>
      <c r="F102" s="500">
        <v>3146.6666666666665</v>
      </c>
      <c r="G102" s="500">
        <v>3146.6666666666665</v>
      </c>
      <c r="H102" s="500">
        <v>3146.6666666666665</v>
      </c>
      <c r="I102" s="496">
        <v>3146.6666666666665</v>
      </c>
      <c r="J102" s="452">
        <v>3146.6666666666665</v>
      </c>
      <c r="K102" s="521"/>
      <c r="L102" s="501"/>
      <c r="M102" s="538" t="str">
        <f>L102/L$29</f>
        <v>#DIV/0!</v>
      </c>
      <c r="N102" s="732"/>
      <c r="O102" s="464"/>
      <c r="P102" s="459"/>
      <c r="Q102" s="552"/>
      <c r="R102" s="501"/>
      <c r="S102" s="538" t="str">
        <f>R102/R$29</f>
        <v>#DIV/0!</v>
      </c>
      <c r="T102" s="732"/>
      <c r="U102" s="464"/>
    </row>
    <row r="103" ht="15.75" customHeight="1">
      <c r="A103" s="425"/>
      <c r="B103" s="468"/>
      <c r="C103" s="468"/>
      <c r="D103" s="992"/>
      <c r="E103" s="526"/>
      <c r="F103" s="527"/>
      <c r="G103" s="526"/>
      <c r="H103" s="984"/>
      <c r="I103" s="528"/>
      <c r="J103" s="470"/>
      <c r="K103" s="526"/>
      <c r="L103" s="527"/>
      <c r="M103" s="526"/>
      <c r="N103" s="984"/>
      <c r="O103" s="528"/>
      <c r="P103" s="472"/>
      <c r="Q103" s="577"/>
      <c r="R103" s="527"/>
      <c r="S103" s="526"/>
      <c r="T103" s="984"/>
      <c r="U103" s="528"/>
    </row>
    <row r="104" ht="15.75" customHeight="1">
      <c r="A104" s="425"/>
      <c r="B104" s="474"/>
      <c r="C104" s="492" t="s">
        <v>40</v>
      </c>
      <c r="D104" s="993">
        <f>SUM(D105:D125)</f>
        <v>630713.3633</v>
      </c>
      <c r="E104" s="555"/>
      <c r="F104" s="530">
        <f>SUM(F105:F125)</f>
        <v>212632.0833</v>
      </c>
      <c r="G104" s="529" t="str">
        <f t="shared" ref="G104:G106" si="29">F104/F$29</f>
        <v>#DIV/0!</v>
      </c>
      <c r="H104" s="994">
        <f>SUM(H105:H125)</f>
        <v>212632.0833</v>
      </c>
      <c r="I104" s="556"/>
      <c r="J104" s="444">
        <f>SUM(J105:J125)</f>
        <v>363495.0833</v>
      </c>
      <c r="K104" s="555"/>
      <c r="L104" s="530">
        <f>SUM(L105:L125)</f>
        <v>0</v>
      </c>
      <c r="M104" s="529" t="str">
        <f t="shared" ref="M104:M110" si="30">L104/L$29</f>
        <v>#DIV/0!</v>
      </c>
      <c r="N104" s="994">
        <f>SUM(N105:N125)</f>
        <v>0</v>
      </c>
      <c r="O104" s="556"/>
      <c r="P104" s="475">
        <f>SUM(P105:P125)</f>
        <v>0</v>
      </c>
      <c r="Q104" s="557"/>
      <c r="R104" s="530">
        <f>SUM(R105:R125)</f>
        <v>0</v>
      </c>
      <c r="S104" s="529" t="str">
        <f t="shared" ref="S104:S110" si="31">R104/R$29</f>
        <v>#DIV/0!</v>
      </c>
      <c r="T104" s="994">
        <f>SUM(T105:T125)</f>
        <v>0</v>
      </c>
      <c r="U104" s="556"/>
    </row>
    <row r="105" ht="15.75" customHeight="1">
      <c r="A105" s="425"/>
      <c r="B105" s="481"/>
      <c r="C105" s="481" t="s">
        <v>241</v>
      </c>
      <c r="D105" s="988">
        <v>0.0</v>
      </c>
      <c r="E105" s="522"/>
      <c r="F105" s="523"/>
      <c r="G105" s="533" t="str">
        <f t="shared" si="29"/>
        <v>#DIV/0!</v>
      </c>
      <c r="H105" s="982"/>
      <c r="I105" s="524"/>
      <c r="J105" s="448">
        <v>0.0</v>
      </c>
      <c r="K105" s="522"/>
      <c r="L105" s="523"/>
      <c r="M105" s="533" t="str">
        <f t="shared" si="30"/>
        <v>#DIV/0!</v>
      </c>
      <c r="N105" s="982"/>
      <c r="O105" s="524"/>
      <c r="P105" s="482"/>
      <c r="Q105" s="574"/>
      <c r="R105" s="523"/>
      <c r="S105" s="533" t="str">
        <f t="shared" si="31"/>
        <v>#DIV/0!</v>
      </c>
      <c r="T105" s="982"/>
      <c r="U105" s="524"/>
    </row>
    <row r="106" ht="15.75" customHeight="1">
      <c r="A106" s="425"/>
      <c r="B106" s="450"/>
      <c r="C106" s="450" t="s">
        <v>242</v>
      </c>
      <c r="D106" s="500">
        <v>31088.0</v>
      </c>
      <c r="E106" s="521"/>
      <c r="F106" s="501"/>
      <c r="G106" s="538" t="str">
        <f t="shared" si="29"/>
        <v>#DIV/0!</v>
      </c>
      <c r="H106" s="732"/>
      <c r="I106" s="464"/>
      <c r="J106" s="452">
        <v>0.0</v>
      </c>
      <c r="K106" s="521"/>
      <c r="L106" s="501"/>
      <c r="M106" s="538" t="str">
        <f t="shared" si="30"/>
        <v>#DIV/0!</v>
      </c>
      <c r="N106" s="732"/>
      <c r="O106" s="464"/>
      <c r="P106" s="459"/>
      <c r="Q106" s="552"/>
      <c r="R106" s="501"/>
      <c r="S106" s="538" t="str">
        <f t="shared" si="31"/>
        <v>#DIV/0!</v>
      </c>
      <c r="T106" s="732"/>
      <c r="U106" s="464"/>
    </row>
    <row r="107" ht="15.75" customHeight="1">
      <c r="A107" s="425"/>
      <c r="B107" s="450"/>
      <c r="C107" s="450" t="s">
        <v>243</v>
      </c>
      <c r="D107" s="500">
        <v>132398.75</v>
      </c>
      <c r="E107" s="500">
        <v>132398.75</v>
      </c>
      <c r="F107" s="500">
        <v>132398.75</v>
      </c>
      <c r="G107" s="500">
        <v>132398.75</v>
      </c>
      <c r="H107" s="500">
        <v>132398.75</v>
      </c>
      <c r="I107" s="496">
        <v>132398.75</v>
      </c>
      <c r="J107" s="452">
        <v>132398.75</v>
      </c>
      <c r="K107" s="521"/>
      <c r="L107" s="501"/>
      <c r="M107" s="538" t="str">
        <f t="shared" si="30"/>
        <v>#DIV/0!</v>
      </c>
      <c r="N107" s="732"/>
      <c r="O107" s="464"/>
      <c r="P107" s="459"/>
      <c r="Q107" s="552"/>
      <c r="R107" s="501"/>
      <c r="S107" s="538" t="str">
        <f t="shared" si="31"/>
        <v>#DIV/0!</v>
      </c>
      <c r="T107" s="732"/>
      <c r="U107" s="464"/>
    </row>
    <row r="108" ht="15.75" customHeight="1">
      <c r="A108" s="425"/>
      <c r="B108" s="450"/>
      <c r="C108" s="450" t="s">
        <v>244</v>
      </c>
      <c r="D108" s="500">
        <v>35000.0</v>
      </c>
      <c r="E108" s="500">
        <v>35000.0</v>
      </c>
      <c r="F108" s="500">
        <v>35000.0</v>
      </c>
      <c r="G108" s="500">
        <v>35000.0</v>
      </c>
      <c r="H108" s="500">
        <v>35000.0</v>
      </c>
      <c r="I108" s="496">
        <v>35000.0</v>
      </c>
      <c r="J108" s="452">
        <v>35000.0</v>
      </c>
      <c r="K108" s="521"/>
      <c r="L108" s="501"/>
      <c r="M108" s="538" t="str">
        <f t="shared" si="30"/>
        <v>#DIV/0!</v>
      </c>
      <c r="N108" s="732"/>
      <c r="O108" s="464"/>
      <c r="P108" s="459"/>
      <c r="Q108" s="552"/>
      <c r="R108" s="501"/>
      <c r="S108" s="538" t="str">
        <f t="shared" si="31"/>
        <v>#DIV/0!</v>
      </c>
      <c r="T108" s="732"/>
      <c r="U108" s="464"/>
    </row>
    <row r="109" ht="15.75" customHeight="1">
      <c r="A109" s="425"/>
      <c r="B109" s="450"/>
      <c r="C109" s="450" t="s">
        <v>290</v>
      </c>
      <c r="D109" s="500">
        <v>0.0</v>
      </c>
      <c r="E109" s="521"/>
      <c r="F109" s="501"/>
      <c r="G109" s="538" t="str">
        <f t="shared" ref="G109:G110" si="32">F109/F$29</f>
        <v>#DIV/0!</v>
      </c>
      <c r="H109" s="732"/>
      <c r="I109" s="464"/>
      <c r="J109" s="452">
        <v>0.0</v>
      </c>
      <c r="K109" s="521"/>
      <c r="L109" s="501"/>
      <c r="M109" s="538" t="str">
        <f t="shared" si="30"/>
        <v>#DIV/0!</v>
      </c>
      <c r="N109" s="732"/>
      <c r="O109" s="464"/>
      <c r="P109" s="459"/>
      <c r="Q109" s="552"/>
      <c r="R109" s="501"/>
      <c r="S109" s="538" t="str">
        <f t="shared" si="31"/>
        <v>#DIV/0!</v>
      </c>
      <c r="T109" s="732"/>
      <c r="U109" s="464"/>
    </row>
    <row r="110" ht="15.75" customHeight="1">
      <c r="A110" s="425"/>
      <c r="B110" s="450"/>
      <c r="C110" s="450" t="s">
        <v>247</v>
      </c>
      <c r="D110" s="500">
        <v>155466.0</v>
      </c>
      <c r="E110" s="521"/>
      <c r="F110" s="501"/>
      <c r="G110" s="538" t="str">
        <f t="shared" si="32"/>
        <v>#DIV/0!</v>
      </c>
      <c r="H110" s="732"/>
      <c r="I110" s="464"/>
      <c r="J110" s="452">
        <v>39121.0</v>
      </c>
      <c r="K110" s="521"/>
      <c r="L110" s="501"/>
      <c r="M110" s="538" t="str">
        <f t="shared" si="30"/>
        <v>#DIV/0!</v>
      </c>
      <c r="N110" s="732"/>
      <c r="O110" s="464"/>
      <c r="P110" s="459"/>
      <c r="Q110" s="552"/>
      <c r="R110" s="501"/>
      <c r="S110" s="538" t="str">
        <f t="shared" si="31"/>
        <v>#DIV/0!</v>
      </c>
      <c r="T110" s="732"/>
      <c r="U110" s="464"/>
    </row>
    <row r="111" ht="15.75" customHeight="1">
      <c r="A111" s="425"/>
      <c r="B111" s="450"/>
      <c r="C111" s="450" t="s">
        <v>246</v>
      </c>
      <c r="D111" s="500">
        <v>45233.333333333336</v>
      </c>
      <c r="E111" s="500">
        <v>45233.333333333336</v>
      </c>
      <c r="F111" s="500">
        <v>45233.333333333336</v>
      </c>
      <c r="G111" s="500">
        <v>45233.333333333336</v>
      </c>
      <c r="H111" s="500">
        <v>45233.333333333336</v>
      </c>
      <c r="I111" s="496">
        <v>45233.333333333336</v>
      </c>
      <c r="J111" s="452">
        <v>45233.333333333336</v>
      </c>
      <c r="K111" s="521"/>
      <c r="L111" s="501"/>
      <c r="M111" s="538"/>
      <c r="N111" s="732"/>
      <c r="O111" s="464"/>
      <c r="P111" s="459"/>
      <c r="Q111" s="552"/>
      <c r="R111" s="501"/>
      <c r="S111" s="538"/>
      <c r="T111" s="732"/>
      <c r="U111" s="464"/>
    </row>
    <row r="112" ht="15.75" customHeight="1">
      <c r="A112" s="425"/>
      <c r="B112" s="450"/>
      <c r="C112" s="450" t="s">
        <v>249</v>
      </c>
      <c r="D112" s="500">
        <v>0.0</v>
      </c>
      <c r="E112" s="521"/>
      <c r="F112" s="501"/>
      <c r="G112" s="538" t="str">
        <f>F112/F$29</f>
        <v>#DIV/0!</v>
      </c>
      <c r="H112" s="732"/>
      <c r="I112" s="464"/>
      <c r="J112" s="452">
        <v>3336.0</v>
      </c>
      <c r="K112" s="521"/>
      <c r="L112" s="501"/>
      <c r="M112" s="538" t="str">
        <f>L112/L$29</f>
        <v>#DIV/0!</v>
      </c>
      <c r="N112" s="732"/>
      <c r="O112" s="464"/>
      <c r="P112" s="459"/>
      <c r="Q112" s="552"/>
      <c r="R112" s="501"/>
      <c r="S112" s="538" t="str">
        <f>R112/R$29</f>
        <v>#DIV/0!</v>
      </c>
      <c r="T112" s="732"/>
      <c r="U112" s="464"/>
    </row>
    <row r="113" ht="15.75" customHeight="1">
      <c r="A113" s="425"/>
      <c r="B113" s="450"/>
      <c r="C113" s="450"/>
      <c r="D113" s="500"/>
      <c r="E113" s="521"/>
      <c r="F113" s="501"/>
      <c r="G113" s="538"/>
      <c r="H113" s="732"/>
      <c r="I113" s="464"/>
      <c r="J113" s="452"/>
      <c r="K113" s="521"/>
      <c r="L113" s="501"/>
      <c r="M113" s="538"/>
      <c r="N113" s="732"/>
      <c r="O113" s="464"/>
      <c r="P113" s="459"/>
      <c r="Q113" s="552"/>
      <c r="R113" s="501"/>
      <c r="S113" s="538"/>
      <c r="T113" s="732"/>
      <c r="U113" s="464"/>
    </row>
    <row r="114" ht="15.75" customHeight="1">
      <c r="A114" s="425"/>
      <c r="B114" s="450"/>
      <c r="C114" s="450" t="s">
        <v>250</v>
      </c>
      <c r="D114" s="500">
        <v>38290.0</v>
      </c>
      <c r="E114" s="521"/>
      <c r="F114" s="501"/>
      <c r="G114" s="538" t="str">
        <f>F114/F$29</f>
        <v>#DIV/0!</v>
      </c>
      <c r="H114" s="732"/>
      <c r="I114" s="464"/>
      <c r="J114" s="452">
        <v>45321.0</v>
      </c>
      <c r="K114" s="521"/>
      <c r="L114" s="501"/>
      <c r="M114" s="538" t="str">
        <f>L114/L$29</f>
        <v>#DIV/0!</v>
      </c>
      <c r="N114" s="732"/>
      <c r="O114" s="464"/>
      <c r="P114" s="459"/>
      <c r="Q114" s="552"/>
      <c r="R114" s="501"/>
      <c r="S114" s="538" t="str">
        <f>R114/R$29</f>
        <v>#DIV/0!</v>
      </c>
      <c r="T114" s="732"/>
      <c r="U114" s="464"/>
    </row>
    <row r="115" ht="15.75" customHeight="1">
      <c r="A115" s="425"/>
      <c r="B115" s="450"/>
      <c r="C115" s="450"/>
      <c r="D115" s="500"/>
      <c r="E115" s="521"/>
      <c r="F115" s="501"/>
      <c r="G115" s="538"/>
      <c r="H115" s="732"/>
      <c r="I115" s="464"/>
      <c r="J115" s="452"/>
      <c r="K115" s="521"/>
      <c r="L115" s="501"/>
      <c r="M115" s="538"/>
      <c r="N115" s="732"/>
      <c r="O115" s="464"/>
      <c r="P115" s="459"/>
      <c r="Q115" s="552"/>
      <c r="R115" s="501"/>
      <c r="S115" s="538"/>
      <c r="T115" s="732"/>
      <c r="U115" s="464"/>
    </row>
    <row r="116" ht="15.75" customHeight="1">
      <c r="A116" s="425"/>
      <c r="B116" s="450"/>
      <c r="C116" s="450" t="s">
        <v>251</v>
      </c>
      <c r="D116" s="500">
        <v>193237.28</v>
      </c>
      <c r="E116" s="521"/>
      <c r="F116" s="501"/>
      <c r="G116" s="538" t="str">
        <f>F116/F$29</f>
        <v>#DIV/0!</v>
      </c>
      <c r="H116" s="732"/>
      <c r="I116" s="464"/>
      <c r="J116" s="452">
        <v>63085.0</v>
      </c>
      <c r="K116" s="521"/>
      <c r="L116" s="501"/>
      <c r="M116" s="538" t="str">
        <f>L116/L$29</f>
        <v>#DIV/0!</v>
      </c>
      <c r="N116" s="732"/>
      <c r="O116" s="464"/>
      <c r="P116" s="459"/>
      <c r="Q116" s="552"/>
      <c r="R116" s="501"/>
      <c r="S116" s="538" t="str">
        <f>R116/R$29</f>
        <v>#DIV/0!</v>
      </c>
      <c r="T116" s="732"/>
      <c r="U116" s="464"/>
    </row>
    <row r="117" ht="15.75" customHeight="1">
      <c r="A117" s="425"/>
      <c r="B117" s="450"/>
      <c r="C117" s="450"/>
      <c r="D117" s="500"/>
      <c r="E117" s="521"/>
      <c r="F117" s="501"/>
      <c r="G117" s="538"/>
      <c r="H117" s="732"/>
      <c r="I117" s="464"/>
      <c r="J117" s="452"/>
      <c r="K117" s="521"/>
      <c r="L117" s="501"/>
      <c r="M117" s="538"/>
      <c r="N117" s="732"/>
      <c r="O117" s="464"/>
      <c r="P117" s="459"/>
      <c r="Q117" s="552"/>
      <c r="R117" s="501"/>
      <c r="S117" s="538"/>
      <c r="T117" s="732"/>
      <c r="U117" s="464"/>
    </row>
    <row r="118" ht="15.75" customHeight="1">
      <c r="A118" s="425"/>
      <c r="B118" s="450"/>
      <c r="C118" s="450" t="s">
        <v>252</v>
      </c>
      <c r="D118" s="500">
        <v>0.0</v>
      </c>
      <c r="E118" s="521"/>
      <c r="F118" s="501"/>
      <c r="G118" s="538" t="str">
        <f>F118/F$29</f>
        <v>#DIV/0!</v>
      </c>
      <c r="H118" s="732"/>
      <c r="I118" s="464"/>
      <c r="J118" s="452">
        <v>0.0</v>
      </c>
      <c r="K118" s="521"/>
      <c r="L118" s="501"/>
      <c r="M118" s="538" t="str">
        <f>L118/L$29</f>
        <v>#DIV/0!</v>
      </c>
      <c r="N118" s="732"/>
      <c r="O118" s="464"/>
      <c r="P118" s="459"/>
      <c r="Q118" s="552"/>
      <c r="R118" s="501"/>
      <c r="S118" s="538" t="str">
        <f>R118/R$29</f>
        <v>#DIV/0!</v>
      </c>
      <c r="T118" s="732"/>
      <c r="U118" s="464"/>
    </row>
    <row r="119" ht="15.75" customHeight="1">
      <c r="A119" s="425"/>
      <c r="B119" s="450"/>
      <c r="C119" s="450"/>
      <c r="D119" s="500"/>
      <c r="E119" s="521"/>
      <c r="F119" s="501"/>
      <c r="G119" s="538"/>
      <c r="H119" s="732"/>
      <c r="I119" s="464"/>
      <c r="J119" s="452"/>
      <c r="K119" s="521"/>
      <c r="L119" s="501"/>
      <c r="M119" s="538"/>
      <c r="N119" s="732"/>
      <c r="O119" s="464"/>
      <c r="P119" s="459"/>
      <c r="Q119" s="552"/>
      <c r="R119" s="501"/>
      <c r="S119" s="538"/>
      <c r="T119" s="732"/>
      <c r="U119" s="464"/>
    </row>
    <row r="120" ht="15.75" customHeight="1">
      <c r="A120" s="425"/>
      <c r="B120" s="450"/>
      <c r="C120" s="450" t="s">
        <v>303</v>
      </c>
      <c r="D120" s="500">
        <v>0.0</v>
      </c>
      <c r="E120" s="521"/>
      <c r="F120" s="501"/>
      <c r="G120" s="538" t="str">
        <f>F120/F$29</f>
        <v>#DIV/0!</v>
      </c>
      <c r="H120" s="732"/>
      <c r="I120" s="464"/>
      <c r="J120" s="452">
        <v>0.0</v>
      </c>
      <c r="K120" s="521"/>
      <c r="L120" s="501"/>
      <c r="M120" s="538" t="str">
        <f>L120/L$29</f>
        <v>#DIV/0!</v>
      </c>
      <c r="N120" s="732"/>
      <c r="O120" s="464"/>
      <c r="P120" s="459"/>
      <c r="Q120" s="552"/>
      <c r="R120" s="501"/>
      <c r="S120" s="538" t="str">
        <f>R120/R$29</f>
        <v>#DIV/0!</v>
      </c>
      <c r="T120" s="732"/>
      <c r="U120" s="464"/>
    </row>
    <row r="121" ht="15.75" customHeight="1">
      <c r="A121" s="425"/>
      <c r="B121" s="450"/>
      <c r="C121" s="450"/>
      <c r="D121" s="500"/>
      <c r="E121" s="521"/>
      <c r="F121" s="501"/>
      <c r="G121" s="538"/>
      <c r="H121" s="732"/>
      <c r="I121" s="464"/>
      <c r="J121" s="452"/>
      <c r="K121" s="521"/>
      <c r="L121" s="501"/>
      <c r="M121" s="538"/>
      <c r="N121" s="732"/>
      <c r="O121" s="464"/>
      <c r="P121" s="459"/>
      <c r="Q121" s="552"/>
      <c r="R121" s="501"/>
      <c r="S121" s="538"/>
      <c r="T121" s="732"/>
      <c r="U121" s="464"/>
    </row>
    <row r="122" ht="15.75" customHeight="1">
      <c r="A122" s="425"/>
      <c r="B122" s="450"/>
      <c r="C122" s="450" t="s">
        <v>340</v>
      </c>
      <c r="D122" s="500">
        <v>0.0</v>
      </c>
      <c r="E122" s="521"/>
      <c r="F122" s="501"/>
      <c r="G122" s="538"/>
      <c r="H122" s="732"/>
      <c r="I122" s="464"/>
      <c r="J122" s="452">
        <v>0.0</v>
      </c>
      <c r="K122" s="521"/>
      <c r="L122" s="501"/>
      <c r="M122" s="538"/>
      <c r="N122" s="732"/>
      <c r="O122" s="464"/>
      <c r="P122" s="459"/>
      <c r="Q122" s="552"/>
      <c r="R122" s="501"/>
      <c r="S122" s="538"/>
      <c r="T122" s="732"/>
      <c r="U122" s="464"/>
    </row>
    <row r="123" ht="15.75" customHeight="1">
      <c r="A123" s="425"/>
      <c r="B123" s="450"/>
      <c r="C123" s="450"/>
      <c r="D123" s="500"/>
      <c r="E123" s="521"/>
      <c r="F123" s="501"/>
      <c r="G123" s="538"/>
      <c r="H123" s="732"/>
      <c r="I123" s="464"/>
      <c r="J123" s="452"/>
      <c r="K123" s="521"/>
      <c r="L123" s="501"/>
      <c r="M123" s="538"/>
      <c r="N123" s="732"/>
      <c r="O123" s="464"/>
      <c r="P123" s="459"/>
      <c r="Q123" s="552"/>
      <c r="R123" s="501"/>
      <c r="S123" s="538"/>
      <c r="T123" s="732"/>
      <c r="U123" s="464"/>
    </row>
    <row r="124" ht="15.75" customHeight="1">
      <c r="A124" s="425"/>
      <c r="B124" s="450"/>
      <c r="C124" s="450" t="s">
        <v>291</v>
      </c>
      <c r="D124" s="500"/>
      <c r="E124" s="521"/>
      <c r="F124" s="501"/>
      <c r="G124" s="538"/>
      <c r="H124" s="732"/>
      <c r="I124" s="464"/>
      <c r="J124" s="452"/>
      <c r="K124" s="521"/>
      <c r="L124" s="501"/>
      <c r="M124" s="538"/>
      <c r="N124" s="732"/>
      <c r="O124" s="464"/>
      <c r="P124" s="459"/>
      <c r="Q124" s="552"/>
      <c r="R124" s="501"/>
      <c r="S124" s="538"/>
      <c r="T124" s="732"/>
      <c r="U124" s="464"/>
    </row>
    <row r="125" ht="15.75" customHeight="1">
      <c r="A125" s="425"/>
      <c r="B125" s="450"/>
      <c r="C125" s="450"/>
      <c r="D125" s="500"/>
      <c r="E125" s="521"/>
      <c r="F125" s="501"/>
      <c r="G125" s="538"/>
      <c r="H125" s="732"/>
      <c r="I125" s="464"/>
      <c r="J125" s="452"/>
      <c r="K125" s="521"/>
      <c r="L125" s="501"/>
      <c r="M125" s="538"/>
      <c r="N125" s="732"/>
      <c r="O125" s="464"/>
      <c r="P125" s="459"/>
      <c r="Q125" s="552"/>
      <c r="R125" s="501"/>
      <c r="S125" s="538"/>
      <c r="T125" s="732"/>
      <c r="U125" s="464"/>
    </row>
    <row r="126" ht="15.75" customHeight="1">
      <c r="A126" s="425"/>
      <c r="B126" s="468"/>
      <c r="C126" s="645"/>
      <c r="D126" s="992"/>
      <c r="E126" s="526"/>
      <c r="F126" s="527"/>
      <c r="G126" s="526"/>
      <c r="H126" s="984"/>
      <c r="I126" s="528"/>
      <c r="J126" s="470"/>
      <c r="K126" s="526"/>
      <c r="L126" s="527"/>
      <c r="M126" s="526"/>
      <c r="N126" s="984"/>
      <c r="O126" s="528"/>
      <c r="P126" s="472"/>
      <c r="Q126" s="577"/>
      <c r="R126" s="527"/>
      <c r="S126" s="526"/>
      <c r="T126" s="984"/>
      <c r="U126" s="528"/>
    </row>
    <row r="127" ht="15.75" customHeight="1">
      <c r="A127" s="425"/>
      <c r="B127" s="477"/>
      <c r="C127" s="492" t="s">
        <v>41</v>
      </c>
      <c r="D127" s="993">
        <f>SUM(D128:D129)</f>
        <v>8260</v>
      </c>
      <c r="E127" s="555"/>
      <c r="F127" s="530">
        <f>SUM(F128:F129)</f>
        <v>8260</v>
      </c>
      <c r="G127" s="555"/>
      <c r="H127" s="994">
        <f>SUM(H128:H129)</f>
        <v>8260</v>
      </c>
      <c r="I127" s="556"/>
      <c r="J127" s="444">
        <f>SUM(J128:J129)</f>
        <v>8260</v>
      </c>
      <c r="K127" s="555"/>
      <c r="L127" s="530">
        <f>SUM(L128:L129)</f>
        <v>0</v>
      </c>
      <c r="M127" s="555"/>
      <c r="N127" s="994">
        <f>SUM(N128:N129)</f>
        <v>0</v>
      </c>
      <c r="O127" s="556"/>
      <c r="P127" s="475">
        <f>SUM(P128:P129)</f>
        <v>0</v>
      </c>
      <c r="Q127" s="557"/>
      <c r="R127" s="530">
        <f>SUM(R128:R129)</f>
        <v>0</v>
      </c>
      <c r="S127" s="555"/>
      <c r="T127" s="994">
        <f>SUM(T128:T129)</f>
        <v>0</v>
      </c>
      <c r="U127" s="556"/>
    </row>
    <row r="128" ht="15.75" customHeight="1">
      <c r="A128" s="425"/>
      <c r="B128" s="481"/>
      <c r="C128" s="481" t="s">
        <v>341</v>
      </c>
      <c r="D128" s="988"/>
      <c r="E128" s="522"/>
      <c r="F128" s="523"/>
      <c r="G128" s="533" t="str">
        <f>F128/F$29</f>
        <v>#DIV/0!</v>
      </c>
      <c r="H128" s="982"/>
      <c r="I128" s="524"/>
      <c r="J128" s="448"/>
      <c r="K128" s="522"/>
      <c r="L128" s="523"/>
      <c r="M128" s="533" t="str">
        <f t="shared" ref="M128:M129" si="33">L128/L$29</f>
        <v>#DIV/0!</v>
      </c>
      <c r="N128" s="982"/>
      <c r="O128" s="524"/>
      <c r="P128" s="482"/>
      <c r="Q128" s="574"/>
      <c r="R128" s="523"/>
      <c r="S128" s="533" t="str">
        <f t="shared" ref="S128:S129" si="34">R128/R$29</f>
        <v>#DIV/0!</v>
      </c>
      <c r="T128" s="982"/>
      <c r="U128" s="524"/>
    </row>
    <row r="129" ht="15.75" customHeight="1">
      <c r="A129" s="425"/>
      <c r="B129" s="450"/>
      <c r="C129" s="450" t="s">
        <v>41</v>
      </c>
      <c r="D129" s="500">
        <v>8260.0</v>
      </c>
      <c r="E129" s="500">
        <v>8260.0</v>
      </c>
      <c r="F129" s="500">
        <v>8260.0</v>
      </c>
      <c r="G129" s="500">
        <v>8260.0</v>
      </c>
      <c r="H129" s="500">
        <v>8260.0</v>
      </c>
      <c r="I129" s="496">
        <v>8260.0</v>
      </c>
      <c r="J129" s="452">
        <v>8260.0</v>
      </c>
      <c r="K129" s="521"/>
      <c r="L129" s="501"/>
      <c r="M129" s="538" t="str">
        <f t="shared" si="33"/>
        <v>#DIV/0!</v>
      </c>
      <c r="N129" s="732"/>
      <c r="O129" s="464"/>
      <c r="P129" s="459"/>
      <c r="Q129" s="552"/>
      <c r="R129" s="501"/>
      <c r="S129" s="538" t="str">
        <f t="shared" si="34"/>
        <v>#DIV/0!</v>
      </c>
      <c r="T129" s="732"/>
      <c r="U129" s="464"/>
    </row>
    <row r="130" ht="15.75" customHeight="1">
      <c r="A130" s="425"/>
      <c r="B130" s="468"/>
      <c r="C130" s="468"/>
      <c r="D130" s="992"/>
      <c r="E130" s="526"/>
      <c r="F130" s="527"/>
      <c r="G130" s="526"/>
      <c r="H130" s="984"/>
      <c r="I130" s="528"/>
      <c r="J130" s="470"/>
      <c r="K130" s="526"/>
      <c r="L130" s="527"/>
      <c r="M130" s="526"/>
      <c r="N130" s="984"/>
      <c r="O130" s="528"/>
      <c r="P130" s="472"/>
      <c r="Q130" s="577"/>
      <c r="R130" s="527"/>
      <c r="S130" s="526"/>
      <c r="T130" s="984"/>
      <c r="U130" s="528"/>
    </row>
    <row r="131" ht="15.75" customHeight="1">
      <c r="A131" s="425"/>
      <c r="B131" s="474"/>
      <c r="C131" s="492" t="s">
        <v>42</v>
      </c>
      <c r="D131" s="993">
        <f>SUM(D132:D133)</f>
        <v>0</v>
      </c>
      <c r="E131" s="555"/>
      <c r="F131" s="530">
        <f>SUM(F132:F133)</f>
        <v>0</v>
      </c>
      <c r="G131" s="529" t="str">
        <f>F131/F$29</f>
        <v>#DIV/0!</v>
      </c>
      <c r="H131" s="994">
        <f>SUM(H132:H133)</f>
        <v>0</v>
      </c>
      <c r="I131" s="556"/>
      <c r="J131" s="444">
        <f>SUM(J132:J133)</f>
        <v>0</v>
      </c>
      <c r="K131" s="555"/>
      <c r="L131" s="530">
        <f>SUM(L132:L133)</f>
        <v>0</v>
      </c>
      <c r="M131" s="529" t="str">
        <f>L131/L$29</f>
        <v>#DIV/0!</v>
      </c>
      <c r="N131" s="994">
        <f>SUM(N132:N133)</f>
        <v>0</v>
      </c>
      <c r="O131" s="556"/>
      <c r="P131" s="475">
        <f>SUM(P132:P133)</f>
        <v>0</v>
      </c>
      <c r="Q131" s="557"/>
      <c r="R131" s="530">
        <f>SUM(R132:R133)</f>
        <v>0</v>
      </c>
      <c r="S131" s="529" t="str">
        <f>R131/R$29</f>
        <v>#DIV/0!</v>
      </c>
      <c r="T131" s="994">
        <f>SUM(T132:T133)</f>
        <v>0</v>
      </c>
      <c r="U131" s="556"/>
    </row>
    <row r="132" ht="15.75" customHeight="1">
      <c r="A132" s="425"/>
      <c r="B132" s="481"/>
      <c r="C132" s="481" t="s">
        <v>283</v>
      </c>
      <c r="D132" s="988">
        <v>0.0</v>
      </c>
      <c r="E132" s="522"/>
      <c r="F132" s="523"/>
      <c r="G132" s="522"/>
      <c r="H132" s="982"/>
      <c r="I132" s="524"/>
      <c r="J132" s="448">
        <v>0.0</v>
      </c>
      <c r="K132" s="522"/>
      <c r="L132" s="523"/>
      <c r="M132" s="522"/>
      <c r="N132" s="982"/>
      <c r="O132" s="524"/>
      <c r="P132" s="482">
        <v>0.0</v>
      </c>
      <c r="Q132" s="574"/>
      <c r="R132" s="523"/>
      <c r="S132" s="522"/>
      <c r="T132" s="982"/>
      <c r="U132" s="524"/>
    </row>
    <row r="133" ht="15.75" customHeight="1">
      <c r="A133" s="425"/>
      <c r="B133" s="450"/>
      <c r="C133" s="450" t="s">
        <v>256</v>
      </c>
      <c r="D133" s="500">
        <v>0.0</v>
      </c>
      <c r="E133" s="521"/>
      <c r="F133" s="501">
        <f>G133*F$29</f>
        <v>0</v>
      </c>
      <c r="G133" s="538">
        <v>0.005</v>
      </c>
      <c r="H133" s="732"/>
      <c r="I133" s="464"/>
      <c r="J133" s="452">
        <v>0.0</v>
      </c>
      <c r="K133" s="521"/>
      <c r="L133" s="501">
        <f>M133*L$29</f>
        <v>0</v>
      </c>
      <c r="M133" s="538">
        <v>0.005</v>
      </c>
      <c r="N133" s="732"/>
      <c r="O133" s="464"/>
      <c r="P133" s="459">
        <v>0.0</v>
      </c>
      <c r="Q133" s="552"/>
      <c r="R133" s="501">
        <f>S133*R$29</f>
        <v>0</v>
      </c>
      <c r="S133" s="538">
        <v>0.005</v>
      </c>
      <c r="T133" s="732"/>
      <c r="U133" s="464"/>
    </row>
    <row r="134" ht="15.75" customHeight="1">
      <c r="A134" s="425"/>
      <c r="B134" s="450"/>
      <c r="C134" s="450"/>
      <c r="D134" s="500"/>
      <c r="E134" s="521"/>
      <c r="F134" s="501"/>
      <c r="G134" s="521"/>
      <c r="H134" s="732"/>
      <c r="I134" s="464"/>
      <c r="J134" s="452"/>
      <c r="K134" s="521"/>
      <c r="L134" s="501"/>
      <c r="M134" s="521"/>
      <c r="N134" s="732"/>
      <c r="O134" s="464"/>
      <c r="P134" s="459"/>
      <c r="Q134" s="552"/>
      <c r="R134" s="501"/>
      <c r="S134" s="521"/>
      <c r="T134" s="732"/>
      <c r="U134" s="464"/>
    </row>
    <row r="135" ht="15.75" customHeight="1">
      <c r="A135" s="425"/>
      <c r="B135" s="468"/>
      <c r="C135" s="468"/>
      <c r="D135" s="992"/>
      <c r="E135" s="526"/>
      <c r="F135" s="527"/>
      <c r="G135" s="526"/>
      <c r="H135" s="984"/>
      <c r="I135" s="528"/>
      <c r="J135" s="470"/>
      <c r="K135" s="526"/>
      <c r="L135" s="527"/>
      <c r="M135" s="526"/>
      <c r="N135" s="984"/>
      <c r="O135" s="528"/>
      <c r="P135" s="472"/>
      <c r="Q135" s="577"/>
      <c r="R135" s="527"/>
      <c r="S135" s="526"/>
      <c r="T135" s="984"/>
      <c r="U135" s="528"/>
    </row>
    <row r="136" ht="15.75" customHeight="1">
      <c r="A136" s="425"/>
      <c r="B136" s="474"/>
      <c r="C136" s="474" t="s">
        <v>257</v>
      </c>
      <c r="D136" s="993">
        <f>D62+D65+D73+D80+D86+D97+D100+D104+D127+D131</f>
        <v>5737018.263</v>
      </c>
      <c r="E136" s="555"/>
      <c r="F136" s="530">
        <f>F62+F65+F73+F80+F86+F97+F100+F104+F127+F131</f>
        <v>261457.75</v>
      </c>
      <c r="G136" s="529" t="str">
        <f>F136/F$29</f>
        <v>#DIV/0!</v>
      </c>
      <c r="H136" s="994" t="str">
        <f>H62+H65+H73+H80+H86+H97+H100+H104+H127+H131</f>
        <v>#REF!</v>
      </c>
      <c r="I136" s="556"/>
      <c r="J136" s="444">
        <f>J62+J65+J73+J80+J86+J97+J100+J104+J127+J131</f>
        <v>5381547.8</v>
      </c>
      <c r="K136" s="555"/>
      <c r="L136" s="530">
        <f>L62+L65+L73+L80+L86+L97+L100+L104+L127+L131</f>
        <v>0</v>
      </c>
      <c r="M136" s="529" t="str">
        <f>L136/L$29</f>
        <v>#DIV/0!</v>
      </c>
      <c r="N136" s="994" t="str">
        <f>N62+N65+N73+N80+N86+N97+N100+N104+N127+N131</f>
        <v>#REF!</v>
      </c>
      <c r="O136" s="556"/>
      <c r="P136" s="475">
        <f>P62+P65+P73+P80+P86+P97+P100+P104+P127+P131</f>
        <v>0</v>
      </c>
      <c r="Q136" s="557"/>
      <c r="R136" s="530">
        <f>R62+R65+R73+R80+R86+R97+R100+R104+R127+R131</f>
        <v>0</v>
      </c>
      <c r="S136" s="529" t="str">
        <f>R136/R$29</f>
        <v>#DIV/0!</v>
      </c>
      <c r="T136" s="994" t="str">
        <f>T62+T65+T73+T80+T86+T97+T100+T104+T127+T131</f>
        <v>#REF!</v>
      </c>
      <c r="U136" s="556"/>
    </row>
    <row r="137" ht="15.75" customHeight="1">
      <c r="A137" s="425"/>
      <c r="B137" s="508"/>
      <c r="C137" s="508"/>
      <c r="D137" s="1018"/>
      <c r="E137" s="586"/>
      <c r="F137" s="563"/>
      <c r="G137" s="586"/>
      <c r="H137" s="1019"/>
      <c r="I137" s="440"/>
      <c r="J137" s="494"/>
      <c r="K137" s="586"/>
      <c r="L137" s="563"/>
      <c r="M137" s="586"/>
      <c r="N137" s="1019"/>
      <c r="O137" s="440"/>
      <c r="P137" s="495"/>
      <c r="Q137" s="587"/>
      <c r="R137" s="563"/>
      <c r="S137" s="586"/>
      <c r="T137" s="1019"/>
      <c r="U137" s="440"/>
    </row>
    <row r="138" ht="15.75" customHeight="1">
      <c r="A138" s="425"/>
      <c r="B138" s="474"/>
      <c r="C138" s="474" t="s">
        <v>258</v>
      </c>
      <c r="D138" s="444">
        <f>D50-D136</f>
        <v>1487372.844</v>
      </c>
      <c r="E138" s="555"/>
      <c r="F138" s="530">
        <f>+F29-F136</f>
        <v>-261457.75</v>
      </c>
      <c r="G138" s="529" t="str">
        <f>F138/F$29</f>
        <v>#DIV/0!</v>
      </c>
      <c r="H138" s="994"/>
      <c r="I138" s="556"/>
      <c r="J138" s="444">
        <f>J50-J136</f>
        <v>2018857.304</v>
      </c>
      <c r="K138" s="555"/>
      <c r="L138" s="530">
        <f>+L29-L136</f>
        <v>0</v>
      </c>
      <c r="M138" s="529" t="str">
        <f>L138/L$29</f>
        <v>#DIV/0!</v>
      </c>
      <c r="N138" s="994"/>
      <c r="O138" s="556"/>
      <c r="P138" s="475">
        <f>P50-P136</f>
        <v>0</v>
      </c>
      <c r="Q138" s="557"/>
      <c r="R138" s="530">
        <f>+R29-R136</f>
        <v>0</v>
      </c>
      <c r="S138" s="529" t="str">
        <f>R138/R$29</f>
        <v>#DIV/0!</v>
      </c>
      <c r="T138" s="994"/>
      <c r="U138" s="556"/>
    </row>
    <row r="139" ht="15.75" customHeight="1">
      <c r="A139" s="425"/>
      <c r="B139" s="425"/>
      <c r="C139" s="425"/>
      <c r="D139" s="425"/>
      <c r="E139" s="425"/>
      <c r="F139" s="511"/>
      <c r="G139" s="425"/>
      <c r="H139" s="977"/>
      <c r="I139" s="425"/>
      <c r="J139" s="425"/>
      <c r="K139" s="425"/>
      <c r="L139" s="511"/>
      <c r="M139" s="425"/>
      <c r="N139" s="977"/>
      <c r="O139" s="425"/>
      <c r="P139" s="425"/>
      <c r="Q139" s="425"/>
      <c r="R139" s="511"/>
      <c r="S139" s="425"/>
      <c r="T139" s="977"/>
      <c r="U139" s="425"/>
    </row>
    <row r="140" ht="15.75" customHeight="1">
      <c r="A140" s="425"/>
      <c r="B140" s="425"/>
      <c r="C140" s="425"/>
      <c r="D140" s="425"/>
      <c r="E140" s="425"/>
      <c r="F140" s="511"/>
      <c r="G140" s="425"/>
      <c r="H140" s="977"/>
      <c r="I140" s="425"/>
      <c r="J140" s="425"/>
      <c r="K140" s="425"/>
      <c r="L140" s="511"/>
      <c r="M140" s="425"/>
      <c r="N140" s="977"/>
      <c r="O140" s="425"/>
      <c r="P140" s="425"/>
      <c r="Q140" s="425"/>
      <c r="R140" s="511"/>
      <c r="S140" s="425"/>
      <c r="T140" s="977"/>
      <c r="U140" s="425"/>
    </row>
    <row r="141" ht="15.75" customHeight="1">
      <c r="A141" s="425"/>
      <c r="B141" s="425"/>
      <c r="C141" s="425"/>
      <c r="D141" s="425"/>
      <c r="E141" s="425"/>
      <c r="F141" s="511"/>
      <c r="G141" s="425"/>
      <c r="H141" s="977"/>
      <c r="I141" s="425"/>
      <c r="J141" s="425"/>
      <c r="K141" s="425"/>
      <c r="L141" s="511"/>
      <c r="M141" s="425"/>
      <c r="N141" s="977"/>
      <c r="O141" s="425"/>
      <c r="P141" s="425"/>
      <c r="Q141" s="425"/>
      <c r="R141" s="511"/>
      <c r="S141" s="425"/>
      <c r="T141" s="977"/>
      <c r="U141" s="425"/>
    </row>
    <row r="142" ht="15.75" customHeight="1">
      <c r="A142" s="425"/>
      <c r="B142" s="425"/>
      <c r="C142" s="425"/>
      <c r="D142" s="425"/>
      <c r="E142" s="425"/>
      <c r="F142" s="511"/>
      <c r="G142" s="425"/>
      <c r="H142" s="977"/>
      <c r="I142" s="425"/>
      <c r="J142" s="425"/>
      <c r="K142" s="425"/>
      <c r="L142" s="511"/>
      <c r="M142" s="425"/>
      <c r="N142" s="977"/>
      <c r="O142" s="425"/>
      <c r="P142" s="425"/>
      <c r="Q142" s="425"/>
      <c r="R142" s="511"/>
      <c r="S142" s="425"/>
      <c r="T142" s="977"/>
      <c r="U142" s="425"/>
    </row>
    <row r="143" ht="15.75" customHeight="1">
      <c r="A143" s="425"/>
      <c r="B143" s="425"/>
      <c r="C143" s="425"/>
      <c r="D143" s="425"/>
      <c r="E143" s="425"/>
      <c r="F143" s="511"/>
      <c r="G143" s="425"/>
      <c r="H143" s="977"/>
      <c r="I143" s="425"/>
      <c r="J143" s="425"/>
      <c r="K143" s="425"/>
      <c r="L143" s="511"/>
      <c r="M143" s="425"/>
      <c r="N143" s="977"/>
      <c r="O143" s="425"/>
      <c r="P143" s="425"/>
      <c r="Q143" s="425"/>
      <c r="R143" s="511"/>
      <c r="S143" s="425"/>
      <c r="T143" s="977"/>
      <c r="U143" s="425"/>
    </row>
    <row r="144" ht="15.75" customHeight="1">
      <c r="A144" s="425"/>
      <c r="B144" s="425"/>
      <c r="C144" s="425"/>
      <c r="D144" s="425"/>
      <c r="E144" s="425"/>
      <c r="F144" s="511"/>
      <c r="G144" s="425"/>
      <c r="H144" s="977"/>
      <c r="I144" s="425"/>
      <c r="J144" s="425"/>
      <c r="K144" s="425"/>
      <c r="L144" s="511"/>
      <c r="M144" s="425"/>
      <c r="N144" s="977"/>
      <c r="O144" s="425"/>
      <c r="P144" s="425"/>
      <c r="Q144" s="425"/>
      <c r="R144" s="511"/>
      <c r="S144" s="425"/>
      <c r="T144" s="977"/>
      <c r="U144" s="425"/>
    </row>
    <row r="145" ht="15.75" customHeight="1">
      <c r="A145" s="425"/>
      <c r="B145" s="425"/>
      <c r="C145" s="425"/>
      <c r="D145" s="425"/>
      <c r="E145" s="425"/>
      <c r="F145" s="511"/>
      <c r="G145" s="425"/>
      <c r="H145" s="977"/>
      <c r="I145" s="425"/>
      <c r="J145" s="425"/>
      <c r="K145" s="425"/>
      <c r="L145" s="511"/>
      <c r="M145" s="425"/>
      <c r="N145" s="977"/>
      <c r="O145" s="425"/>
      <c r="P145" s="425"/>
      <c r="Q145" s="425"/>
      <c r="R145" s="511"/>
      <c r="S145" s="425"/>
      <c r="T145" s="977"/>
      <c r="U145" s="425"/>
    </row>
    <row r="146" ht="15.75" customHeight="1">
      <c r="A146" s="425"/>
      <c r="B146" s="425"/>
      <c r="C146" s="425"/>
      <c r="D146" s="425"/>
      <c r="E146" s="425"/>
      <c r="F146" s="511"/>
      <c r="G146" s="425"/>
      <c r="H146" s="977"/>
      <c r="I146" s="425"/>
      <c r="J146" s="425"/>
      <c r="K146" s="425"/>
      <c r="L146" s="511"/>
      <c r="M146" s="425"/>
      <c r="N146" s="977"/>
      <c r="O146" s="425"/>
      <c r="P146" s="425"/>
      <c r="Q146" s="425"/>
      <c r="R146" s="511"/>
      <c r="S146" s="425"/>
      <c r="T146" s="977"/>
      <c r="U146" s="425"/>
    </row>
    <row r="147" ht="15.75" customHeight="1">
      <c r="A147" s="425"/>
      <c r="B147" s="425"/>
      <c r="C147" s="425"/>
      <c r="D147" s="425"/>
      <c r="E147" s="425"/>
      <c r="F147" s="511"/>
      <c r="G147" s="425"/>
      <c r="H147" s="977"/>
      <c r="I147" s="425"/>
      <c r="J147" s="425"/>
      <c r="K147" s="425"/>
      <c r="L147" s="511"/>
      <c r="M147" s="425"/>
      <c r="N147" s="977"/>
      <c r="O147" s="425"/>
      <c r="P147" s="425"/>
      <c r="Q147" s="425"/>
      <c r="R147" s="511"/>
      <c r="S147" s="425"/>
      <c r="T147" s="977"/>
      <c r="U147" s="425"/>
    </row>
    <row r="148" ht="15.75" customHeight="1">
      <c r="A148" s="425"/>
      <c r="B148" s="425"/>
      <c r="C148" s="425"/>
      <c r="D148" s="425"/>
      <c r="E148" s="425"/>
      <c r="F148" s="511"/>
      <c r="G148" s="425"/>
      <c r="H148" s="977"/>
      <c r="I148" s="425"/>
      <c r="J148" s="425"/>
      <c r="K148" s="425"/>
      <c r="L148" s="511"/>
      <c r="M148" s="425"/>
      <c r="N148" s="977"/>
      <c r="O148" s="425"/>
      <c r="P148" s="425"/>
      <c r="Q148" s="425"/>
      <c r="R148" s="511"/>
      <c r="S148" s="425"/>
      <c r="T148" s="977"/>
      <c r="U148" s="425"/>
    </row>
    <row r="149" ht="15.75" customHeight="1">
      <c r="A149" s="425"/>
      <c r="B149" s="425"/>
      <c r="C149" s="425"/>
      <c r="D149" s="425"/>
      <c r="E149" s="425"/>
      <c r="F149" s="511"/>
      <c r="G149" s="425"/>
      <c r="H149" s="977"/>
      <c r="I149" s="425"/>
      <c r="J149" s="425"/>
      <c r="K149" s="425"/>
      <c r="L149" s="511"/>
      <c r="M149" s="425"/>
      <c r="N149" s="977"/>
      <c r="O149" s="425"/>
      <c r="P149" s="425"/>
      <c r="Q149" s="425"/>
      <c r="R149" s="511"/>
      <c r="S149" s="425"/>
      <c r="T149" s="977"/>
      <c r="U149" s="425"/>
    </row>
    <row r="150" ht="15.75" customHeight="1">
      <c r="A150" s="425"/>
      <c r="B150" s="425"/>
      <c r="C150" s="425"/>
      <c r="D150" s="425"/>
      <c r="E150" s="425"/>
      <c r="F150" s="511"/>
      <c r="G150" s="425"/>
      <c r="H150" s="977"/>
      <c r="I150" s="425"/>
      <c r="J150" s="425"/>
      <c r="K150" s="425"/>
      <c r="L150" s="511"/>
      <c r="M150" s="425"/>
      <c r="N150" s="977"/>
      <c r="O150" s="425"/>
      <c r="P150" s="425"/>
      <c r="Q150" s="425"/>
      <c r="R150" s="511"/>
      <c r="S150" s="425"/>
      <c r="T150" s="977"/>
      <c r="U150" s="425"/>
    </row>
    <row r="151" ht="15.75" customHeight="1">
      <c r="A151" s="425"/>
      <c r="B151" s="425"/>
      <c r="C151" s="425"/>
      <c r="D151" s="425"/>
      <c r="E151" s="425"/>
      <c r="F151" s="511"/>
      <c r="G151" s="425"/>
      <c r="H151" s="977"/>
      <c r="I151" s="425"/>
      <c r="J151" s="425"/>
      <c r="K151" s="425"/>
      <c r="L151" s="511"/>
      <c r="M151" s="425"/>
      <c r="N151" s="977"/>
      <c r="O151" s="425"/>
      <c r="P151" s="425"/>
      <c r="Q151" s="425"/>
      <c r="R151" s="511"/>
      <c r="S151" s="425"/>
      <c r="T151" s="977"/>
      <c r="U151" s="425"/>
    </row>
    <row r="152" ht="15.75" customHeight="1">
      <c r="A152" s="425"/>
      <c r="B152" s="425"/>
      <c r="C152" s="425"/>
      <c r="D152" s="425"/>
      <c r="E152" s="425"/>
      <c r="F152" s="511"/>
      <c r="G152" s="425"/>
      <c r="H152" s="977"/>
      <c r="I152" s="425"/>
      <c r="J152" s="425"/>
      <c r="K152" s="425"/>
      <c r="L152" s="511"/>
      <c r="M152" s="425"/>
      <c r="N152" s="977"/>
      <c r="O152" s="425"/>
      <c r="P152" s="425"/>
      <c r="Q152" s="425"/>
      <c r="R152" s="511"/>
      <c r="S152" s="425"/>
      <c r="T152" s="977"/>
      <c r="U152" s="425"/>
    </row>
    <row r="153" ht="15.75" customHeight="1">
      <c r="A153" s="425"/>
      <c r="B153" s="425"/>
      <c r="C153" s="425"/>
      <c r="D153" s="425"/>
      <c r="E153" s="425"/>
      <c r="F153" s="511"/>
      <c r="G153" s="425"/>
      <c r="H153" s="977"/>
      <c r="I153" s="425"/>
      <c r="J153" s="425"/>
      <c r="K153" s="425"/>
      <c r="L153" s="511"/>
      <c r="M153" s="425"/>
      <c r="N153" s="977"/>
      <c r="O153" s="425"/>
      <c r="P153" s="425"/>
      <c r="Q153" s="425"/>
      <c r="R153" s="511"/>
      <c r="S153" s="425"/>
      <c r="T153" s="977"/>
      <c r="U153" s="425"/>
    </row>
    <row r="154" ht="15.75" customHeight="1">
      <c r="A154" s="425"/>
      <c r="B154" s="425"/>
      <c r="C154" s="425"/>
      <c r="D154" s="425"/>
      <c r="E154" s="425"/>
      <c r="F154" s="511"/>
      <c r="G154" s="425"/>
      <c r="H154" s="977"/>
      <c r="I154" s="425"/>
      <c r="J154" s="425"/>
      <c r="K154" s="425"/>
      <c r="L154" s="511"/>
      <c r="M154" s="425"/>
      <c r="N154" s="977"/>
      <c r="O154" s="425"/>
      <c r="P154" s="425"/>
      <c r="Q154" s="425"/>
      <c r="R154" s="511"/>
      <c r="S154" s="425"/>
      <c r="T154" s="977"/>
      <c r="U154" s="425"/>
    </row>
    <row r="155" ht="15.75" customHeight="1">
      <c r="A155" s="425"/>
      <c r="B155" s="425"/>
      <c r="C155" s="425"/>
      <c r="D155" s="425"/>
      <c r="E155" s="425"/>
      <c r="F155" s="511"/>
      <c r="G155" s="425"/>
      <c r="H155" s="977"/>
      <c r="I155" s="425"/>
      <c r="J155" s="425"/>
      <c r="K155" s="425"/>
      <c r="L155" s="511"/>
      <c r="M155" s="425"/>
      <c r="N155" s="977"/>
      <c r="O155" s="425"/>
      <c r="P155" s="425"/>
      <c r="Q155" s="425"/>
      <c r="R155" s="511"/>
      <c r="S155" s="425"/>
      <c r="T155" s="977"/>
      <c r="U155" s="425"/>
    </row>
    <row r="156" ht="15.75" customHeight="1">
      <c r="A156" s="425"/>
      <c r="B156" s="425"/>
      <c r="C156" s="425"/>
      <c r="D156" s="425"/>
      <c r="E156" s="425"/>
      <c r="F156" s="511"/>
      <c r="G156" s="425"/>
      <c r="H156" s="977"/>
      <c r="I156" s="425"/>
      <c r="J156" s="425"/>
      <c r="K156" s="425"/>
      <c r="L156" s="511"/>
      <c r="M156" s="425"/>
      <c r="N156" s="977"/>
      <c r="O156" s="425"/>
      <c r="P156" s="425"/>
      <c r="Q156" s="425"/>
      <c r="R156" s="511"/>
      <c r="S156" s="425"/>
      <c r="T156" s="977"/>
      <c r="U156" s="425"/>
    </row>
    <row r="157" ht="15.75" customHeight="1">
      <c r="A157" s="425"/>
      <c r="B157" s="425"/>
      <c r="C157" s="425"/>
      <c r="D157" s="425"/>
      <c r="E157" s="425"/>
      <c r="F157" s="511"/>
      <c r="G157" s="425"/>
      <c r="H157" s="977"/>
      <c r="I157" s="425"/>
      <c r="J157" s="425"/>
      <c r="K157" s="425"/>
      <c r="L157" s="511"/>
      <c r="M157" s="425"/>
      <c r="N157" s="977"/>
      <c r="O157" s="425"/>
      <c r="P157" s="425"/>
      <c r="Q157" s="425"/>
      <c r="R157" s="511"/>
      <c r="S157" s="425"/>
      <c r="T157" s="977"/>
      <c r="U157" s="425"/>
    </row>
    <row r="158" ht="15.75" customHeight="1">
      <c r="A158" s="425"/>
      <c r="B158" s="425"/>
      <c r="C158" s="425"/>
      <c r="D158" s="425"/>
      <c r="E158" s="425"/>
      <c r="F158" s="511"/>
      <c r="G158" s="425"/>
      <c r="H158" s="977"/>
      <c r="I158" s="425"/>
      <c r="J158" s="425"/>
      <c r="K158" s="425"/>
      <c r="L158" s="511"/>
      <c r="M158" s="425"/>
      <c r="N158" s="977"/>
      <c r="O158" s="425"/>
      <c r="P158" s="425"/>
      <c r="Q158" s="425"/>
      <c r="R158" s="511"/>
      <c r="S158" s="425"/>
      <c r="T158" s="977"/>
      <c r="U158" s="425"/>
    </row>
    <row r="159" ht="15.75" customHeight="1">
      <c r="A159" s="425"/>
      <c r="B159" s="425"/>
      <c r="C159" s="425"/>
      <c r="D159" s="425"/>
      <c r="E159" s="425"/>
      <c r="F159" s="511"/>
      <c r="G159" s="425"/>
      <c r="H159" s="977"/>
      <c r="I159" s="425"/>
      <c r="J159" s="425"/>
      <c r="K159" s="425"/>
      <c r="L159" s="511"/>
      <c r="M159" s="425"/>
      <c r="N159" s="977"/>
      <c r="O159" s="425"/>
      <c r="P159" s="425"/>
      <c r="Q159" s="425"/>
      <c r="R159" s="511"/>
      <c r="S159" s="425"/>
      <c r="T159" s="977"/>
      <c r="U159" s="425"/>
    </row>
    <row r="160" ht="15.75" customHeight="1">
      <c r="A160" s="425"/>
      <c r="B160" s="425"/>
      <c r="C160" s="425"/>
      <c r="D160" s="425"/>
      <c r="E160" s="425"/>
      <c r="F160" s="511"/>
      <c r="G160" s="425"/>
      <c r="H160" s="977"/>
      <c r="I160" s="425"/>
      <c r="J160" s="425"/>
      <c r="K160" s="425"/>
      <c r="L160" s="511"/>
      <c r="M160" s="425"/>
      <c r="N160" s="977"/>
      <c r="O160" s="425"/>
      <c r="P160" s="425"/>
      <c r="Q160" s="425"/>
      <c r="R160" s="511"/>
      <c r="S160" s="425"/>
      <c r="T160" s="977"/>
      <c r="U160" s="425"/>
    </row>
    <row r="161" ht="15.75" customHeight="1">
      <c r="A161" s="425"/>
      <c r="B161" s="425"/>
      <c r="C161" s="425"/>
      <c r="D161" s="425"/>
      <c r="E161" s="425"/>
      <c r="F161" s="511"/>
      <c r="G161" s="425"/>
      <c r="H161" s="977"/>
      <c r="I161" s="425"/>
      <c r="J161" s="425"/>
      <c r="K161" s="425"/>
      <c r="L161" s="511"/>
      <c r="M161" s="425"/>
      <c r="N161" s="977"/>
      <c r="O161" s="425"/>
      <c r="P161" s="425"/>
      <c r="Q161" s="425"/>
      <c r="R161" s="511"/>
      <c r="S161" s="425"/>
      <c r="T161" s="977"/>
      <c r="U161" s="425"/>
    </row>
    <row r="162" ht="15.75" customHeight="1">
      <c r="A162" s="425"/>
      <c r="B162" s="425"/>
      <c r="C162" s="425"/>
      <c r="D162" s="425"/>
      <c r="E162" s="425"/>
      <c r="F162" s="511"/>
      <c r="G162" s="425"/>
      <c r="H162" s="977"/>
      <c r="I162" s="425"/>
      <c r="J162" s="425"/>
      <c r="K162" s="425"/>
      <c r="L162" s="511"/>
      <c r="M162" s="425"/>
      <c r="N162" s="977"/>
      <c r="O162" s="425"/>
      <c r="P162" s="425"/>
      <c r="Q162" s="425"/>
      <c r="R162" s="511"/>
      <c r="S162" s="425"/>
      <c r="T162" s="977"/>
      <c r="U162" s="425"/>
    </row>
    <row r="163" ht="15.75" customHeight="1">
      <c r="A163" s="425"/>
      <c r="B163" s="425"/>
      <c r="C163" s="425"/>
      <c r="D163" s="425"/>
      <c r="E163" s="425"/>
      <c r="F163" s="511"/>
      <c r="G163" s="425"/>
      <c r="H163" s="977"/>
      <c r="I163" s="425"/>
      <c r="J163" s="425"/>
      <c r="K163" s="425"/>
      <c r="L163" s="511"/>
      <c r="M163" s="425"/>
      <c r="N163" s="977"/>
      <c r="O163" s="425"/>
      <c r="P163" s="425"/>
      <c r="Q163" s="425"/>
      <c r="R163" s="511"/>
      <c r="S163" s="425"/>
      <c r="T163" s="977"/>
      <c r="U163" s="425"/>
    </row>
    <row r="164" ht="15.75" customHeight="1">
      <c r="A164" s="425"/>
      <c r="B164" s="425"/>
      <c r="C164" s="425"/>
      <c r="D164" s="425"/>
      <c r="E164" s="425"/>
      <c r="F164" s="511"/>
      <c r="G164" s="425"/>
      <c r="H164" s="977"/>
      <c r="I164" s="425"/>
      <c r="J164" s="425"/>
      <c r="K164" s="425"/>
      <c r="L164" s="511"/>
      <c r="M164" s="425"/>
      <c r="N164" s="977"/>
      <c r="O164" s="425"/>
      <c r="P164" s="425"/>
      <c r="Q164" s="425"/>
      <c r="R164" s="511"/>
      <c r="S164" s="425"/>
      <c r="T164" s="977"/>
      <c r="U164" s="425"/>
    </row>
    <row r="165" ht="15.75" customHeight="1">
      <c r="A165" s="425"/>
      <c r="B165" s="425"/>
      <c r="C165" s="425"/>
      <c r="D165" s="425"/>
      <c r="E165" s="425"/>
      <c r="F165" s="511"/>
      <c r="G165" s="425"/>
      <c r="H165" s="977"/>
      <c r="I165" s="425"/>
      <c r="J165" s="425"/>
      <c r="K165" s="425"/>
      <c r="L165" s="511"/>
      <c r="M165" s="425"/>
      <c r="N165" s="977"/>
      <c r="O165" s="425"/>
      <c r="P165" s="425"/>
      <c r="Q165" s="425"/>
      <c r="R165" s="511"/>
      <c r="S165" s="425"/>
      <c r="T165" s="977"/>
      <c r="U165" s="425"/>
    </row>
    <row r="166" ht="15.75" customHeight="1">
      <c r="A166" s="425"/>
      <c r="B166" s="425"/>
      <c r="C166" s="425"/>
      <c r="D166" s="425"/>
      <c r="E166" s="425"/>
      <c r="F166" s="511"/>
      <c r="G166" s="425"/>
      <c r="H166" s="977"/>
      <c r="I166" s="425"/>
      <c r="J166" s="425"/>
      <c r="K166" s="425"/>
      <c r="L166" s="511"/>
      <c r="M166" s="425"/>
      <c r="N166" s="977"/>
      <c r="O166" s="425"/>
      <c r="P166" s="425"/>
      <c r="Q166" s="425"/>
      <c r="R166" s="511"/>
      <c r="S166" s="425"/>
      <c r="T166" s="977"/>
      <c r="U166" s="425"/>
    </row>
    <row r="167" ht="15.75" customHeight="1">
      <c r="A167" s="425"/>
      <c r="B167" s="425"/>
      <c r="C167" s="425"/>
      <c r="D167" s="425"/>
      <c r="E167" s="425"/>
      <c r="F167" s="511"/>
      <c r="G167" s="425"/>
      <c r="H167" s="977"/>
      <c r="I167" s="425"/>
      <c r="J167" s="425"/>
      <c r="K167" s="425"/>
      <c r="L167" s="511"/>
      <c r="M167" s="425"/>
      <c r="N167" s="977"/>
      <c r="O167" s="425"/>
      <c r="P167" s="425"/>
      <c r="Q167" s="425"/>
      <c r="R167" s="511"/>
      <c r="S167" s="425"/>
      <c r="T167" s="977"/>
      <c r="U167" s="425"/>
    </row>
    <row r="168" ht="15.75" customHeight="1">
      <c r="A168" s="425"/>
      <c r="B168" s="425"/>
      <c r="C168" s="425"/>
      <c r="D168" s="425"/>
      <c r="E168" s="425"/>
      <c r="F168" s="511"/>
      <c r="G168" s="425"/>
      <c r="H168" s="977"/>
      <c r="I168" s="425"/>
      <c r="J168" s="425"/>
      <c r="K168" s="425"/>
      <c r="L168" s="511"/>
      <c r="M168" s="425"/>
      <c r="N168" s="977"/>
      <c r="O168" s="425"/>
      <c r="P168" s="425"/>
      <c r="Q168" s="425"/>
      <c r="R168" s="511"/>
      <c r="S168" s="425"/>
      <c r="T168" s="977"/>
      <c r="U168" s="425"/>
    </row>
    <row r="169" ht="15.75" customHeight="1">
      <c r="A169" s="425"/>
      <c r="B169" s="425"/>
      <c r="C169" s="425"/>
      <c r="D169" s="425"/>
      <c r="E169" s="425"/>
      <c r="F169" s="511"/>
      <c r="G169" s="425"/>
      <c r="H169" s="977"/>
      <c r="I169" s="425"/>
      <c r="J169" s="425"/>
      <c r="K169" s="425"/>
      <c r="L169" s="511"/>
      <c r="M169" s="425"/>
      <c r="N169" s="977"/>
      <c r="O169" s="425"/>
      <c r="P169" s="425"/>
      <c r="Q169" s="425"/>
      <c r="R169" s="511"/>
      <c r="S169" s="425"/>
      <c r="T169" s="977"/>
      <c r="U169" s="425"/>
    </row>
    <row r="170" ht="15.75" customHeight="1">
      <c r="A170" s="425"/>
      <c r="B170" s="425"/>
      <c r="C170" s="425"/>
      <c r="D170" s="425"/>
      <c r="E170" s="425"/>
      <c r="F170" s="511"/>
      <c r="G170" s="425"/>
      <c r="H170" s="977"/>
      <c r="I170" s="425"/>
      <c r="J170" s="425"/>
      <c r="K170" s="425"/>
      <c r="L170" s="511"/>
      <c r="M170" s="425"/>
      <c r="N170" s="977"/>
      <c r="O170" s="425"/>
      <c r="P170" s="425"/>
      <c r="Q170" s="425"/>
      <c r="R170" s="511"/>
      <c r="S170" s="425"/>
      <c r="T170" s="977"/>
      <c r="U170" s="425"/>
    </row>
    <row r="171" ht="15.75" customHeight="1">
      <c r="A171" s="425"/>
      <c r="B171" s="425"/>
      <c r="C171" s="425"/>
      <c r="D171" s="425"/>
      <c r="E171" s="425"/>
      <c r="F171" s="511"/>
      <c r="G171" s="425"/>
      <c r="H171" s="977"/>
      <c r="I171" s="425"/>
      <c r="J171" s="425"/>
      <c r="K171" s="425"/>
      <c r="L171" s="511"/>
      <c r="M171" s="425"/>
      <c r="N171" s="977"/>
      <c r="O171" s="425"/>
      <c r="P171" s="425"/>
      <c r="Q171" s="425"/>
      <c r="R171" s="511"/>
      <c r="S171" s="425"/>
      <c r="T171" s="977"/>
      <c r="U171" s="425"/>
    </row>
    <row r="172" ht="15.75" customHeight="1">
      <c r="A172" s="425"/>
      <c r="B172" s="425"/>
      <c r="C172" s="425"/>
      <c r="D172" s="425"/>
      <c r="E172" s="425"/>
      <c r="F172" s="511"/>
      <c r="G172" s="425"/>
      <c r="H172" s="977"/>
      <c r="I172" s="425"/>
      <c r="J172" s="425"/>
      <c r="K172" s="425"/>
      <c r="L172" s="511"/>
      <c r="M172" s="425"/>
      <c r="N172" s="977"/>
      <c r="O172" s="425"/>
      <c r="P172" s="425"/>
      <c r="Q172" s="425"/>
      <c r="R172" s="511"/>
      <c r="S172" s="425"/>
      <c r="T172" s="977"/>
      <c r="U172" s="425"/>
    </row>
    <row r="173" ht="15.75" customHeight="1">
      <c r="A173" s="425"/>
      <c r="B173" s="425"/>
      <c r="C173" s="425"/>
      <c r="D173" s="425"/>
      <c r="E173" s="425"/>
      <c r="F173" s="511"/>
      <c r="G173" s="425"/>
      <c r="H173" s="977"/>
      <c r="I173" s="425"/>
      <c r="J173" s="425"/>
      <c r="K173" s="425"/>
      <c r="L173" s="511"/>
      <c r="M173" s="425"/>
      <c r="N173" s="977"/>
      <c r="O173" s="425"/>
      <c r="P173" s="425"/>
      <c r="Q173" s="425"/>
      <c r="R173" s="511"/>
      <c r="S173" s="425"/>
      <c r="T173" s="977"/>
      <c r="U173" s="425"/>
    </row>
    <row r="174" ht="15.75" customHeight="1">
      <c r="A174" s="425"/>
      <c r="B174" s="425"/>
      <c r="C174" s="425"/>
      <c r="D174" s="425"/>
      <c r="E174" s="425"/>
      <c r="F174" s="511"/>
      <c r="G174" s="425"/>
      <c r="H174" s="977"/>
      <c r="I174" s="425"/>
      <c r="J174" s="425"/>
      <c r="K174" s="425"/>
      <c r="L174" s="511"/>
      <c r="M174" s="425"/>
      <c r="N174" s="977"/>
      <c r="O174" s="425"/>
      <c r="P174" s="425"/>
      <c r="Q174" s="425"/>
      <c r="R174" s="511"/>
      <c r="S174" s="425"/>
      <c r="T174" s="977"/>
      <c r="U174" s="425"/>
    </row>
    <row r="175" ht="15.75" customHeight="1">
      <c r="A175" s="425"/>
      <c r="B175" s="425"/>
      <c r="C175" s="425"/>
      <c r="D175" s="425"/>
      <c r="E175" s="425"/>
      <c r="F175" s="511"/>
      <c r="G175" s="425"/>
      <c r="H175" s="977"/>
      <c r="I175" s="425"/>
      <c r="J175" s="425"/>
      <c r="K175" s="425"/>
      <c r="L175" s="511"/>
      <c r="M175" s="425"/>
      <c r="N175" s="977"/>
      <c r="O175" s="425"/>
      <c r="P175" s="425"/>
      <c r="Q175" s="425"/>
      <c r="R175" s="511"/>
      <c r="S175" s="425"/>
      <c r="T175" s="977"/>
      <c r="U175" s="425"/>
    </row>
    <row r="176" ht="15.75" customHeight="1">
      <c r="A176" s="425"/>
      <c r="B176" s="425"/>
      <c r="C176" s="425"/>
      <c r="D176" s="425"/>
      <c r="E176" s="425"/>
      <c r="F176" s="511"/>
      <c r="G176" s="425"/>
      <c r="H176" s="977"/>
      <c r="I176" s="425"/>
      <c r="J176" s="425"/>
      <c r="K176" s="425"/>
      <c r="L176" s="511"/>
      <c r="M176" s="425"/>
      <c r="N176" s="977"/>
      <c r="O176" s="425"/>
      <c r="P176" s="425"/>
      <c r="Q176" s="425"/>
      <c r="R176" s="511"/>
      <c r="S176" s="425"/>
      <c r="T176" s="977"/>
      <c r="U176" s="425"/>
    </row>
    <row r="177" ht="15.75" customHeight="1">
      <c r="A177" s="425"/>
      <c r="B177" s="425"/>
      <c r="C177" s="425"/>
      <c r="D177" s="425"/>
      <c r="E177" s="425"/>
      <c r="F177" s="511"/>
      <c r="G177" s="425"/>
      <c r="H177" s="977"/>
      <c r="I177" s="425"/>
      <c r="J177" s="425"/>
      <c r="K177" s="425"/>
      <c r="L177" s="511"/>
      <c r="M177" s="425"/>
      <c r="N177" s="977"/>
      <c r="O177" s="425"/>
      <c r="P177" s="425"/>
      <c r="Q177" s="425"/>
      <c r="R177" s="511"/>
      <c r="S177" s="425"/>
      <c r="T177" s="977"/>
      <c r="U177" s="425"/>
    </row>
    <row r="178" ht="15.75" customHeight="1">
      <c r="A178" s="425"/>
      <c r="B178" s="425"/>
      <c r="C178" s="425"/>
      <c r="D178" s="425"/>
      <c r="E178" s="425"/>
      <c r="F178" s="511"/>
      <c r="G178" s="425"/>
      <c r="H178" s="977"/>
      <c r="I178" s="425"/>
      <c r="J178" s="425"/>
      <c r="K178" s="425"/>
      <c r="L178" s="511"/>
      <c r="M178" s="425"/>
      <c r="N178" s="977"/>
      <c r="O178" s="425"/>
      <c r="P178" s="425"/>
      <c r="Q178" s="425"/>
      <c r="R178" s="511"/>
      <c r="S178" s="425"/>
      <c r="T178" s="977"/>
      <c r="U178" s="425"/>
    </row>
    <row r="179" ht="15.75" customHeight="1">
      <c r="A179" s="425"/>
      <c r="B179" s="425"/>
      <c r="C179" s="425"/>
      <c r="D179" s="425"/>
      <c r="E179" s="425"/>
      <c r="F179" s="511"/>
      <c r="G179" s="425"/>
      <c r="H179" s="977"/>
      <c r="I179" s="425"/>
      <c r="J179" s="425"/>
      <c r="K179" s="425"/>
      <c r="L179" s="511"/>
      <c r="M179" s="425"/>
      <c r="N179" s="977"/>
      <c r="O179" s="425"/>
      <c r="P179" s="425"/>
      <c r="Q179" s="425"/>
      <c r="R179" s="511"/>
      <c r="S179" s="425"/>
      <c r="T179" s="977"/>
      <c r="U179" s="425"/>
    </row>
    <row r="180" ht="15.75" customHeight="1">
      <c r="A180" s="425"/>
      <c r="B180" s="425"/>
      <c r="C180" s="425"/>
      <c r="D180" s="425"/>
      <c r="E180" s="425"/>
      <c r="F180" s="511"/>
      <c r="G180" s="425"/>
      <c r="H180" s="977"/>
      <c r="I180" s="425"/>
      <c r="J180" s="425"/>
      <c r="K180" s="425"/>
      <c r="L180" s="511"/>
      <c r="M180" s="425"/>
      <c r="N180" s="977"/>
      <c r="O180" s="425"/>
      <c r="P180" s="425"/>
      <c r="Q180" s="425"/>
      <c r="R180" s="511"/>
      <c r="S180" s="425"/>
      <c r="T180" s="977"/>
      <c r="U180" s="425"/>
    </row>
    <row r="181" ht="15.75" customHeight="1">
      <c r="A181" s="425"/>
      <c r="B181" s="425"/>
      <c r="C181" s="425"/>
      <c r="D181" s="425"/>
      <c r="E181" s="425"/>
      <c r="F181" s="511"/>
      <c r="G181" s="425"/>
      <c r="H181" s="977"/>
      <c r="I181" s="425"/>
      <c r="J181" s="425"/>
      <c r="K181" s="425"/>
      <c r="L181" s="511"/>
      <c r="M181" s="425"/>
      <c r="N181" s="977"/>
      <c r="O181" s="425"/>
      <c r="P181" s="425"/>
      <c r="Q181" s="425"/>
      <c r="R181" s="511"/>
      <c r="S181" s="425"/>
      <c r="T181" s="977"/>
      <c r="U181" s="425"/>
    </row>
    <row r="182" ht="15.75" customHeight="1">
      <c r="A182" s="425"/>
      <c r="B182" s="425"/>
      <c r="C182" s="425"/>
      <c r="D182" s="425"/>
      <c r="E182" s="425"/>
      <c r="F182" s="511"/>
      <c r="G182" s="425"/>
      <c r="H182" s="977"/>
      <c r="I182" s="425"/>
      <c r="J182" s="425"/>
      <c r="K182" s="425"/>
      <c r="L182" s="511"/>
      <c r="M182" s="425"/>
      <c r="N182" s="977"/>
      <c r="O182" s="425"/>
      <c r="P182" s="425"/>
      <c r="Q182" s="425"/>
      <c r="R182" s="511"/>
      <c r="S182" s="425"/>
      <c r="T182" s="977"/>
      <c r="U182" s="425"/>
    </row>
    <row r="183" ht="15.75" customHeight="1">
      <c r="A183" s="425"/>
      <c r="B183" s="425"/>
      <c r="C183" s="425"/>
      <c r="D183" s="425"/>
      <c r="E183" s="425"/>
      <c r="F183" s="511"/>
      <c r="G183" s="425"/>
      <c r="H183" s="977"/>
      <c r="I183" s="425"/>
      <c r="J183" s="425"/>
      <c r="K183" s="425"/>
      <c r="L183" s="511"/>
      <c r="M183" s="425"/>
      <c r="N183" s="977"/>
      <c r="O183" s="425"/>
      <c r="P183" s="425"/>
      <c r="Q183" s="425"/>
      <c r="R183" s="511"/>
      <c r="S183" s="425"/>
      <c r="T183" s="977"/>
      <c r="U183" s="425"/>
    </row>
    <row r="184" ht="15.75" customHeight="1">
      <c r="A184" s="425"/>
      <c r="B184" s="425"/>
      <c r="C184" s="425"/>
      <c r="D184" s="425"/>
      <c r="E184" s="425"/>
      <c r="F184" s="511"/>
      <c r="G184" s="425"/>
      <c r="H184" s="977"/>
      <c r="I184" s="425"/>
      <c r="J184" s="425"/>
      <c r="K184" s="425"/>
      <c r="L184" s="511"/>
      <c r="M184" s="425"/>
      <c r="N184" s="977"/>
      <c r="O184" s="425"/>
      <c r="P184" s="425"/>
      <c r="Q184" s="425"/>
      <c r="R184" s="511"/>
      <c r="S184" s="425"/>
      <c r="T184" s="977"/>
      <c r="U184" s="425"/>
    </row>
    <row r="185" ht="15.75" customHeight="1">
      <c r="A185" s="425"/>
      <c r="B185" s="425"/>
      <c r="C185" s="425"/>
      <c r="D185" s="425"/>
      <c r="E185" s="425"/>
      <c r="F185" s="511"/>
      <c r="G185" s="425"/>
      <c r="H185" s="977"/>
      <c r="I185" s="425"/>
      <c r="J185" s="425"/>
      <c r="K185" s="425"/>
      <c r="L185" s="511"/>
      <c r="M185" s="425"/>
      <c r="N185" s="977"/>
      <c r="O185" s="425"/>
      <c r="P185" s="425"/>
      <c r="Q185" s="425"/>
      <c r="R185" s="511"/>
      <c r="S185" s="425"/>
      <c r="T185" s="977"/>
      <c r="U185" s="425"/>
    </row>
    <row r="186" ht="15.75" customHeight="1">
      <c r="A186" s="425"/>
      <c r="B186" s="425"/>
      <c r="C186" s="425"/>
      <c r="D186" s="425"/>
      <c r="E186" s="425"/>
      <c r="F186" s="511"/>
      <c r="G186" s="425"/>
      <c r="H186" s="977"/>
      <c r="I186" s="425"/>
      <c r="J186" s="425"/>
      <c r="K186" s="425"/>
      <c r="L186" s="511"/>
      <c r="M186" s="425"/>
      <c r="N186" s="977"/>
      <c r="O186" s="425"/>
      <c r="P186" s="425"/>
      <c r="Q186" s="425"/>
      <c r="R186" s="511"/>
      <c r="S186" s="425"/>
      <c r="T186" s="977"/>
      <c r="U186" s="425"/>
    </row>
    <row r="187" ht="15.75" customHeight="1">
      <c r="A187" s="425"/>
      <c r="B187" s="425"/>
      <c r="C187" s="425"/>
      <c r="D187" s="425"/>
      <c r="E187" s="425"/>
      <c r="F187" s="511"/>
      <c r="G187" s="425"/>
      <c r="H187" s="977"/>
      <c r="I187" s="425"/>
      <c r="J187" s="425"/>
      <c r="K187" s="425"/>
      <c r="L187" s="511"/>
      <c r="M187" s="425"/>
      <c r="N187" s="977"/>
      <c r="O187" s="425"/>
      <c r="P187" s="425"/>
      <c r="Q187" s="425"/>
      <c r="R187" s="511"/>
      <c r="S187" s="425"/>
      <c r="T187" s="977"/>
      <c r="U187" s="425"/>
    </row>
    <row r="188" ht="15.75" customHeight="1">
      <c r="A188" s="425"/>
      <c r="B188" s="425"/>
      <c r="C188" s="425"/>
      <c r="D188" s="425"/>
      <c r="E188" s="425"/>
      <c r="F188" s="511"/>
      <c r="G188" s="425"/>
      <c r="H188" s="977"/>
      <c r="I188" s="425"/>
      <c r="J188" s="425"/>
      <c r="K188" s="425"/>
      <c r="L188" s="511"/>
      <c r="M188" s="425"/>
      <c r="N188" s="977"/>
      <c r="O188" s="425"/>
      <c r="P188" s="425"/>
      <c r="Q188" s="425"/>
      <c r="R188" s="511"/>
      <c r="S188" s="425"/>
      <c r="T188" s="977"/>
      <c r="U188" s="425"/>
    </row>
    <row r="189" ht="15.75" customHeight="1">
      <c r="A189" s="425"/>
      <c r="B189" s="425"/>
      <c r="C189" s="425"/>
      <c r="D189" s="425"/>
      <c r="E189" s="425"/>
      <c r="F189" s="511"/>
      <c r="G189" s="425"/>
      <c r="H189" s="977"/>
      <c r="I189" s="425"/>
      <c r="J189" s="425"/>
      <c r="K189" s="425"/>
      <c r="L189" s="511"/>
      <c r="M189" s="425"/>
      <c r="N189" s="977"/>
      <c r="O189" s="425"/>
      <c r="P189" s="425"/>
      <c r="Q189" s="425"/>
      <c r="R189" s="511"/>
      <c r="S189" s="425"/>
      <c r="T189" s="977"/>
      <c r="U189" s="425"/>
    </row>
    <row r="190" ht="15.75" customHeight="1">
      <c r="A190" s="425"/>
      <c r="B190" s="425"/>
      <c r="C190" s="425"/>
      <c r="D190" s="425"/>
      <c r="E190" s="425"/>
      <c r="F190" s="511"/>
      <c r="G190" s="425"/>
      <c r="H190" s="977"/>
      <c r="I190" s="425"/>
      <c r="J190" s="425"/>
      <c r="K190" s="425"/>
      <c r="L190" s="511"/>
      <c r="M190" s="425"/>
      <c r="N190" s="977"/>
      <c r="O190" s="425"/>
      <c r="P190" s="425"/>
      <c r="Q190" s="425"/>
      <c r="R190" s="511"/>
      <c r="S190" s="425"/>
      <c r="T190" s="977"/>
      <c r="U190" s="425"/>
    </row>
    <row r="191" ht="15.75" customHeight="1">
      <c r="A191" s="425"/>
      <c r="B191" s="425"/>
      <c r="C191" s="425"/>
      <c r="D191" s="425"/>
      <c r="E191" s="425"/>
      <c r="F191" s="511"/>
      <c r="G191" s="425"/>
      <c r="H191" s="977"/>
      <c r="I191" s="425"/>
      <c r="J191" s="425"/>
      <c r="K191" s="425"/>
      <c r="L191" s="511"/>
      <c r="M191" s="425"/>
      <c r="N191" s="977"/>
      <c r="O191" s="425"/>
      <c r="P191" s="425"/>
      <c r="Q191" s="425"/>
      <c r="R191" s="511"/>
      <c r="S191" s="425"/>
      <c r="T191" s="977"/>
      <c r="U191" s="425"/>
    </row>
    <row r="192" ht="15.75" customHeight="1">
      <c r="A192" s="425"/>
      <c r="B192" s="425"/>
      <c r="C192" s="425"/>
      <c r="D192" s="425"/>
      <c r="E192" s="425"/>
      <c r="F192" s="511"/>
      <c r="G192" s="425"/>
      <c r="H192" s="977"/>
      <c r="I192" s="425"/>
      <c r="J192" s="425"/>
      <c r="K192" s="425"/>
      <c r="L192" s="511"/>
      <c r="M192" s="425"/>
      <c r="N192" s="977"/>
      <c r="O192" s="425"/>
      <c r="P192" s="425"/>
      <c r="Q192" s="425"/>
      <c r="R192" s="511"/>
      <c r="S192" s="425"/>
      <c r="T192" s="977"/>
      <c r="U192" s="425"/>
    </row>
    <row r="193" ht="15.75" customHeight="1">
      <c r="A193" s="425"/>
      <c r="B193" s="425"/>
      <c r="C193" s="425"/>
      <c r="D193" s="425"/>
      <c r="E193" s="425"/>
      <c r="F193" s="511"/>
      <c r="G193" s="425"/>
      <c r="H193" s="977"/>
      <c r="I193" s="425"/>
      <c r="J193" s="425"/>
      <c r="K193" s="425"/>
      <c r="L193" s="511"/>
      <c r="M193" s="425"/>
      <c r="N193" s="977"/>
      <c r="O193" s="425"/>
      <c r="P193" s="425"/>
      <c r="Q193" s="425"/>
      <c r="R193" s="511"/>
      <c r="S193" s="425"/>
      <c r="T193" s="977"/>
      <c r="U193" s="425"/>
    </row>
    <row r="194" ht="15.75" customHeight="1">
      <c r="A194" s="425"/>
      <c r="B194" s="425"/>
      <c r="C194" s="425"/>
      <c r="D194" s="425"/>
      <c r="E194" s="425"/>
      <c r="F194" s="511"/>
      <c r="G194" s="425"/>
      <c r="H194" s="977"/>
      <c r="I194" s="425"/>
      <c r="J194" s="425"/>
      <c r="K194" s="425"/>
      <c r="L194" s="511"/>
      <c r="M194" s="425"/>
      <c r="N194" s="977"/>
      <c r="O194" s="425"/>
      <c r="P194" s="425"/>
      <c r="Q194" s="425"/>
      <c r="R194" s="511"/>
      <c r="S194" s="425"/>
      <c r="T194" s="977"/>
      <c r="U194" s="425"/>
    </row>
    <row r="195" ht="15.75" customHeight="1">
      <c r="A195" s="425"/>
      <c r="B195" s="425"/>
      <c r="C195" s="425"/>
      <c r="D195" s="425"/>
      <c r="E195" s="425"/>
      <c r="F195" s="511"/>
      <c r="G195" s="425"/>
      <c r="H195" s="977"/>
      <c r="I195" s="425"/>
      <c r="J195" s="425"/>
      <c r="K195" s="425"/>
      <c r="L195" s="511"/>
      <c r="M195" s="425"/>
      <c r="N195" s="977"/>
      <c r="O195" s="425"/>
      <c r="P195" s="425"/>
      <c r="Q195" s="425"/>
      <c r="R195" s="511"/>
      <c r="S195" s="425"/>
      <c r="T195" s="977"/>
      <c r="U195" s="425"/>
    </row>
    <row r="196" ht="15.75" customHeight="1">
      <c r="A196" s="425"/>
      <c r="B196" s="425"/>
      <c r="C196" s="425"/>
      <c r="D196" s="425"/>
      <c r="E196" s="425"/>
      <c r="F196" s="511"/>
      <c r="G196" s="425"/>
      <c r="H196" s="977"/>
      <c r="I196" s="425"/>
      <c r="J196" s="425"/>
      <c r="K196" s="425"/>
      <c r="L196" s="511"/>
      <c r="M196" s="425"/>
      <c r="N196" s="977"/>
      <c r="O196" s="425"/>
      <c r="P196" s="425"/>
      <c r="Q196" s="425"/>
      <c r="R196" s="511"/>
      <c r="S196" s="425"/>
      <c r="T196" s="977"/>
      <c r="U196" s="425"/>
    </row>
    <row r="197" ht="15.75" customHeight="1">
      <c r="A197" s="425"/>
      <c r="B197" s="425"/>
      <c r="C197" s="425"/>
      <c r="D197" s="425"/>
      <c r="E197" s="425"/>
      <c r="F197" s="511"/>
      <c r="G197" s="425"/>
      <c r="H197" s="977"/>
      <c r="I197" s="425"/>
      <c r="J197" s="425"/>
      <c r="K197" s="425"/>
      <c r="L197" s="511"/>
      <c r="M197" s="425"/>
      <c r="N197" s="977"/>
      <c r="O197" s="425"/>
      <c r="P197" s="425"/>
      <c r="Q197" s="425"/>
      <c r="R197" s="511"/>
      <c r="S197" s="425"/>
      <c r="T197" s="977"/>
      <c r="U197" s="425"/>
    </row>
    <row r="198" ht="15.75" customHeight="1">
      <c r="A198" s="425"/>
      <c r="B198" s="425"/>
      <c r="C198" s="425"/>
      <c r="D198" s="425"/>
      <c r="E198" s="425"/>
      <c r="F198" s="511"/>
      <c r="G198" s="425"/>
      <c r="H198" s="977"/>
      <c r="I198" s="425"/>
      <c r="J198" s="425"/>
      <c r="K198" s="425"/>
      <c r="L198" s="511"/>
      <c r="M198" s="425"/>
      <c r="N198" s="977"/>
      <c r="O198" s="425"/>
      <c r="P198" s="425"/>
      <c r="Q198" s="425"/>
      <c r="R198" s="511"/>
      <c r="S198" s="425"/>
      <c r="T198" s="977"/>
      <c r="U198" s="425"/>
    </row>
    <row r="199" ht="15.75" customHeight="1">
      <c r="A199" s="425"/>
      <c r="B199" s="425"/>
      <c r="C199" s="425"/>
      <c r="D199" s="425"/>
      <c r="E199" s="425"/>
      <c r="F199" s="511"/>
      <c r="G199" s="425"/>
      <c r="H199" s="977"/>
      <c r="I199" s="425"/>
      <c r="J199" s="425"/>
      <c r="K199" s="425"/>
      <c r="L199" s="511"/>
      <c r="M199" s="425"/>
      <c r="N199" s="977"/>
      <c r="O199" s="425"/>
      <c r="P199" s="425"/>
      <c r="Q199" s="425"/>
      <c r="R199" s="511"/>
      <c r="S199" s="425"/>
      <c r="T199" s="977"/>
      <c r="U199" s="425"/>
    </row>
    <row r="200" ht="15.75" customHeight="1">
      <c r="A200" s="425"/>
      <c r="B200" s="425"/>
      <c r="C200" s="425"/>
      <c r="D200" s="425"/>
      <c r="E200" s="425"/>
      <c r="F200" s="511"/>
      <c r="G200" s="425"/>
      <c r="H200" s="977"/>
      <c r="I200" s="425"/>
      <c r="J200" s="425"/>
      <c r="K200" s="425"/>
      <c r="L200" s="511"/>
      <c r="M200" s="425"/>
      <c r="N200" s="977"/>
      <c r="O200" s="425"/>
      <c r="P200" s="425"/>
      <c r="Q200" s="425"/>
      <c r="R200" s="511"/>
      <c r="S200" s="425"/>
      <c r="T200" s="977"/>
      <c r="U200" s="425"/>
    </row>
    <row r="201" ht="15.75" customHeight="1">
      <c r="A201" s="425"/>
      <c r="B201" s="425"/>
      <c r="C201" s="425"/>
      <c r="D201" s="425"/>
      <c r="E201" s="425"/>
      <c r="F201" s="511"/>
      <c r="G201" s="425"/>
      <c r="H201" s="977"/>
      <c r="I201" s="425"/>
      <c r="J201" s="425"/>
      <c r="K201" s="425"/>
      <c r="L201" s="511"/>
      <c r="M201" s="425"/>
      <c r="N201" s="977"/>
      <c r="O201" s="425"/>
      <c r="P201" s="425"/>
      <c r="Q201" s="425"/>
      <c r="R201" s="511"/>
      <c r="S201" s="425"/>
      <c r="T201" s="977"/>
      <c r="U201" s="425"/>
    </row>
    <row r="202" ht="15.75" customHeight="1">
      <c r="A202" s="425"/>
      <c r="B202" s="425"/>
      <c r="C202" s="425"/>
      <c r="D202" s="425"/>
      <c r="E202" s="425"/>
      <c r="F202" s="511"/>
      <c r="G202" s="425"/>
      <c r="H202" s="977"/>
      <c r="I202" s="425"/>
      <c r="J202" s="425"/>
      <c r="K202" s="425"/>
      <c r="L202" s="511"/>
      <c r="M202" s="425"/>
      <c r="N202" s="977"/>
      <c r="O202" s="425"/>
      <c r="P202" s="425"/>
      <c r="Q202" s="425"/>
      <c r="R202" s="511"/>
      <c r="S202" s="425"/>
      <c r="T202" s="977"/>
      <c r="U202" s="425"/>
    </row>
    <row r="203" ht="15.75" customHeight="1">
      <c r="A203" s="425"/>
      <c r="B203" s="425"/>
      <c r="C203" s="425"/>
      <c r="D203" s="425"/>
      <c r="E203" s="425"/>
      <c r="F203" s="511"/>
      <c r="G203" s="425"/>
      <c r="H203" s="977"/>
      <c r="I203" s="425"/>
      <c r="J203" s="425"/>
      <c r="K203" s="425"/>
      <c r="L203" s="511"/>
      <c r="M203" s="425"/>
      <c r="N203" s="977"/>
      <c r="O203" s="425"/>
      <c r="P203" s="425"/>
      <c r="Q203" s="425"/>
      <c r="R203" s="511"/>
      <c r="S203" s="425"/>
      <c r="T203" s="977"/>
      <c r="U203" s="425"/>
    </row>
    <row r="204" ht="15.75" customHeight="1">
      <c r="A204" s="425"/>
      <c r="B204" s="425"/>
      <c r="C204" s="425"/>
      <c r="D204" s="425"/>
      <c r="E204" s="425"/>
      <c r="F204" s="511"/>
      <c r="G204" s="425"/>
      <c r="H204" s="977"/>
      <c r="I204" s="425"/>
      <c r="J204" s="425"/>
      <c r="K204" s="425"/>
      <c r="L204" s="511"/>
      <c r="M204" s="425"/>
      <c r="N204" s="977"/>
      <c r="O204" s="425"/>
      <c r="P204" s="425"/>
      <c r="Q204" s="425"/>
      <c r="R204" s="511"/>
      <c r="S204" s="425"/>
      <c r="T204" s="977"/>
      <c r="U204" s="425"/>
    </row>
    <row r="205" ht="15.75" customHeight="1">
      <c r="A205" s="425"/>
      <c r="B205" s="425"/>
      <c r="C205" s="425"/>
      <c r="D205" s="425"/>
      <c r="E205" s="425"/>
      <c r="F205" s="511"/>
      <c r="G205" s="425"/>
      <c r="H205" s="977"/>
      <c r="I205" s="425"/>
      <c r="J205" s="425"/>
      <c r="K205" s="425"/>
      <c r="L205" s="511"/>
      <c r="M205" s="425"/>
      <c r="N205" s="977"/>
      <c r="O205" s="425"/>
      <c r="P205" s="425"/>
      <c r="Q205" s="425"/>
      <c r="R205" s="511"/>
      <c r="S205" s="425"/>
      <c r="T205" s="977"/>
      <c r="U205" s="425"/>
    </row>
    <row r="206" ht="15.75" customHeight="1">
      <c r="A206" s="425"/>
      <c r="B206" s="425"/>
      <c r="C206" s="425"/>
      <c r="D206" s="425"/>
      <c r="E206" s="425"/>
      <c r="F206" s="511"/>
      <c r="G206" s="425"/>
      <c r="H206" s="977"/>
      <c r="I206" s="425"/>
      <c r="J206" s="425"/>
      <c r="K206" s="425"/>
      <c r="L206" s="511"/>
      <c r="M206" s="425"/>
      <c r="N206" s="977"/>
      <c r="O206" s="425"/>
      <c r="P206" s="425"/>
      <c r="Q206" s="425"/>
      <c r="R206" s="511"/>
      <c r="S206" s="425"/>
      <c r="T206" s="977"/>
      <c r="U206" s="425"/>
    </row>
    <row r="207" ht="15.75" customHeight="1">
      <c r="A207" s="425"/>
      <c r="B207" s="425"/>
      <c r="C207" s="425"/>
      <c r="D207" s="425"/>
      <c r="E207" s="425"/>
      <c r="F207" s="511"/>
      <c r="G207" s="425"/>
      <c r="H207" s="977"/>
      <c r="I207" s="425"/>
      <c r="J207" s="425"/>
      <c r="K207" s="425"/>
      <c r="L207" s="511"/>
      <c r="M207" s="425"/>
      <c r="N207" s="977"/>
      <c r="O207" s="425"/>
      <c r="P207" s="425"/>
      <c r="Q207" s="425"/>
      <c r="R207" s="511"/>
      <c r="S207" s="425"/>
      <c r="T207" s="977"/>
      <c r="U207" s="425"/>
    </row>
    <row r="208" ht="15.75" customHeight="1">
      <c r="A208" s="425"/>
      <c r="B208" s="425"/>
      <c r="C208" s="425"/>
      <c r="D208" s="425"/>
      <c r="E208" s="425"/>
      <c r="F208" s="511"/>
      <c r="G208" s="425"/>
      <c r="H208" s="977"/>
      <c r="I208" s="425"/>
      <c r="J208" s="425"/>
      <c r="K208" s="425"/>
      <c r="L208" s="511"/>
      <c r="M208" s="425"/>
      <c r="N208" s="977"/>
      <c r="O208" s="425"/>
      <c r="P208" s="425"/>
      <c r="Q208" s="425"/>
      <c r="R208" s="511"/>
      <c r="S208" s="425"/>
      <c r="T208" s="977"/>
      <c r="U208" s="425"/>
    </row>
    <row r="209" ht="15.75" customHeight="1">
      <c r="A209" s="425"/>
      <c r="B209" s="425"/>
      <c r="C209" s="425"/>
      <c r="D209" s="425"/>
      <c r="E209" s="425"/>
      <c r="F209" s="511"/>
      <c r="G209" s="425"/>
      <c r="H209" s="977"/>
      <c r="I209" s="425"/>
      <c r="J209" s="425"/>
      <c r="K209" s="425"/>
      <c r="L209" s="511"/>
      <c r="M209" s="425"/>
      <c r="N209" s="977"/>
      <c r="O209" s="425"/>
      <c r="P209" s="425"/>
      <c r="Q209" s="425"/>
      <c r="R209" s="511"/>
      <c r="S209" s="425"/>
      <c r="T209" s="977"/>
      <c r="U209" s="425"/>
    </row>
    <row r="210" ht="15.75" customHeight="1">
      <c r="A210" s="425"/>
      <c r="B210" s="425"/>
      <c r="C210" s="425"/>
      <c r="D210" s="425"/>
      <c r="E210" s="425"/>
      <c r="F210" s="511"/>
      <c r="G210" s="425"/>
      <c r="H210" s="977"/>
      <c r="I210" s="425"/>
      <c r="J210" s="425"/>
      <c r="K210" s="425"/>
      <c r="L210" s="511"/>
      <c r="M210" s="425"/>
      <c r="N210" s="977"/>
      <c r="O210" s="425"/>
      <c r="P210" s="425"/>
      <c r="Q210" s="425"/>
      <c r="R210" s="511"/>
      <c r="S210" s="425"/>
      <c r="T210" s="977"/>
      <c r="U210" s="425"/>
    </row>
    <row r="211" ht="15.75" customHeight="1">
      <c r="A211" s="425"/>
      <c r="B211" s="425"/>
      <c r="C211" s="425"/>
      <c r="D211" s="425"/>
      <c r="E211" s="425"/>
      <c r="F211" s="511"/>
      <c r="G211" s="425"/>
      <c r="H211" s="977"/>
      <c r="I211" s="425"/>
      <c r="J211" s="425"/>
      <c r="K211" s="425"/>
      <c r="L211" s="511"/>
      <c r="M211" s="425"/>
      <c r="N211" s="977"/>
      <c r="O211" s="425"/>
      <c r="P211" s="425"/>
      <c r="Q211" s="425"/>
      <c r="R211" s="511"/>
      <c r="S211" s="425"/>
      <c r="T211" s="977"/>
      <c r="U211" s="425"/>
    </row>
    <row r="212" ht="15.75" customHeight="1">
      <c r="A212" s="425"/>
      <c r="B212" s="425"/>
      <c r="C212" s="425"/>
      <c r="D212" s="425"/>
      <c r="E212" s="425"/>
      <c r="F212" s="511"/>
      <c r="G212" s="425"/>
      <c r="H212" s="977"/>
      <c r="I212" s="425"/>
      <c r="J212" s="425"/>
      <c r="K212" s="425"/>
      <c r="L212" s="511"/>
      <c r="M212" s="425"/>
      <c r="N212" s="977"/>
      <c r="O212" s="425"/>
      <c r="P212" s="425"/>
      <c r="Q212" s="425"/>
      <c r="R212" s="511"/>
      <c r="S212" s="425"/>
      <c r="T212" s="977"/>
      <c r="U212" s="425"/>
    </row>
    <row r="213" ht="15.75" customHeight="1">
      <c r="A213" s="425"/>
      <c r="B213" s="425"/>
      <c r="C213" s="425"/>
      <c r="D213" s="425"/>
      <c r="E213" s="425"/>
      <c r="F213" s="511"/>
      <c r="G213" s="425"/>
      <c r="H213" s="977"/>
      <c r="I213" s="425"/>
      <c r="J213" s="425"/>
      <c r="K213" s="425"/>
      <c r="L213" s="511"/>
      <c r="M213" s="425"/>
      <c r="N213" s="977"/>
      <c r="O213" s="425"/>
      <c r="P213" s="425"/>
      <c r="Q213" s="425"/>
      <c r="R213" s="511"/>
      <c r="S213" s="425"/>
      <c r="T213" s="977"/>
      <c r="U213" s="425"/>
    </row>
    <row r="214" ht="15.75" customHeight="1">
      <c r="A214" s="425"/>
      <c r="B214" s="425"/>
      <c r="C214" s="425"/>
      <c r="D214" s="425"/>
      <c r="E214" s="425"/>
      <c r="F214" s="511"/>
      <c r="G214" s="425"/>
      <c r="H214" s="977"/>
      <c r="I214" s="425"/>
      <c r="J214" s="425"/>
      <c r="K214" s="425"/>
      <c r="L214" s="511"/>
      <c r="M214" s="425"/>
      <c r="N214" s="977"/>
      <c r="O214" s="425"/>
      <c r="P214" s="425"/>
      <c r="Q214" s="425"/>
      <c r="R214" s="511"/>
      <c r="S214" s="425"/>
      <c r="T214" s="977"/>
      <c r="U214" s="425"/>
    </row>
    <row r="215" ht="15.75" customHeight="1">
      <c r="A215" s="425"/>
      <c r="B215" s="425"/>
      <c r="C215" s="425"/>
      <c r="D215" s="425"/>
      <c r="E215" s="425"/>
      <c r="F215" s="511"/>
      <c r="G215" s="425"/>
      <c r="H215" s="977"/>
      <c r="I215" s="425"/>
      <c r="J215" s="425"/>
      <c r="K215" s="425"/>
      <c r="L215" s="511"/>
      <c r="M215" s="425"/>
      <c r="N215" s="977"/>
      <c r="O215" s="425"/>
      <c r="P215" s="425"/>
      <c r="Q215" s="425"/>
      <c r="R215" s="511"/>
      <c r="S215" s="425"/>
      <c r="T215" s="977"/>
      <c r="U215" s="425"/>
    </row>
    <row r="216" ht="15.75" customHeight="1">
      <c r="A216" s="425"/>
      <c r="B216" s="425"/>
      <c r="C216" s="425"/>
      <c r="D216" s="425"/>
      <c r="E216" s="425"/>
      <c r="F216" s="511"/>
      <c r="G216" s="425"/>
      <c r="H216" s="977"/>
      <c r="I216" s="425"/>
      <c r="J216" s="425"/>
      <c r="K216" s="425"/>
      <c r="L216" s="511"/>
      <c r="M216" s="425"/>
      <c r="N216" s="977"/>
      <c r="O216" s="425"/>
      <c r="P216" s="425"/>
      <c r="Q216" s="425"/>
      <c r="R216" s="511"/>
      <c r="S216" s="425"/>
      <c r="T216" s="977"/>
      <c r="U216" s="425"/>
    </row>
    <row r="217" ht="15.75" customHeight="1">
      <c r="A217" s="425"/>
      <c r="B217" s="425"/>
      <c r="C217" s="425"/>
      <c r="D217" s="425"/>
      <c r="E217" s="425"/>
      <c r="F217" s="511"/>
      <c r="G217" s="425"/>
      <c r="H217" s="977"/>
      <c r="I217" s="425"/>
      <c r="J217" s="425"/>
      <c r="K217" s="425"/>
      <c r="L217" s="511"/>
      <c r="M217" s="425"/>
      <c r="N217" s="977"/>
      <c r="O217" s="425"/>
      <c r="P217" s="425"/>
      <c r="Q217" s="425"/>
      <c r="R217" s="511"/>
      <c r="S217" s="425"/>
      <c r="T217" s="977"/>
      <c r="U217" s="425"/>
    </row>
    <row r="218" ht="15.75" customHeight="1">
      <c r="A218" s="425"/>
      <c r="B218" s="425"/>
      <c r="C218" s="425"/>
      <c r="D218" s="425"/>
      <c r="E218" s="425"/>
      <c r="F218" s="511"/>
      <c r="G218" s="425"/>
      <c r="H218" s="977"/>
      <c r="I218" s="425"/>
      <c r="J218" s="425"/>
      <c r="K218" s="425"/>
      <c r="L218" s="511"/>
      <c r="M218" s="425"/>
      <c r="N218" s="977"/>
      <c r="O218" s="425"/>
      <c r="P218" s="425"/>
      <c r="Q218" s="425"/>
      <c r="R218" s="511"/>
      <c r="S218" s="425"/>
      <c r="T218" s="977"/>
      <c r="U218" s="425"/>
    </row>
    <row r="219" ht="15.75" customHeight="1">
      <c r="A219" s="425"/>
      <c r="B219" s="425"/>
      <c r="C219" s="425"/>
      <c r="D219" s="425"/>
      <c r="E219" s="425"/>
      <c r="F219" s="511"/>
      <c r="G219" s="425"/>
      <c r="H219" s="977"/>
      <c r="I219" s="425"/>
      <c r="J219" s="425"/>
      <c r="K219" s="425"/>
      <c r="L219" s="511"/>
      <c r="M219" s="425"/>
      <c r="N219" s="977"/>
      <c r="O219" s="425"/>
      <c r="P219" s="425"/>
      <c r="Q219" s="425"/>
      <c r="R219" s="511"/>
      <c r="S219" s="425"/>
      <c r="T219" s="977"/>
      <c r="U219" s="425"/>
    </row>
    <row r="220" ht="15.75" customHeight="1">
      <c r="A220" s="425"/>
      <c r="B220" s="425"/>
      <c r="C220" s="425"/>
      <c r="D220" s="425"/>
      <c r="E220" s="425"/>
      <c r="F220" s="511"/>
      <c r="G220" s="425"/>
      <c r="H220" s="977"/>
      <c r="I220" s="425"/>
      <c r="J220" s="425"/>
      <c r="K220" s="425"/>
      <c r="L220" s="511"/>
      <c r="M220" s="425"/>
      <c r="N220" s="977"/>
      <c r="O220" s="425"/>
      <c r="P220" s="425"/>
      <c r="Q220" s="425"/>
      <c r="R220" s="511"/>
      <c r="S220" s="425"/>
      <c r="T220" s="977"/>
      <c r="U220" s="425"/>
    </row>
    <row r="221" ht="15.75" customHeight="1">
      <c r="A221" s="425"/>
      <c r="B221" s="425"/>
      <c r="C221" s="425"/>
      <c r="D221" s="425"/>
      <c r="E221" s="425"/>
      <c r="F221" s="511"/>
      <c r="G221" s="425"/>
      <c r="H221" s="977"/>
      <c r="I221" s="425"/>
      <c r="J221" s="425"/>
      <c r="K221" s="425"/>
      <c r="L221" s="511"/>
      <c r="M221" s="425"/>
      <c r="N221" s="977"/>
      <c r="O221" s="425"/>
      <c r="P221" s="425"/>
      <c r="Q221" s="425"/>
      <c r="R221" s="511"/>
      <c r="S221" s="425"/>
      <c r="T221" s="977"/>
      <c r="U221" s="425"/>
    </row>
    <row r="222" ht="15.75" customHeight="1">
      <c r="A222" s="425"/>
      <c r="B222" s="425"/>
      <c r="C222" s="425"/>
      <c r="D222" s="425"/>
      <c r="E222" s="425"/>
      <c r="F222" s="511"/>
      <c r="G222" s="425"/>
      <c r="H222" s="977"/>
      <c r="I222" s="425"/>
      <c r="J222" s="425"/>
      <c r="K222" s="425"/>
      <c r="L222" s="511"/>
      <c r="M222" s="425"/>
      <c r="N222" s="977"/>
      <c r="O222" s="425"/>
      <c r="P222" s="425"/>
      <c r="Q222" s="425"/>
      <c r="R222" s="511"/>
      <c r="S222" s="425"/>
      <c r="T222" s="977"/>
      <c r="U222" s="425"/>
    </row>
    <row r="223" ht="15.75" customHeight="1">
      <c r="A223" s="425"/>
      <c r="B223" s="425"/>
      <c r="C223" s="425"/>
      <c r="D223" s="425"/>
      <c r="E223" s="425"/>
      <c r="F223" s="511"/>
      <c r="G223" s="425"/>
      <c r="H223" s="977"/>
      <c r="I223" s="425"/>
      <c r="J223" s="425"/>
      <c r="K223" s="425"/>
      <c r="L223" s="511"/>
      <c r="M223" s="425"/>
      <c r="N223" s="977"/>
      <c r="O223" s="425"/>
      <c r="P223" s="425"/>
      <c r="Q223" s="425"/>
      <c r="R223" s="511"/>
      <c r="S223" s="425"/>
      <c r="T223" s="977"/>
      <c r="U223" s="425"/>
    </row>
    <row r="224" ht="15.75" customHeight="1">
      <c r="A224" s="425"/>
      <c r="B224" s="425"/>
      <c r="C224" s="425"/>
      <c r="D224" s="425"/>
      <c r="E224" s="425"/>
      <c r="F224" s="511"/>
      <c r="G224" s="425"/>
      <c r="H224" s="977"/>
      <c r="I224" s="425"/>
      <c r="J224" s="425"/>
      <c r="K224" s="425"/>
      <c r="L224" s="511"/>
      <c r="M224" s="425"/>
      <c r="N224" s="977"/>
      <c r="O224" s="425"/>
      <c r="P224" s="425"/>
      <c r="Q224" s="425"/>
      <c r="R224" s="511"/>
      <c r="S224" s="425"/>
      <c r="T224" s="977"/>
      <c r="U224" s="425"/>
    </row>
    <row r="225" ht="15.75" customHeight="1">
      <c r="A225" s="425"/>
      <c r="B225" s="425"/>
      <c r="C225" s="425"/>
      <c r="D225" s="425"/>
      <c r="E225" s="425"/>
      <c r="F225" s="511"/>
      <c r="G225" s="425"/>
      <c r="H225" s="977"/>
      <c r="I225" s="425"/>
      <c r="J225" s="425"/>
      <c r="K225" s="425"/>
      <c r="L225" s="511"/>
      <c r="M225" s="425"/>
      <c r="N225" s="977"/>
      <c r="O225" s="425"/>
      <c r="P225" s="425"/>
      <c r="Q225" s="425"/>
      <c r="R225" s="511"/>
      <c r="S225" s="425"/>
      <c r="T225" s="977"/>
      <c r="U225" s="425"/>
    </row>
    <row r="226" ht="15.75" customHeight="1">
      <c r="A226" s="425"/>
      <c r="B226" s="425"/>
      <c r="C226" s="425"/>
      <c r="D226" s="425"/>
      <c r="E226" s="425"/>
      <c r="F226" s="511"/>
      <c r="G226" s="425"/>
      <c r="H226" s="977"/>
      <c r="I226" s="425"/>
      <c r="J226" s="425"/>
      <c r="K226" s="425"/>
      <c r="L226" s="511"/>
      <c r="M226" s="425"/>
      <c r="N226" s="977"/>
      <c r="O226" s="425"/>
      <c r="P226" s="425"/>
      <c r="Q226" s="425"/>
      <c r="R226" s="511"/>
      <c r="S226" s="425"/>
      <c r="T226" s="977"/>
      <c r="U226" s="425"/>
    </row>
    <row r="227" ht="15.75" customHeight="1">
      <c r="A227" s="425"/>
      <c r="B227" s="425"/>
      <c r="C227" s="425"/>
      <c r="D227" s="425"/>
      <c r="E227" s="425"/>
      <c r="F227" s="511"/>
      <c r="G227" s="425"/>
      <c r="H227" s="977"/>
      <c r="I227" s="425"/>
      <c r="J227" s="425"/>
      <c r="K227" s="425"/>
      <c r="L227" s="511"/>
      <c r="M227" s="425"/>
      <c r="N227" s="977"/>
      <c r="O227" s="425"/>
      <c r="P227" s="425"/>
      <c r="Q227" s="425"/>
      <c r="R227" s="511"/>
      <c r="S227" s="425"/>
      <c r="T227" s="977"/>
      <c r="U227" s="425"/>
    </row>
    <row r="228" ht="15.75" customHeight="1">
      <c r="A228" s="425"/>
      <c r="B228" s="425"/>
      <c r="C228" s="425"/>
      <c r="D228" s="425"/>
      <c r="E228" s="425"/>
      <c r="F228" s="511"/>
      <c r="G228" s="425"/>
      <c r="H228" s="977"/>
      <c r="I228" s="425"/>
      <c r="J228" s="425"/>
      <c r="K228" s="425"/>
      <c r="L228" s="511"/>
      <c r="M228" s="425"/>
      <c r="N228" s="977"/>
      <c r="O228" s="425"/>
      <c r="P228" s="425"/>
      <c r="Q228" s="425"/>
      <c r="R228" s="511"/>
      <c r="S228" s="425"/>
      <c r="T228" s="977"/>
      <c r="U228" s="425"/>
    </row>
    <row r="229" ht="15.75" customHeight="1">
      <c r="A229" s="425"/>
      <c r="B229" s="425"/>
      <c r="C229" s="425"/>
      <c r="D229" s="425"/>
      <c r="E229" s="425"/>
      <c r="F229" s="511"/>
      <c r="G229" s="425"/>
      <c r="H229" s="977"/>
      <c r="I229" s="425"/>
      <c r="J229" s="425"/>
      <c r="K229" s="425"/>
      <c r="L229" s="511"/>
      <c r="M229" s="425"/>
      <c r="N229" s="977"/>
      <c r="O229" s="425"/>
      <c r="P229" s="425"/>
      <c r="Q229" s="425"/>
      <c r="R229" s="511"/>
      <c r="S229" s="425"/>
      <c r="T229" s="977"/>
      <c r="U229" s="425"/>
    </row>
    <row r="230" ht="15.75" customHeight="1">
      <c r="A230" s="425"/>
      <c r="B230" s="425"/>
      <c r="C230" s="425"/>
      <c r="D230" s="425"/>
      <c r="E230" s="425"/>
      <c r="F230" s="511"/>
      <c r="G230" s="425"/>
      <c r="H230" s="977"/>
      <c r="I230" s="425"/>
      <c r="J230" s="425"/>
      <c r="K230" s="425"/>
      <c r="L230" s="511"/>
      <c r="M230" s="425"/>
      <c r="N230" s="977"/>
      <c r="O230" s="425"/>
      <c r="P230" s="425"/>
      <c r="Q230" s="425"/>
      <c r="R230" s="511"/>
      <c r="S230" s="425"/>
      <c r="T230" s="977"/>
      <c r="U230" s="425"/>
    </row>
    <row r="231" ht="15.75" customHeight="1">
      <c r="A231" s="425"/>
      <c r="B231" s="425"/>
      <c r="C231" s="425"/>
      <c r="D231" s="425"/>
      <c r="E231" s="425"/>
      <c r="F231" s="511"/>
      <c r="G231" s="425"/>
      <c r="H231" s="977"/>
      <c r="I231" s="425"/>
      <c r="J231" s="425"/>
      <c r="K231" s="425"/>
      <c r="L231" s="511"/>
      <c r="M231" s="425"/>
      <c r="N231" s="977"/>
      <c r="O231" s="425"/>
      <c r="P231" s="425"/>
      <c r="Q231" s="425"/>
      <c r="R231" s="511"/>
      <c r="S231" s="425"/>
      <c r="T231" s="977"/>
      <c r="U231" s="425"/>
    </row>
    <row r="232" ht="15.75" customHeight="1">
      <c r="A232" s="425"/>
      <c r="B232" s="425"/>
      <c r="C232" s="425"/>
      <c r="D232" s="425"/>
      <c r="E232" s="425"/>
      <c r="F232" s="511"/>
      <c r="G232" s="425"/>
      <c r="H232" s="977"/>
      <c r="I232" s="425"/>
      <c r="J232" s="425"/>
      <c r="K232" s="425"/>
      <c r="L232" s="511"/>
      <c r="M232" s="425"/>
      <c r="N232" s="977"/>
      <c r="O232" s="425"/>
      <c r="P232" s="425"/>
      <c r="Q232" s="425"/>
      <c r="R232" s="511"/>
      <c r="S232" s="425"/>
      <c r="T232" s="977"/>
      <c r="U232" s="425"/>
    </row>
    <row r="233" ht="15.75" customHeight="1">
      <c r="A233" s="425"/>
      <c r="B233" s="425"/>
      <c r="C233" s="425"/>
      <c r="D233" s="425"/>
      <c r="E233" s="425"/>
      <c r="F233" s="511"/>
      <c r="G233" s="425"/>
      <c r="H233" s="977"/>
      <c r="I233" s="425"/>
      <c r="J233" s="425"/>
      <c r="K233" s="425"/>
      <c r="L233" s="511"/>
      <c r="M233" s="425"/>
      <c r="N233" s="977"/>
      <c r="O233" s="425"/>
      <c r="P233" s="425"/>
      <c r="Q233" s="425"/>
      <c r="R233" s="511"/>
      <c r="S233" s="425"/>
      <c r="T233" s="977"/>
      <c r="U233" s="425"/>
    </row>
    <row r="234" ht="15.75" customHeight="1">
      <c r="A234" s="425"/>
      <c r="B234" s="425"/>
      <c r="C234" s="425"/>
      <c r="D234" s="425"/>
      <c r="E234" s="425"/>
      <c r="F234" s="511"/>
      <c r="G234" s="425"/>
      <c r="H234" s="977"/>
      <c r="I234" s="425"/>
      <c r="J234" s="425"/>
      <c r="K234" s="425"/>
      <c r="L234" s="511"/>
      <c r="M234" s="425"/>
      <c r="N234" s="977"/>
      <c r="O234" s="425"/>
      <c r="P234" s="425"/>
      <c r="Q234" s="425"/>
      <c r="R234" s="511"/>
      <c r="S234" s="425"/>
      <c r="T234" s="977"/>
      <c r="U234" s="425"/>
    </row>
    <row r="235" ht="15.75" customHeight="1">
      <c r="A235" s="425"/>
      <c r="B235" s="425"/>
      <c r="C235" s="425"/>
      <c r="D235" s="425"/>
      <c r="E235" s="425"/>
      <c r="F235" s="511"/>
      <c r="G235" s="425"/>
      <c r="H235" s="977"/>
      <c r="I235" s="425"/>
      <c r="J235" s="425"/>
      <c r="K235" s="425"/>
      <c r="L235" s="511"/>
      <c r="M235" s="425"/>
      <c r="N235" s="977"/>
      <c r="O235" s="425"/>
      <c r="P235" s="425"/>
      <c r="Q235" s="425"/>
      <c r="R235" s="511"/>
      <c r="S235" s="425"/>
      <c r="T235" s="977"/>
      <c r="U235" s="425"/>
    </row>
    <row r="236" ht="15.75" customHeight="1">
      <c r="A236" s="425"/>
      <c r="B236" s="425"/>
      <c r="C236" s="425"/>
      <c r="D236" s="425"/>
      <c r="E236" s="425"/>
      <c r="F236" s="511"/>
      <c r="G236" s="425"/>
      <c r="H236" s="977"/>
      <c r="I236" s="425"/>
      <c r="J236" s="425"/>
      <c r="K236" s="425"/>
      <c r="L236" s="511"/>
      <c r="M236" s="425"/>
      <c r="N236" s="977"/>
      <c r="O236" s="425"/>
      <c r="P236" s="425"/>
      <c r="Q236" s="425"/>
      <c r="R236" s="511"/>
      <c r="S236" s="425"/>
      <c r="T236" s="977"/>
      <c r="U236" s="425"/>
    </row>
    <row r="237" ht="15.75" customHeight="1">
      <c r="A237" s="425"/>
      <c r="B237" s="425"/>
      <c r="C237" s="425"/>
      <c r="D237" s="425"/>
      <c r="E237" s="425"/>
      <c r="F237" s="511"/>
      <c r="G237" s="425"/>
      <c r="H237" s="977"/>
      <c r="I237" s="425"/>
      <c r="J237" s="425"/>
      <c r="K237" s="425"/>
      <c r="L237" s="511"/>
      <c r="M237" s="425"/>
      <c r="N237" s="977"/>
      <c r="O237" s="425"/>
      <c r="P237" s="425"/>
      <c r="Q237" s="425"/>
      <c r="R237" s="511"/>
      <c r="S237" s="425"/>
      <c r="T237" s="977"/>
      <c r="U237" s="425"/>
    </row>
    <row r="238" ht="15.75" customHeight="1">
      <c r="A238" s="425"/>
      <c r="B238" s="425"/>
      <c r="C238" s="425"/>
      <c r="D238" s="425"/>
      <c r="E238" s="425"/>
      <c r="F238" s="511"/>
      <c r="G238" s="425"/>
      <c r="H238" s="977"/>
      <c r="I238" s="425"/>
      <c r="J238" s="425"/>
      <c r="K238" s="425"/>
      <c r="L238" s="511"/>
      <c r="M238" s="425"/>
      <c r="N238" s="977"/>
      <c r="O238" s="425"/>
      <c r="P238" s="425"/>
      <c r="Q238" s="425"/>
      <c r="R238" s="511"/>
      <c r="S238" s="425"/>
      <c r="T238" s="977"/>
      <c r="U238" s="425"/>
    </row>
    <row r="239" ht="15.75" customHeight="1">
      <c r="A239" s="425"/>
      <c r="B239" s="425"/>
      <c r="C239" s="425"/>
      <c r="D239" s="425"/>
      <c r="E239" s="425"/>
      <c r="F239" s="511"/>
      <c r="G239" s="425"/>
      <c r="H239" s="977"/>
      <c r="I239" s="425"/>
      <c r="J239" s="425"/>
      <c r="K239" s="425"/>
      <c r="L239" s="511"/>
      <c r="M239" s="425"/>
      <c r="N239" s="977"/>
      <c r="O239" s="425"/>
      <c r="P239" s="425"/>
      <c r="Q239" s="425"/>
      <c r="R239" s="511"/>
      <c r="S239" s="425"/>
      <c r="T239" s="977"/>
      <c r="U239" s="425"/>
    </row>
    <row r="240" ht="15.75" customHeight="1">
      <c r="A240" s="425"/>
      <c r="B240" s="425"/>
      <c r="C240" s="425"/>
      <c r="D240" s="425"/>
      <c r="E240" s="425"/>
      <c r="F240" s="511"/>
      <c r="G240" s="425"/>
      <c r="H240" s="977"/>
      <c r="I240" s="425"/>
      <c r="J240" s="425"/>
      <c r="K240" s="425"/>
      <c r="L240" s="511"/>
      <c r="M240" s="425"/>
      <c r="N240" s="977"/>
      <c r="O240" s="425"/>
      <c r="P240" s="425"/>
      <c r="Q240" s="425"/>
      <c r="R240" s="511"/>
      <c r="S240" s="425"/>
      <c r="T240" s="977"/>
      <c r="U240" s="425"/>
    </row>
    <row r="241" ht="15.75" customHeight="1">
      <c r="A241" s="425"/>
      <c r="B241" s="425"/>
      <c r="C241" s="425"/>
      <c r="D241" s="425"/>
      <c r="E241" s="425"/>
      <c r="F241" s="511"/>
      <c r="G241" s="425"/>
      <c r="H241" s="977"/>
      <c r="I241" s="425"/>
      <c r="J241" s="425"/>
      <c r="K241" s="425"/>
      <c r="L241" s="511"/>
      <c r="M241" s="425"/>
      <c r="N241" s="977"/>
      <c r="O241" s="425"/>
      <c r="P241" s="425"/>
      <c r="Q241" s="425"/>
      <c r="R241" s="511"/>
      <c r="S241" s="425"/>
      <c r="T241" s="977"/>
      <c r="U241" s="425"/>
    </row>
    <row r="242" ht="15.75" customHeight="1">
      <c r="A242" s="425"/>
      <c r="B242" s="425"/>
      <c r="C242" s="425"/>
      <c r="D242" s="425"/>
      <c r="E242" s="425"/>
      <c r="F242" s="511"/>
      <c r="G242" s="425"/>
      <c r="H242" s="977"/>
      <c r="I242" s="425"/>
      <c r="J242" s="425"/>
      <c r="K242" s="425"/>
      <c r="L242" s="511"/>
      <c r="M242" s="425"/>
      <c r="N242" s="977"/>
      <c r="O242" s="425"/>
      <c r="P242" s="425"/>
      <c r="Q242" s="425"/>
      <c r="R242" s="511"/>
      <c r="S242" s="425"/>
      <c r="T242" s="977"/>
      <c r="U242" s="425"/>
    </row>
    <row r="243" ht="15.75" customHeight="1">
      <c r="A243" s="425"/>
      <c r="B243" s="425"/>
      <c r="C243" s="425"/>
      <c r="D243" s="425"/>
      <c r="E243" s="425"/>
      <c r="F243" s="511"/>
      <c r="G243" s="425"/>
      <c r="H243" s="977"/>
      <c r="I243" s="425"/>
      <c r="J243" s="425"/>
      <c r="K243" s="425"/>
      <c r="L243" s="511"/>
      <c r="M243" s="425"/>
      <c r="N243" s="977"/>
      <c r="O243" s="425"/>
      <c r="P243" s="425"/>
      <c r="Q243" s="425"/>
      <c r="R243" s="511"/>
      <c r="S243" s="425"/>
      <c r="T243" s="977"/>
      <c r="U243" s="425"/>
    </row>
    <row r="244" ht="15.75" customHeight="1">
      <c r="A244" s="425"/>
      <c r="B244" s="425"/>
      <c r="C244" s="425"/>
      <c r="D244" s="425"/>
      <c r="E244" s="425"/>
      <c r="F244" s="511"/>
      <c r="G244" s="425"/>
      <c r="H244" s="977"/>
      <c r="I244" s="425"/>
      <c r="J244" s="425"/>
      <c r="K244" s="425"/>
      <c r="L244" s="511"/>
      <c r="M244" s="425"/>
      <c r="N244" s="977"/>
      <c r="O244" s="425"/>
      <c r="P244" s="425"/>
      <c r="Q244" s="425"/>
      <c r="R244" s="511"/>
      <c r="S244" s="425"/>
      <c r="T244" s="977"/>
      <c r="U244" s="425"/>
    </row>
    <row r="245" ht="15.75" customHeight="1">
      <c r="A245" s="425"/>
      <c r="B245" s="425"/>
      <c r="C245" s="425"/>
      <c r="D245" s="425"/>
      <c r="E245" s="425"/>
      <c r="F245" s="511"/>
      <c r="G245" s="425"/>
      <c r="H245" s="977"/>
      <c r="I245" s="425"/>
      <c r="J245" s="425"/>
      <c r="K245" s="425"/>
      <c r="L245" s="511"/>
      <c r="M245" s="425"/>
      <c r="N245" s="977"/>
      <c r="O245" s="425"/>
      <c r="P245" s="425"/>
      <c r="Q245" s="425"/>
      <c r="R245" s="511"/>
      <c r="S245" s="425"/>
      <c r="T245" s="977"/>
      <c r="U245" s="425"/>
    </row>
    <row r="246" ht="15.75" customHeight="1">
      <c r="A246" s="425"/>
      <c r="B246" s="425"/>
      <c r="C246" s="425"/>
      <c r="D246" s="425"/>
      <c r="E246" s="425"/>
      <c r="F246" s="511"/>
      <c r="G246" s="425"/>
      <c r="H246" s="977"/>
      <c r="I246" s="425"/>
      <c r="J246" s="425"/>
      <c r="K246" s="425"/>
      <c r="L246" s="511"/>
      <c r="M246" s="425"/>
      <c r="N246" s="977"/>
      <c r="O246" s="425"/>
      <c r="P246" s="425"/>
      <c r="Q246" s="425"/>
      <c r="R246" s="511"/>
      <c r="S246" s="425"/>
      <c r="T246" s="977"/>
      <c r="U246" s="425"/>
    </row>
    <row r="247" ht="15.75" customHeight="1">
      <c r="A247" s="425"/>
      <c r="B247" s="425"/>
      <c r="C247" s="425"/>
      <c r="D247" s="425"/>
      <c r="E247" s="425"/>
      <c r="F247" s="511"/>
      <c r="G247" s="425"/>
      <c r="H247" s="977"/>
      <c r="I247" s="425"/>
      <c r="J247" s="425"/>
      <c r="K247" s="425"/>
      <c r="L247" s="511"/>
      <c r="M247" s="425"/>
      <c r="N247" s="977"/>
      <c r="O247" s="425"/>
      <c r="P247" s="425"/>
      <c r="Q247" s="425"/>
      <c r="R247" s="511"/>
      <c r="S247" s="425"/>
      <c r="T247" s="977"/>
      <c r="U247" s="425"/>
    </row>
    <row r="248" ht="15.75" customHeight="1">
      <c r="A248" s="425"/>
      <c r="B248" s="425"/>
      <c r="C248" s="425"/>
      <c r="D248" s="425"/>
      <c r="E248" s="425"/>
      <c r="F248" s="511"/>
      <c r="G248" s="425"/>
      <c r="H248" s="977"/>
      <c r="I248" s="425"/>
      <c r="J248" s="425"/>
      <c r="K248" s="425"/>
      <c r="L248" s="511"/>
      <c r="M248" s="425"/>
      <c r="N248" s="977"/>
      <c r="O248" s="425"/>
      <c r="P248" s="425"/>
      <c r="Q248" s="425"/>
      <c r="R248" s="511"/>
      <c r="S248" s="425"/>
      <c r="T248" s="977"/>
      <c r="U248" s="425"/>
    </row>
    <row r="249" ht="15.75" customHeight="1">
      <c r="A249" s="425"/>
      <c r="B249" s="425"/>
      <c r="C249" s="425"/>
      <c r="D249" s="425"/>
      <c r="E249" s="425"/>
      <c r="F249" s="511"/>
      <c r="G249" s="425"/>
      <c r="H249" s="977"/>
      <c r="I249" s="425"/>
      <c r="J249" s="425"/>
      <c r="K249" s="425"/>
      <c r="L249" s="511"/>
      <c r="M249" s="425"/>
      <c r="N249" s="977"/>
      <c r="O249" s="425"/>
      <c r="P249" s="425"/>
      <c r="Q249" s="425"/>
      <c r="R249" s="511"/>
      <c r="S249" s="425"/>
      <c r="T249" s="977"/>
      <c r="U249" s="425"/>
    </row>
    <row r="250" ht="15.75" customHeight="1">
      <c r="A250" s="425"/>
      <c r="B250" s="425"/>
      <c r="C250" s="425"/>
      <c r="D250" s="425"/>
      <c r="E250" s="425"/>
      <c r="F250" s="511"/>
      <c r="G250" s="425"/>
      <c r="H250" s="977"/>
      <c r="I250" s="425"/>
      <c r="J250" s="425"/>
      <c r="K250" s="425"/>
      <c r="L250" s="511"/>
      <c r="M250" s="425"/>
      <c r="N250" s="977"/>
      <c r="O250" s="425"/>
      <c r="P250" s="425"/>
      <c r="Q250" s="425"/>
      <c r="R250" s="511"/>
      <c r="S250" s="425"/>
      <c r="T250" s="977"/>
      <c r="U250" s="425"/>
    </row>
    <row r="251" ht="15.75" customHeight="1">
      <c r="A251" s="425"/>
      <c r="B251" s="425"/>
      <c r="C251" s="425"/>
      <c r="D251" s="425"/>
      <c r="E251" s="425"/>
      <c r="F251" s="511"/>
      <c r="G251" s="425"/>
      <c r="H251" s="977"/>
      <c r="I251" s="425"/>
      <c r="J251" s="425"/>
      <c r="K251" s="425"/>
      <c r="L251" s="511"/>
      <c r="M251" s="425"/>
      <c r="N251" s="977"/>
      <c r="O251" s="425"/>
      <c r="P251" s="425"/>
      <c r="Q251" s="425"/>
      <c r="R251" s="511"/>
      <c r="S251" s="425"/>
      <c r="T251" s="977"/>
      <c r="U251" s="425"/>
    </row>
    <row r="252" ht="15.75" customHeight="1">
      <c r="A252" s="425"/>
      <c r="B252" s="425"/>
      <c r="C252" s="425"/>
      <c r="D252" s="425"/>
      <c r="E252" s="425"/>
      <c r="F252" s="511"/>
      <c r="G252" s="425"/>
      <c r="H252" s="977"/>
      <c r="I252" s="425"/>
      <c r="J252" s="425"/>
      <c r="K252" s="425"/>
      <c r="L252" s="511"/>
      <c r="M252" s="425"/>
      <c r="N252" s="977"/>
      <c r="O252" s="425"/>
      <c r="P252" s="425"/>
      <c r="Q252" s="425"/>
      <c r="R252" s="511"/>
      <c r="S252" s="425"/>
      <c r="T252" s="977"/>
      <c r="U252" s="425"/>
    </row>
    <row r="253" ht="15.75" customHeight="1">
      <c r="A253" s="425"/>
      <c r="B253" s="425"/>
      <c r="C253" s="425"/>
      <c r="D253" s="425"/>
      <c r="E253" s="425"/>
      <c r="F253" s="511"/>
      <c r="G253" s="425"/>
      <c r="H253" s="977"/>
      <c r="I253" s="425"/>
      <c r="J253" s="425"/>
      <c r="K253" s="425"/>
      <c r="L253" s="511"/>
      <c r="M253" s="425"/>
      <c r="N253" s="977"/>
      <c r="O253" s="425"/>
      <c r="P253" s="425"/>
      <c r="Q253" s="425"/>
      <c r="R253" s="511"/>
      <c r="S253" s="425"/>
      <c r="T253" s="977"/>
      <c r="U253" s="425"/>
    </row>
    <row r="254" ht="15.75" customHeight="1">
      <c r="A254" s="425"/>
      <c r="B254" s="425"/>
      <c r="C254" s="425"/>
      <c r="D254" s="425"/>
      <c r="E254" s="425"/>
      <c r="F254" s="511"/>
      <c r="G254" s="425"/>
      <c r="H254" s="977"/>
      <c r="I254" s="425"/>
      <c r="J254" s="425"/>
      <c r="K254" s="425"/>
      <c r="L254" s="511"/>
      <c r="M254" s="425"/>
      <c r="N254" s="977"/>
      <c r="O254" s="425"/>
      <c r="P254" s="425"/>
      <c r="Q254" s="425"/>
      <c r="R254" s="511"/>
      <c r="S254" s="425"/>
      <c r="T254" s="977"/>
      <c r="U254" s="425"/>
    </row>
    <row r="255" ht="15.75" customHeight="1">
      <c r="A255" s="425"/>
      <c r="B255" s="425"/>
      <c r="C255" s="425"/>
      <c r="D255" s="425"/>
      <c r="E255" s="425"/>
      <c r="F255" s="511"/>
      <c r="G255" s="425"/>
      <c r="H255" s="977"/>
      <c r="I255" s="425"/>
      <c r="J255" s="425"/>
      <c r="K255" s="425"/>
      <c r="L255" s="511"/>
      <c r="M255" s="425"/>
      <c r="N255" s="977"/>
      <c r="O255" s="425"/>
      <c r="P255" s="425"/>
      <c r="Q255" s="425"/>
      <c r="R255" s="511"/>
      <c r="S255" s="425"/>
      <c r="T255" s="977"/>
      <c r="U255" s="425"/>
    </row>
    <row r="256" ht="15.75" customHeight="1">
      <c r="A256" s="425"/>
      <c r="B256" s="425"/>
      <c r="C256" s="425"/>
      <c r="D256" s="425"/>
      <c r="E256" s="425"/>
      <c r="F256" s="511"/>
      <c r="G256" s="425"/>
      <c r="H256" s="977"/>
      <c r="I256" s="425"/>
      <c r="J256" s="425"/>
      <c r="K256" s="425"/>
      <c r="L256" s="511"/>
      <c r="M256" s="425"/>
      <c r="N256" s="977"/>
      <c r="O256" s="425"/>
      <c r="P256" s="425"/>
      <c r="Q256" s="425"/>
      <c r="R256" s="511"/>
      <c r="S256" s="425"/>
      <c r="T256" s="977"/>
      <c r="U256" s="425"/>
    </row>
    <row r="257" ht="15.75" customHeight="1">
      <c r="A257" s="425"/>
      <c r="B257" s="425"/>
      <c r="C257" s="425"/>
      <c r="D257" s="425"/>
      <c r="E257" s="425"/>
      <c r="F257" s="511"/>
      <c r="G257" s="425"/>
      <c r="H257" s="977"/>
      <c r="I257" s="425"/>
      <c r="J257" s="425"/>
      <c r="K257" s="425"/>
      <c r="L257" s="511"/>
      <c r="M257" s="425"/>
      <c r="N257" s="977"/>
      <c r="O257" s="425"/>
      <c r="P257" s="425"/>
      <c r="Q257" s="425"/>
      <c r="R257" s="511"/>
      <c r="S257" s="425"/>
      <c r="T257" s="977"/>
      <c r="U257" s="425"/>
    </row>
    <row r="258" ht="15.75" customHeight="1">
      <c r="A258" s="425"/>
      <c r="B258" s="425"/>
      <c r="C258" s="425"/>
      <c r="D258" s="425"/>
      <c r="E258" s="425"/>
      <c r="F258" s="511"/>
      <c r="G258" s="425"/>
      <c r="H258" s="977"/>
      <c r="I258" s="425"/>
      <c r="J258" s="425"/>
      <c r="K258" s="425"/>
      <c r="L258" s="511"/>
      <c r="M258" s="425"/>
      <c r="N258" s="977"/>
      <c r="O258" s="425"/>
      <c r="P258" s="425"/>
      <c r="Q258" s="425"/>
      <c r="R258" s="511"/>
      <c r="S258" s="425"/>
      <c r="T258" s="977"/>
      <c r="U258" s="425"/>
    </row>
    <row r="259" ht="15.75" customHeight="1">
      <c r="A259" s="425"/>
      <c r="B259" s="425"/>
      <c r="C259" s="425"/>
      <c r="D259" s="425"/>
      <c r="E259" s="425"/>
      <c r="F259" s="511"/>
      <c r="G259" s="425"/>
      <c r="H259" s="977"/>
      <c r="I259" s="425"/>
      <c r="J259" s="425"/>
      <c r="K259" s="425"/>
      <c r="L259" s="511"/>
      <c r="M259" s="425"/>
      <c r="N259" s="977"/>
      <c r="O259" s="425"/>
      <c r="P259" s="425"/>
      <c r="Q259" s="425"/>
      <c r="R259" s="511"/>
      <c r="S259" s="425"/>
      <c r="T259" s="977"/>
      <c r="U259" s="425"/>
    </row>
    <row r="260" ht="15.75" customHeight="1">
      <c r="A260" s="425"/>
      <c r="B260" s="425"/>
      <c r="C260" s="425"/>
      <c r="D260" s="425"/>
      <c r="E260" s="425"/>
      <c r="F260" s="511"/>
      <c r="G260" s="425"/>
      <c r="H260" s="977"/>
      <c r="I260" s="425"/>
      <c r="J260" s="425"/>
      <c r="K260" s="425"/>
      <c r="L260" s="511"/>
      <c r="M260" s="425"/>
      <c r="N260" s="977"/>
      <c r="O260" s="425"/>
      <c r="P260" s="425"/>
      <c r="Q260" s="425"/>
      <c r="R260" s="511"/>
      <c r="S260" s="425"/>
      <c r="T260" s="977"/>
      <c r="U260" s="425"/>
    </row>
    <row r="261" ht="15.75" customHeight="1">
      <c r="A261" s="425"/>
      <c r="B261" s="425"/>
      <c r="C261" s="425"/>
      <c r="D261" s="425"/>
      <c r="E261" s="425"/>
      <c r="F261" s="511"/>
      <c r="G261" s="425"/>
      <c r="H261" s="977"/>
      <c r="I261" s="425"/>
      <c r="J261" s="425"/>
      <c r="K261" s="425"/>
      <c r="L261" s="511"/>
      <c r="M261" s="425"/>
      <c r="N261" s="977"/>
      <c r="O261" s="425"/>
      <c r="P261" s="425"/>
      <c r="Q261" s="425"/>
      <c r="R261" s="511"/>
      <c r="S261" s="425"/>
      <c r="T261" s="977"/>
      <c r="U261" s="425"/>
    </row>
    <row r="262" ht="15.75" customHeight="1">
      <c r="A262" s="425"/>
      <c r="B262" s="425"/>
      <c r="C262" s="425"/>
      <c r="D262" s="425"/>
      <c r="E262" s="425"/>
      <c r="F262" s="511"/>
      <c r="G262" s="425"/>
      <c r="H262" s="977"/>
      <c r="I262" s="425"/>
      <c r="J262" s="425"/>
      <c r="K262" s="425"/>
      <c r="L262" s="511"/>
      <c r="M262" s="425"/>
      <c r="N262" s="977"/>
      <c r="O262" s="425"/>
      <c r="P262" s="425"/>
      <c r="Q262" s="425"/>
      <c r="R262" s="511"/>
      <c r="S262" s="425"/>
      <c r="T262" s="977"/>
      <c r="U262" s="425"/>
    </row>
    <row r="263" ht="15.75" customHeight="1">
      <c r="A263" s="425"/>
      <c r="B263" s="425"/>
      <c r="C263" s="425"/>
      <c r="D263" s="425"/>
      <c r="E263" s="425"/>
      <c r="F263" s="511"/>
      <c r="G263" s="425"/>
      <c r="H263" s="977"/>
      <c r="I263" s="425"/>
      <c r="J263" s="425"/>
      <c r="K263" s="425"/>
      <c r="L263" s="511"/>
      <c r="M263" s="425"/>
      <c r="N263" s="977"/>
      <c r="O263" s="425"/>
      <c r="P263" s="425"/>
      <c r="Q263" s="425"/>
      <c r="R263" s="511"/>
      <c r="S263" s="425"/>
      <c r="T263" s="977"/>
      <c r="U263" s="425"/>
    </row>
    <row r="264" ht="15.75" customHeight="1">
      <c r="A264" s="425"/>
      <c r="B264" s="425"/>
      <c r="C264" s="425"/>
      <c r="D264" s="425"/>
      <c r="E264" s="425"/>
      <c r="F264" s="511"/>
      <c r="G264" s="425"/>
      <c r="H264" s="977"/>
      <c r="I264" s="425"/>
      <c r="J264" s="425"/>
      <c r="K264" s="425"/>
      <c r="L264" s="511"/>
      <c r="M264" s="425"/>
      <c r="N264" s="977"/>
      <c r="O264" s="425"/>
      <c r="P264" s="425"/>
      <c r="Q264" s="425"/>
      <c r="R264" s="511"/>
      <c r="S264" s="425"/>
      <c r="T264" s="977"/>
      <c r="U264" s="425"/>
    </row>
    <row r="265" ht="15.75" customHeight="1">
      <c r="A265" s="425"/>
      <c r="B265" s="425"/>
      <c r="C265" s="425"/>
      <c r="D265" s="425"/>
      <c r="E265" s="425"/>
      <c r="F265" s="511"/>
      <c r="G265" s="425"/>
      <c r="H265" s="977"/>
      <c r="I265" s="425"/>
      <c r="J265" s="425"/>
      <c r="K265" s="425"/>
      <c r="L265" s="511"/>
      <c r="M265" s="425"/>
      <c r="N265" s="977"/>
      <c r="O265" s="425"/>
      <c r="P265" s="425"/>
      <c r="Q265" s="425"/>
      <c r="R265" s="511"/>
      <c r="S265" s="425"/>
      <c r="T265" s="977"/>
      <c r="U265" s="425"/>
    </row>
    <row r="266" ht="15.75" customHeight="1">
      <c r="A266" s="425"/>
      <c r="B266" s="425"/>
      <c r="C266" s="425"/>
      <c r="D266" s="425"/>
      <c r="E266" s="425"/>
      <c r="F266" s="511"/>
      <c r="G266" s="425"/>
      <c r="H266" s="977"/>
      <c r="I266" s="425"/>
      <c r="J266" s="425"/>
      <c r="K266" s="425"/>
      <c r="L266" s="511"/>
      <c r="M266" s="425"/>
      <c r="N266" s="977"/>
      <c r="O266" s="425"/>
      <c r="P266" s="425"/>
      <c r="Q266" s="425"/>
      <c r="R266" s="511"/>
      <c r="S266" s="425"/>
      <c r="T266" s="977"/>
      <c r="U266" s="425"/>
    </row>
    <row r="267" ht="15.75" customHeight="1">
      <c r="A267" s="425"/>
      <c r="B267" s="425"/>
      <c r="C267" s="425"/>
      <c r="D267" s="425"/>
      <c r="E267" s="425"/>
      <c r="F267" s="511"/>
      <c r="G267" s="425"/>
      <c r="H267" s="977"/>
      <c r="I267" s="425"/>
      <c r="J267" s="425"/>
      <c r="K267" s="425"/>
      <c r="L267" s="511"/>
      <c r="M267" s="425"/>
      <c r="N267" s="977"/>
      <c r="O267" s="425"/>
      <c r="P267" s="425"/>
      <c r="Q267" s="425"/>
      <c r="R267" s="511"/>
      <c r="S267" s="425"/>
      <c r="T267" s="977"/>
      <c r="U267" s="425"/>
    </row>
    <row r="268" ht="15.75" customHeight="1">
      <c r="A268" s="425"/>
      <c r="B268" s="425"/>
      <c r="C268" s="425"/>
      <c r="D268" s="425"/>
      <c r="E268" s="425"/>
      <c r="F268" s="511"/>
      <c r="G268" s="425"/>
      <c r="H268" s="977"/>
      <c r="I268" s="425"/>
      <c r="J268" s="425"/>
      <c r="K268" s="425"/>
      <c r="L268" s="511"/>
      <c r="M268" s="425"/>
      <c r="N268" s="977"/>
      <c r="O268" s="425"/>
      <c r="P268" s="425"/>
      <c r="Q268" s="425"/>
      <c r="R268" s="511"/>
      <c r="S268" s="425"/>
      <c r="T268" s="977"/>
      <c r="U268" s="425"/>
    </row>
    <row r="269" ht="15.75" customHeight="1">
      <c r="A269" s="425"/>
      <c r="B269" s="425"/>
      <c r="C269" s="425"/>
      <c r="D269" s="425"/>
      <c r="E269" s="425"/>
      <c r="F269" s="511"/>
      <c r="G269" s="425"/>
      <c r="H269" s="977"/>
      <c r="I269" s="425"/>
      <c r="J269" s="425"/>
      <c r="K269" s="425"/>
      <c r="L269" s="511"/>
      <c r="M269" s="425"/>
      <c r="N269" s="977"/>
      <c r="O269" s="425"/>
      <c r="P269" s="425"/>
      <c r="Q269" s="425"/>
      <c r="R269" s="511"/>
      <c r="S269" s="425"/>
      <c r="T269" s="977"/>
      <c r="U269" s="425"/>
    </row>
    <row r="270" ht="15.75" customHeight="1">
      <c r="A270" s="425"/>
      <c r="B270" s="425"/>
      <c r="C270" s="425"/>
      <c r="D270" s="425"/>
      <c r="E270" s="425"/>
      <c r="F270" s="511"/>
      <c r="G270" s="425"/>
      <c r="H270" s="977"/>
      <c r="I270" s="425"/>
      <c r="J270" s="425"/>
      <c r="K270" s="425"/>
      <c r="L270" s="511"/>
      <c r="M270" s="425"/>
      <c r="N270" s="977"/>
      <c r="O270" s="425"/>
      <c r="P270" s="425"/>
      <c r="Q270" s="425"/>
      <c r="R270" s="511"/>
      <c r="S270" s="425"/>
      <c r="T270" s="977"/>
      <c r="U270" s="425"/>
    </row>
    <row r="271" ht="15.75" customHeight="1">
      <c r="A271" s="425"/>
      <c r="B271" s="425"/>
      <c r="C271" s="425"/>
      <c r="D271" s="425"/>
      <c r="E271" s="425"/>
      <c r="F271" s="511"/>
      <c r="G271" s="425"/>
      <c r="H271" s="977"/>
      <c r="I271" s="425"/>
      <c r="J271" s="425"/>
      <c r="K271" s="425"/>
      <c r="L271" s="511"/>
      <c r="M271" s="425"/>
      <c r="N271" s="977"/>
      <c r="O271" s="425"/>
      <c r="P271" s="425"/>
      <c r="Q271" s="425"/>
      <c r="R271" s="511"/>
      <c r="S271" s="425"/>
      <c r="T271" s="977"/>
      <c r="U271" s="425"/>
    </row>
    <row r="272" ht="15.75" customHeight="1">
      <c r="A272" s="425"/>
      <c r="B272" s="425"/>
      <c r="C272" s="425"/>
      <c r="D272" s="425"/>
      <c r="E272" s="425"/>
      <c r="F272" s="511"/>
      <c r="G272" s="425"/>
      <c r="H272" s="977"/>
      <c r="I272" s="425"/>
      <c r="J272" s="425"/>
      <c r="K272" s="425"/>
      <c r="L272" s="511"/>
      <c r="M272" s="425"/>
      <c r="N272" s="977"/>
      <c r="O272" s="425"/>
      <c r="P272" s="425"/>
      <c r="Q272" s="425"/>
      <c r="R272" s="511"/>
      <c r="S272" s="425"/>
      <c r="T272" s="977"/>
      <c r="U272" s="425"/>
    </row>
    <row r="273" ht="15.75" customHeight="1">
      <c r="A273" s="425"/>
      <c r="B273" s="425"/>
      <c r="C273" s="425"/>
      <c r="D273" s="425"/>
      <c r="E273" s="425"/>
      <c r="F273" s="511"/>
      <c r="G273" s="425"/>
      <c r="H273" s="977"/>
      <c r="I273" s="425"/>
      <c r="J273" s="425"/>
      <c r="K273" s="425"/>
      <c r="L273" s="511"/>
      <c r="M273" s="425"/>
      <c r="N273" s="977"/>
      <c r="O273" s="425"/>
      <c r="P273" s="425"/>
      <c r="Q273" s="425"/>
      <c r="R273" s="511"/>
      <c r="S273" s="425"/>
      <c r="T273" s="977"/>
      <c r="U273" s="425"/>
    </row>
    <row r="274" ht="15.75" customHeight="1">
      <c r="A274" s="425"/>
      <c r="B274" s="425"/>
      <c r="C274" s="425"/>
      <c r="D274" s="425"/>
      <c r="E274" s="425"/>
      <c r="F274" s="511"/>
      <c r="G274" s="425"/>
      <c r="H274" s="977"/>
      <c r="I274" s="425"/>
      <c r="J274" s="425"/>
      <c r="K274" s="425"/>
      <c r="L274" s="511"/>
      <c r="M274" s="425"/>
      <c r="N274" s="977"/>
      <c r="O274" s="425"/>
      <c r="P274" s="425"/>
      <c r="Q274" s="425"/>
      <c r="R274" s="511"/>
      <c r="S274" s="425"/>
      <c r="T274" s="977"/>
      <c r="U274" s="425"/>
    </row>
    <row r="275" ht="15.75" customHeight="1">
      <c r="A275" s="425"/>
      <c r="B275" s="425"/>
      <c r="C275" s="425"/>
      <c r="D275" s="425"/>
      <c r="E275" s="425"/>
      <c r="F275" s="511"/>
      <c r="G275" s="425"/>
      <c r="H275" s="977"/>
      <c r="I275" s="425"/>
      <c r="J275" s="425"/>
      <c r="K275" s="425"/>
      <c r="L275" s="511"/>
      <c r="M275" s="425"/>
      <c r="N275" s="977"/>
      <c r="O275" s="425"/>
      <c r="P275" s="425"/>
      <c r="Q275" s="425"/>
      <c r="R275" s="511"/>
      <c r="S275" s="425"/>
      <c r="T275" s="977"/>
      <c r="U275" s="425"/>
    </row>
    <row r="276" ht="15.75" customHeight="1">
      <c r="A276" s="425"/>
      <c r="B276" s="425"/>
      <c r="C276" s="425"/>
      <c r="D276" s="425"/>
      <c r="E276" s="425"/>
      <c r="F276" s="511"/>
      <c r="G276" s="425"/>
      <c r="H276" s="977"/>
      <c r="I276" s="425"/>
      <c r="J276" s="425"/>
      <c r="K276" s="425"/>
      <c r="L276" s="511"/>
      <c r="M276" s="425"/>
      <c r="N276" s="977"/>
      <c r="O276" s="425"/>
      <c r="P276" s="425"/>
      <c r="Q276" s="425"/>
      <c r="R276" s="511"/>
      <c r="S276" s="425"/>
      <c r="T276" s="977"/>
      <c r="U276" s="425"/>
    </row>
    <row r="277" ht="15.75" customHeight="1">
      <c r="A277" s="425"/>
      <c r="B277" s="425"/>
      <c r="C277" s="425"/>
      <c r="D277" s="425"/>
      <c r="E277" s="425"/>
      <c r="F277" s="511"/>
      <c r="G277" s="425"/>
      <c r="H277" s="977"/>
      <c r="I277" s="425"/>
      <c r="J277" s="425"/>
      <c r="K277" s="425"/>
      <c r="L277" s="511"/>
      <c r="M277" s="425"/>
      <c r="N277" s="977"/>
      <c r="O277" s="425"/>
      <c r="P277" s="425"/>
      <c r="Q277" s="425"/>
      <c r="R277" s="511"/>
      <c r="S277" s="425"/>
      <c r="T277" s="977"/>
      <c r="U277" s="425"/>
    </row>
    <row r="278" ht="15.75" customHeight="1">
      <c r="A278" s="425"/>
      <c r="B278" s="425"/>
      <c r="C278" s="425"/>
      <c r="D278" s="425"/>
      <c r="E278" s="425"/>
      <c r="F278" s="511"/>
      <c r="G278" s="425"/>
      <c r="H278" s="977"/>
      <c r="I278" s="425"/>
      <c r="J278" s="425"/>
      <c r="K278" s="425"/>
      <c r="L278" s="511"/>
      <c r="M278" s="425"/>
      <c r="N278" s="977"/>
      <c r="O278" s="425"/>
      <c r="P278" s="425"/>
      <c r="Q278" s="425"/>
      <c r="R278" s="511"/>
      <c r="S278" s="425"/>
      <c r="T278" s="977"/>
      <c r="U278" s="425"/>
    </row>
    <row r="279" ht="15.75" customHeight="1">
      <c r="A279" s="425"/>
      <c r="B279" s="425"/>
      <c r="C279" s="425"/>
      <c r="D279" s="425"/>
      <c r="E279" s="425"/>
      <c r="F279" s="511"/>
      <c r="G279" s="425"/>
      <c r="H279" s="977"/>
      <c r="I279" s="425"/>
      <c r="J279" s="425"/>
      <c r="K279" s="425"/>
      <c r="L279" s="511"/>
      <c r="M279" s="425"/>
      <c r="N279" s="977"/>
      <c r="O279" s="425"/>
      <c r="P279" s="425"/>
      <c r="Q279" s="425"/>
      <c r="R279" s="511"/>
      <c r="S279" s="425"/>
      <c r="T279" s="977"/>
      <c r="U279" s="425"/>
    </row>
    <row r="280" ht="15.75" customHeight="1">
      <c r="A280" s="425"/>
      <c r="B280" s="425"/>
      <c r="C280" s="425"/>
      <c r="D280" s="425"/>
      <c r="E280" s="425"/>
      <c r="F280" s="511"/>
      <c r="G280" s="425"/>
      <c r="H280" s="977"/>
      <c r="I280" s="425"/>
      <c r="J280" s="425"/>
      <c r="K280" s="425"/>
      <c r="L280" s="511"/>
      <c r="M280" s="425"/>
      <c r="N280" s="977"/>
      <c r="O280" s="425"/>
      <c r="P280" s="425"/>
      <c r="Q280" s="425"/>
      <c r="R280" s="511"/>
      <c r="S280" s="425"/>
      <c r="T280" s="977"/>
      <c r="U280" s="425"/>
    </row>
    <row r="281" ht="15.75" customHeight="1">
      <c r="A281" s="425"/>
      <c r="B281" s="425"/>
      <c r="C281" s="425"/>
      <c r="D281" s="425"/>
      <c r="E281" s="425"/>
      <c r="F281" s="511"/>
      <c r="G281" s="425"/>
      <c r="H281" s="977"/>
      <c r="I281" s="425"/>
      <c r="J281" s="425"/>
      <c r="K281" s="425"/>
      <c r="L281" s="511"/>
      <c r="M281" s="425"/>
      <c r="N281" s="977"/>
      <c r="O281" s="425"/>
      <c r="P281" s="425"/>
      <c r="Q281" s="425"/>
      <c r="R281" s="511"/>
      <c r="S281" s="425"/>
      <c r="T281" s="977"/>
      <c r="U281" s="425"/>
    </row>
    <row r="282" ht="15.75" customHeight="1">
      <c r="A282" s="425"/>
      <c r="B282" s="425"/>
      <c r="C282" s="425"/>
      <c r="D282" s="425"/>
      <c r="E282" s="425"/>
      <c r="F282" s="511"/>
      <c r="G282" s="425"/>
      <c r="H282" s="977"/>
      <c r="I282" s="425"/>
      <c r="J282" s="425"/>
      <c r="K282" s="425"/>
      <c r="L282" s="511"/>
      <c r="M282" s="425"/>
      <c r="N282" s="977"/>
      <c r="O282" s="425"/>
      <c r="P282" s="425"/>
      <c r="Q282" s="425"/>
      <c r="R282" s="511"/>
      <c r="S282" s="425"/>
      <c r="T282" s="977"/>
      <c r="U282" s="425"/>
    </row>
    <row r="283" ht="15.75" customHeight="1">
      <c r="A283" s="425"/>
      <c r="B283" s="425"/>
      <c r="C283" s="425"/>
      <c r="D283" s="425"/>
      <c r="E283" s="425"/>
      <c r="F283" s="511"/>
      <c r="G283" s="425"/>
      <c r="H283" s="977"/>
      <c r="I283" s="425"/>
      <c r="J283" s="425"/>
      <c r="K283" s="425"/>
      <c r="L283" s="511"/>
      <c r="M283" s="425"/>
      <c r="N283" s="977"/>
      <c r="O283" s="425"/>
      <c r="P283" s="425"/>
      <c r="Q283" s="425"/>
      <c r="R283" s="511"/>
      <c r="S283" s="425"/>
      <c r="T283" s="977"/>
      <c r="U283" s="425"/>
    </row>
    <row r="284" ht="15.75" customHeight="1">
      <c r="A284" s="425"/>
      <c r="B284" s="425"/>
      <c r="C284" s="425"/>
      <c r="D284" s="425"/>
      <c r="E284" s="425"/>
      <c r="F284" s="511"/>
      <c r="G284" s="425"/>
      <c r="H284" s="977"/>
      <c r="I284" s="425"/>
      <c r="J284" s="425"/>
      <c r="K284" s="425"/>
      <c r="L284" s="511"/>
      <c r="M284" s="425"/>
      <c r="N284" s="977"/>
      <c r="O284" s="425"/>
      <c r="P284" s="425"/>
      <c r="Q284" s="425"/>
      <c r="R284" s="511"/>
      <c r="S284" s="425"/>
      <c r="T284" s="977"/>
      <c r="U284" s="425"/>
    </row>
    <row r="285" ht="15.75" customHeight="1">
      <c r="A285" s="425"/>
      <c r="B285" s="425"/>
      <c r="C285" s="425"/>
      <c r="D285" s="425"/>
      <c r="E285" s="425"/>
      <c r="F285" s="511"/>
      <c r="G285" s="425"/>
      <c r="H285" s="977"/>
      <c r="I285" s="425"/>
      <c r="J285" s="425"/>
      <c r="K285" s="425"/>
      <c r="L285" s="511"/>
      <c r="M285" s="425"/>
      <c r="N285" s="977"/>
      <c r="O285" s="425"/>
      <c r="P285" s="425"/>
      <c r="Q285" s="425"/>
      <c r="R285" s="511"/>
      <c r="S285" s="425"/>
      <c r="T285" s="977"/>
      <c r="U285" s="425"/>
    </row>
    <row r="286" ht="15.75" customHeight="1">
      <c r="A286" s="425"/>
      <c r="B286" s="425"/>
      <c r="C286" s="425"/>
      <c r="D286" s="425"/>
      <c r="E286" s="425"/>
      <c r="F286" s="511"/>
      <c r="G286" s="425"/>
      <c r="H286" s="977"/>
      <c r="I286" s="425"/>
      <c r="J286" s="425"/>
      <c r="K286" s="425"/>
      <c r="L286" s="511"/>
      <c r="M286" s="425"/>
      <c r="N286" s="977"/>
      <c r="O286" s="425"/>
      <c r="P286" s="425"/>
      <c r="Q286" s="425"/>
      <c r="R286" s="511"/>
      <c r="S286" s="425"/>
      <c r="T286" s="977"/>
      <c r="U286" s="425"/>
    </row>
    <row r="287" ht="15.75" customHeight="1">
      <c r="A287" s="425"/>
      <c r="B287" s="425"/>
      <c r="C287" s="425"/>
      <c r="D287" s="425"/>
      <c r="E287" s="425"/>
      <c r="F287" s="511"/>
      <c r="G287" s="425"/>
      <c r="H287" s="977"/>
      <c r="I287" s="425"/>
      <c r="J287" s="425"/>
      <c r="K287" s="425"/>
      <c r="L287" s="511"/>
      <c r="M287" s="425"/>
      <c r="N287" s="977"/>
      <c r="O287" s="425"/>
      <c r="P287" s="425"/>
      <c r="Q287" s="425"/>
      <c r="R287" s="511"/>
      <c r="S287" s="425"/>
      <c r="T287" s="977"/>
      <c r="U287" s="425"/>
    </row>
    <row r="288" ht="15.75" customHeight="1">
      <c r="A288" s="425"/>
      <c r="B288" s="425"/>
      <c r="C288" s="425"/>
      <c r="D288" s="425"/>
      <c r="E288" s="425"/>
      <c r="F288" s="511"/>
      <c r="G288" s="425"/>
      <c r="H288" s="977"/>
      <c r="I288" s="425"/>
      <c r="J288" s="425"/>
      <c r="K288" s="425"/>
      <c r="L288" s="511"/>
      <c r="M288" s="425"/>
      <c r="N288" s="977"/>
      <c r="O288" s="425"/>
      <c r="P288" s="425"/>
      <c r="Q288" s="425"/>
      <c r="R288" s="511"/>
      <c r="S288" s="425"/>
      <c r="T288" s="977"/>
      <c r="U288" s="425"/>
    </row>
    <row r="289" ht="15.75" customHeight="1">
      <c r="A289" s="425"/>
      <c r="B289" s="425"/>
      <c r="C289" s="425"/>
      <c r="D289" s="425"/>
      <c r="E289" s="425"/>
      <c r="F289" s="511"/>
      <c r="G289" s="425"/>
      <c r="H289" s="977"/>
      <c r="I289" s="425"/>
      <c r="J289" s="425"/>
      <c r="K289" s="425"/>
      <c r="L289" s="511"/>
      <c r="M289" s="425"/>
      <c r="N289" s="977"/>
      <c r="O289" s="425"/>
      <c r="P289" s="425"/>
      <c r="Q289" s="425"/>
      <c r="R289" s="511"/>
      <c r="S289" s="425"/>
      <c r="T289" s="977"/>
      <c r="U289" s="425"/>
    </row>
    <row r="290" ht="15.75" customHeight="1">
      <c r="A290" s="425"/>
      <c r="B290" s="425"/>
      <c r="C290" s="425"/>
      <c r="D290" s="425"/>
      <c r="E290" s="425"/>
      <c r="F290" s="511"/>
      <c r="G290" s="425"/>
      <c r="H290" s="977"/>
      <c r="I290" s="425"/>
      <c r="J290" s="425"/>
      <c r="K290" s="425"/>
      <c r="L290" s="511"/>
      <c r="M290" s="425"/>
      <c r="N290" s="977"/>
      <c r="O290" s="425"/>
      <c r="P290" s="425"/>
      <c r="Q290" s="425"/>
      <c r="R290" s="511"/>
      <c r="S290" s="425"/>
      <c r="T290" s="977"/>
      <c r="U290" s="425"/>
    </row>
    <row r="291" ht="15.75" customHeight="1">
      <c r="A291" s="425"/>
      <c r="B291" s="425"/>
      <c r="C291" s="425"/>
      <c r="D291" s="425"/>
      <c r="E291" s="425"/>
      <c r="F291" s="511"/>
      <c r="G291" s="425"/>
      <c r="H291" s="977"/>
      <c r="I291" s="425"/>
      <c r="J291" s="425"/>
      <c r="K291" s="425"/>
      <c r="L291" s="511"/>
      <c r="M291" s="425"/>
      <c r="N291" s="977"/>
      <c r="O291" s="425"/>
      <c r="P291" s="425"/>
      <c r="Q291" s="425"/>
      <c r="R291" s="511"/>
      <c r="S291" s="425"/>
      <c r="T291" s="977"/>
      <c r="U291" s="425"/>
    </row>
    <row r="292" ht="15.75" customHeight="1">
      <c r="A292" s="425"/>
      <c r="B292" s="425"/>
      <c r="C292" s="425"/>
      <c r="D292" s="425"/>
      <c r="E292" s="425"/>
      <c r="F292" s="511"/>
      <c r="G292" s="425"/>
      <c r="H292" s="977"/>
      <c r="I292" s="425"/>
      <c r="J292" s="425"/>
      <c r="K292" s="425"/>
      <c r="L292" s="511"/>
      <c r="M292" s="425"/>
      <c r="N292" s="977"/>
      <c r="O292" s="425"/>
      <c r="P292" s="425"/>
      <c r="Q292" s="425"/>
      <c r="R292" s="511"/>
      <c r="S292" s="425"/>
      <c r="T292" s="977"/>
      <c r="U292" s="425"/>
    </row>
    <row r="293" ht="15.75" customHeight="1">
      <c r="A293" s="425"/>
      <c r="B293" s="425"/>
      <c r="C293" s="425"/>
      <c r="D293" s="425"/>
      <c r="E293" s="425"/>
      <c r="F293" s="511"/>
      <c r="G293" s="425"/>
      <c r="H293" s="977"/>
      <c r="I293" s="425"/>
      <c r="J293" s="425"/>
      <c r="K293" s="425"/>
      <c r="L293" s="511"/>
      <c r="M293" s="425"/>
      <c r="N293" s="977"/>
      <c r="O293" s="425"/>
      <c r="P293" s="425"/>
      <c r="Q293" s="425"/>
      <c r="R293" s="511"/>
      <c r="S293" s="425"/>
      <c r="T293" s="977"/>
      <c r="U293" s="425"/>
    </row>
    <row r="294" ht="15.75" customHeight="1">
      <c r="A294" s="425"/>
      <c r="B294" s="425"/>
      <c r="C294" s="425"/>
      <c r="D294" s="425"/>
      <c r="E294" s="425"/>
      <c r="F294" s="511"/>
      <c r="G294" s="425"/>
      <c r="H294" s="977"/>
      <c r="I294" s="425"/>
      <c r="J294" s="425"/>
      <c r="K294" s="425"/>
      <c r="L294" s="511"/>
      <c r="M294" s="425"/>
      <c r="N294" s="977"/>
      <c r="O294" s="425"/>
      <c r="P294" s="425"/>
      <c r="Q294" s="425"/>
      <c r="R294" s="511"/>
      <c r="S294" s="425"/>
      <c r="T294" s="977"/>
      <c r="U294" s="425"/>
    </row>
    <row r="295" ht="15.75" customHeight="1">
      <c r="A295" s="425"/>
      <c r="B295" s="425"/>
      <c r="C295" s="425"/>
      <c r="D295" s="425"/>
      <c r="E295" s="425"/>
      <c r="F295" s="511"/>
      <c r="G295" s="425"/>
      <c r="H295" s="977"/>
      <c r="I295" s="425"/>
      <c r="J295" s="425"/>
      <c r="K295" s="425"/>
      <c r="L295" s="511"/>
      <c r="M295" s="425"/>
      <c r="N295" s="977"/>
      <c r="O295" s="425"/>
      <c r="P295" s="425"/>
      <c r="Q295" s="425"/>
      <c r="R295" s="511"/>
      <c r="S295" s="425"/>
      <c r="T295" s="977"/>
      <c r="U295" s="425"/>
    </row>
    <row r="296" ht="15.75" customHeight="1">
      <c r="A296" s="425"/>
      <c r="B296" s="425"/>
      <c r="C296" s="425"/>
      <c r="D296" s="425"/>
      <c r="E296" s="425"/>
      <c r="F296" s="511"/>
      <c r="G296" s="425"/>
      <c r="H296" s="977"/>
      <c r="I296" s="425"/>
      <c r="J296" s="425"/>
      <c r="K296" s="425"/>
      <c r="L296" s="511"/>
      <c r="M296" s="425"/>
      <c r="N296" s="977"/>
      <c r="O296" s="425"/>
      <c r="P296" s="425"/>
      <c r="Q296" s="425"/>
      <c r="R296" s="511"/>
      <c r="S296" s="425"/>
      <c r="T296" s="977"/>
      <c r="U296" s="425"/>
    </row>
    <row r="297" ht="15.75" customHeight="1">
      <c r="A297" s="425"/>
      <c r="B297" s="425"/>
      <c r="C297" s="425"/>
      <c r="D297" s="425"/>
      <c r="E297" s="425"/>
      <c r="F297" s="511"/>
      <c r="G297" s="425"/>
      <c r="H297" s="977"/>
      <c r="I297" s="425"/>
      <c r="J297" s="425"/>
      <c r="K297" s="425"/>
      <c r="L297" s="511"/>
      <c r="M297" s="425"/>
      <c r="N297" s="977"/>
      <c r="O297" s="425"/>
      <c r="P297" s="425"/>
      <c r="Q297" s="425"/>
      <c r="R297" s="511"/>
      <c r="S297" s="425"/>
      <c r="T297" s="977"/>
      <c r="U297" s="425"/>
    </row>
    <row r="298" ht="15.75" customHeight="1">
      <c r="A298" s="425"/>
      <c r="B298" s="425"/>
      <c r="C298" s="425"/>
      <c r="D298" s="425"/>
      <c r="E298" s="425"/>
      <c r="F298" s="511"/>
      <c r="G298" s="425"/>
      <c r="H298" s="977"/>
      <c r="I298" s="425"/>
      <c r="J298" s="425"/>
      <c r="K298" s="425"/>
      <c r="L298" s="511"/>
      <c r="M298" s="425"/>
      <c r="N298" s="977"/>
      <c r="O298" s="425"/>
      <c r="P298" s="425"/>
      <c r="Q298" s="425"/>
      <c r="R298" s="511"/>
      <c r="S298" s="425"/>
      <c r="T298" s="977"/>
      <c r="U298" s="425"/>
    </row>
    <row r="299" ht="15.75" customHeight="1">
      <c r="A299" s="425"/>
      <c r="B299" s="425"/>
      <c r="C299" s="425"/>
      <c r="D299" s="425"/>
      <c r="E299" s="425"/>
      <c r="F299" s="511"/>
      <c r="G299" s="425"/>
      <c r="H299" s="977"/>
      <c r="I299" s="425"/>
      <c r="J299" s="425"/>
      <c r="K299" s="425"/>
      <c r="L299" s="511"/>
      <c r="M299" s="425"/>
      <c r="N299" s="977"/>
      <c r="O299" s="425"/>
      <c r="P299" s="425"/>
      <c r="Q299" s="425"/>
      <c r="R299" s="511"/>
      <c r="S299" s="425"/>
      <c r="T299" s="977"/>
      <c r="U299" s="425"/>
    </row>
    <row r="300" ht="15.75" customHeight="1">
      <c r="A300" s="425"/>
      <c r="B300" s="425"/>
      <c r="C300" s="425"/>
      <c r="D300" s="425"/>
      <c r="E300" s="425"/>
      <c r="F300" s="511"/>
      <c r="G300" s="425"/>
      <c r="H300" s="977"/>
      <c r="I300" s="425"/>
      <c r="J300" s="425"/>
      <c r="K300" s="425"/>
      <c r="L300" s="511"/>
      <c r="M300" s="425"/>
      <c r="N300" s="977"/>
      <c r="O300" s="425"/>
      <c r="P300" s="425"/>
      <c r="Q300" s="425"/>
      <c r="R300" s="511"/>
      <c r="S300" s="425"/>
      <c r="T300" s="977"/>
      <c r="U300" s="425"/>
    </row>
    <row r="301" ht="15.75" customHeight="1">
      <c r="A301" s="425"/>
      <c r="B301" s="425"/>
      <c r="C301" s="425"/>
      <c r="D301" s="425"/>
      <c r="E301" s="425"/>
      <c r="F301" s="511"/>
      <c r="G301" s="425"/>
      <c r="H301" s="977"/>
      <c r="I301" s="425"/>
      <c r="J301" s="425"/>
      <c r="K301" s="425"/>
      <c r="L301" s="511"/>
      <c r="M301" s="425"/>
      <c r="N301" s="977"/>
      <c r="O301" s="425"/>
      <c r="P301" s="425"/>
      <c r="Q301" s="425"/>
      <c r="R301" s="511"/>
      <c r="S301" s="425"/>
      <c r="T301" s="977"/>
      <c r="U301" s="425"/>
    </row>
    <row r="302" ht="15.75" customHeight="1">
      <c r="A302" s="425"/>
      <c r="B302" s="425"/>
      <c r="C302" s="425"/>
      <c r="D302" s="425"/>
      <c r="E302" s="425"/>
      <c r="F302" s="511"/>
      <c r="G302" s="425"/>
      <c r="H302" s="977"/>
      <c r="I302" s="425"/>
      <c r="J302" s="425"/>
      <c r="K302" s="425"/>
      <c r="L302" s="511"/>
      <c r="M302" s="425"/>
      <c r="N302" s="977"/>
      <c r="O302" s="425"/>
      <c r="P302" s="425"/>
      <c r="Q302" s="425"/>
      <c r="R302" s="511"/>
      <c r="S302" s="425"/>
      <c r="T302" s="977"/>
      <c r="U302" s="425"/>
    </row>
    <row r="303" ht="15.75" customHeight="1">
      <c r="A303" s="425"/>
      <c r="B303" s="425"/>
      <c r="C303" s="425"/>
      <c r="D303" s="425"/>
      <c r="E303" s="425"/>
      <c r="F303" s="511"/>
      <c r="G303" s="425"/>
      <c r="H303" s="977"/>
      <c r="I303" s="425"/>
      <c r="J303" s="425"/>
      <c r="K303" s="425"/>
      <c r="L303" s="511"/>
      <c r="M303" s="425"/>
      <c r="N303" s="977"/>
      <c r="O303" s="425"/>
      <c r="P303" s="425"/>
      <c r="Q303" s="425"/>
      <c r="R303" s="511"/>
      <c r="S303" s="425"/>
      <c r="T303" s="977"/>
      <c r="U303" s="425"/>
    </row>
    <row r="304" ht="15.75" customHeight="1">
      <c r="A304" s="425"/>
      <c r="B304" s="425"/>
      <c r="C304" s="425"/>
      <c r="D304" s="425"/>
      <c r="E304" s="425"/>
      <c r="F304" s="511"/>
      <c r="G304" s="425"/>
      <c r="H304" s="977"/>
      <c r="I304" s="425"/>
      <c r="J304" s="425"/>
      <c r="K304" s="425"/>
      <c r="L304" s="511"/>
      <c r="M304" s="425"/>
      <c r="N304" s="977"/>
      <c r="O304" s="425"/>
      <c r="P304" s="425"/>
      <c r="Q304" s="425"/>
      <c r="R304" s="511"/>
      <c r="S304" s="425"/>
      <c r="T304" s="977"/>
      <c r="U304" s="425"/>
    </row>
    <row r="305" ht="15.75" customHeight="1">
      <c r="A305" s="425"/>
      <c r="B305" s="425"/>
      <c r="C305" s="425"/>
      <c r="D305" s="425"/>
      <c r="E305" s="425"/>
      <c r="F305" s="511"/>
      <c r="G305" s="425"/>
      <c r="H305" s="977"/>
      <c r="I305" s="425"/>
      <c r="J305" s="425"/>
      <c r="K305" s="425"/>
      <c r="L305" s="511"/>
      <c r="M305" s="425"/>
      <c r="N305" s="977"/>
      <c r="O305" s="425"/>
      <c r="P305" s="425"/>
      <c r="Q305" s="425"/>
      <c r="R305" s="511"/>
      <c r="S305" s="425"/>
      <c r="T305" s="977"/>
      <c r="U305" s="425"/>
    </row>
    <row r="306" ht="15.75" customHeight="1">
      <c r="A306" s="425"/>
      <c r="B306" s="425"/>
      <c r="C306" s="425"/>
      <c r="D306" s="425"/>
      <c r="E306" s="425"/>
      <c r="F306" s="511"/>
      <c r="G306" s="425"/>
      <c r="H306" s="977"/>
      <c r="I306" s="425"/>
      <c r="J306" s="425"/>
      <c r="K306" s="425"/>
      <c r="L306" s="511"/>
      <c r="M306" s="425"/>
      <c r="N306" s="977"/>
      <c r="O306" s="425"/>
      <c r="P306" s="425"/>
      <c r="Q306" s="425"/>
      <c r="R306" s="511"/>
      <c r="S306" s="425"/>
      <c r="T306" s="977"/>
      <c r="U306" s="425"/>
    </row>
    <row r="307" ht="15.75" customHeight="1">
      <c r="A307" s="425"/>
      <c r="B307" s="425"/>
      <c r="C307" s="425"/>
      <c r="D307" s="425"/>
      <c r="E307" s="425"/>
      <c r="F307" s="511"/>
      <c r="G307" s="425"/>
      <c r="H307" s="977"/>
      <c r="I307" s="425"/>
      <c r="J307" s="425"/>
      <c r="K307" s="425"/>
      <c r="L307" s="511"/>
      <c r="M307" s="425"/>
      <c r="N307" s="977"/>
      <c r="O307" s="425"/>
      <c r="P307" s="425"/>
      <c r="Q307" s="425"/>
      <c r="R307" s="511"/>
      <c r="S307" s="425"/>
      <c r="T307" s="977"/>
      <c r="U307" s="425"/>
    </row>
    <row r="308" ht="15.75" customHeight="1">
      <c r="A308" s="425"/>
      <c r="B308" s="425"/>
      <c r="C308" s="425"/>
      <c r="D308" s="425"/>
      <c r="E308" s="425"/>
      <c r="F308" s="511"/>
      <c r="G308" s="425"/>
      <c r="H308" s="977"/>
      <c r="I308" s="425"/>
      <c r="J308" s="425"/>
      <c r="K308" s="425"/>
      <c r="L308" s="511"/>
      <c r="M308" s="425"/>
      <c r="N308" s="977"/>
      <c r="O308" s="425"/>
      <c r="P308" s="425"/>
      <c r="Q308" s="425"/>
      <c r="R308" s="511"/>
      <c r="S308" s="425"/>
      <c r="T308" s="977"/>
      <c r="U308" s="425"/>
    </row>
    <row r="309" ht="15.75" customHeight="1">
      <c r="A309" s="425"/>
      <c r="B309" s="425"/>
      <c r="C309" s="425"/>
      <c r="D309" s="425"/>
      <c r="E309" s="425"/>
      <c r="F309" s="511"/>
      <c r="G309" s="425"/>
      <c r="H309" s="977"/>
      <c r="I309" s="425"/>
      <c r="J309" s="425"/>
      <c r="K309" s="425"/>
      <c r="L309" s="511"/>
      <c r="M309" s="425"/>
      <c r="N309" s="977"/>
      <c r="O309" s="425"/>
      <c r="P309" s="425"/>
      <c r="Q309" s="425"/>
      <c r="R309" s="511"/>
      <c r="S309" s="425"/>
      <c r="T309" s="977"/>
      <c r="U309" s="425"/>
    </row>
    <row r="310" ht="15.75" customHeight="1">
      <c r="A310" s="425"/>
      <c r="B310" s="425"/>
      <c r="C310" s="425"/>
      <c r="D310" s="425"/>
      <c r="E310" s="425"/>
      <c r="F310" s="511"/>
      <c r="G310" s="425"/>
      <c r="H310" s="977"/>
      <c r="I310" s="425"/>
      <c r="J310" s="425"/>
      <c r="K310" s="425"/>
      <c r="L310" s="511"/>
      <c r="M310" s="425"/>
      <c r="N310" s="977"/>
      <c r="O310" s="425"/>
      <c r="P310" s="425"/>
      <c r="Q310" s="425"/>
      <c r="R310" s="511"/>
      <c r="S310" s="425"/>
      <c r="T310" s="977"/>
      <c r="U310" s="425"/>
    </row>
    <row r="311" ht="15.75" customHeight="1">
      <c r="A311" s="425"/>
      <c r="B311" s="425"/>
      <c r="C311" s="425"/>
      <c r="D311" s="425"/>
      <c r="E311" s="425"/>
      <c r="F311" s="511"/>
      <c r="G311" s="425"/>
      <c r="H311" s="977"/>
      <c r="I311" s="425"/>
      <c r="J311" s="425"/>
      <c r="K311" s="425"/>
      <c r="L311" s="511"/>
      <c r="M311" s="425"/>
      <c r="N311" s="977"/>
      <c r="O311" s="425"/>
      <c r="P311" s="425"/>
      <c r="Q311" s="425"/>
      <c r="R311" s="511"/>
      <c r="S311" s="425"/>
      <c r="T311" s="977"/>
      <c r="U311" s="425"/>
    </row>
    <row r="312" ht="15.75" customHeight="1">
      <c r="A312" s="425"/>
      <c r="B312" s="425"/>
      <c r="C312" s="425"/>
      <c r="D312" s="425"/>
      <c r="E312" s="425"/>
      <c r="F312" s="511"/>
      <c r="G312" s="425"/>
      <c r="H312" s="977"/>
      <c r="I312" s="425"/>
      <c r="J312" s="425"/>
      <c r="K312" s="425"/>
      <c r="L312" s="511"/>
      <c r="M312" s="425"/>
      <c r="N312" s="977"/>
      <c r="O312" s="425"/>
      <c r="P312" s="425"/>
      <c r="Q312" s="425"/>
      <c r="R312" s="511"/>
      <c r="S312" s="425"/>
      <c r="T312" s="977"/>
      <c r="U312" s="425"/>
    </row>
    <row r="313" ht="15.75" customHeight="1">
      <c r="A313" s="425"/>
      <c r="B313" s="425"/>
      <c r="C313" s="425"/>
      <c r="D313" s="425"/>
      <c r="E313" s="425"/>
      <c r="F313" s="511"/>
      <c r="G313" s="425"/>
      <c r="H313" s="977"/>
      <c r="I313" s="425"/>
      <c r="J313" s="425"/>
      <c r="K313" s="425"/>
      <c r="L313" s="511"/>
      <c r="M313" s="425"/>
      <c r="N313" s="977"/>
      <c r="O313" s="425"/>
      <c r="P313" s="425"/>
      <c r="Q313" s="425"/>
      <c r="R313" s="511"/>
      <c r="S313" s="425"/>
      <c r="T313" s="977"/>
      <c r="U313" s="425"/>
    </row>
    <row r="314" ht="15.75" customHeight="1">
      <c r="A314" s="425"/>
      <c r="B314" s="425"/>
      <c r="C314" s="425"/>
      <c r="D314" s="425"/>
      <c r="E314" s="425"/>
      <c r="F314" s="511"/>
      <c r="G314" s="425"/>
      <c r="H314" s="977"/>
      <c r="I314" s="425"/>
      <c r="J314" s="425"/>
      <c r="K314" s="425"/>
      <c r="L314" s="511"/>
      <c r="M314" s="425"/>
      <c r="N314" s="977"/>
      <c r="O314" s="425"/>
      <c r="P314" s="425"/>
      <c r="Q314" s="425"/>
      <c r="R314" s="511"/>
      <c r="S314" s="425"/>
      <c r="T314" s="977"/>
      <c r="U314" s="425"/>
    </row>
    <row r="315" ht="15.75" customHeight="1">
      <c r="A315" s="425"/>
      <c r="B315" s="425"/>
      <c r="C315" s="425"/>
      <c r="D315" s="425"/>
      <c r="E315" s="425"/>
      <c r="F315" s="511"/>
      <c r="G315" s="425"/>
      <c r="H315" s="977"/>
      <c r="I315" s="425"/>
      <c r="J315" s="425"/>
      <c r="K315" s="425"/>
      <c r="L315" s="511"/>
      <c r="M315" s="425"/>
      <c r="N315" s="977"/>
      <c r="O315" s="425"/>
      <c r="P315" s="425"/>
      <c r="Q315" s="425"/>
      <c r="R315" s="511"/>
      <c r="S315" s="425"/>
      <c r="T315" s="977"/>
      <c r="U315" s="425"/>
    </row>
    <row r="316" ht="15.75" customHeight="1">
      <c r="A316" s="425"/>
      <c r="B316" s="425"/>
      <c r="C316" s="425"/>
      <c r="D316" s="425"/>
      <c r="E316" s="425"/>
      <c r="F316" s="511"/>
      <c r="G316" s="425"/>
      <c r="H316" s="977"/>
      <c r="I316" s="425"/>
      <c r="J316" s="425"/>
      <c r="K316" s="425"/>
      <c r="L316" s="511"/>
      <c r="M316" s="425"/>
      <c r="N316" s="977"/>
      <c r="O316" s="425"/>
      <c r="P316" s="425"/>
      <c r="Q316" s="425"/>
      <c r="R316" s="511"/>
      <c r="S316" s="425"/>
      <c r="T316" s="977"/>
      <c r="U316" s="425"/>
    </row>
    <row r="317" ht="15.75" customHeight="1">
      <c r="A317" s="425"/>
      <c r="B317" s="425"/>
      <c r="C317" s="425"/>
      <c r="D317" s="425"/>
      <c r="E317" s="425"/>
      <c r="F317" s="511"/>
      <c r="G317" s="425"/>
      <c r="H317" s="977"/>
      <c r="I317" s="425"/>
      <c r="J317" s="425"/>
      <c r="K317" s="425"/>
      <c r="L317" s="511"/>
      <c r="M317" s="425"/>
      <c r="N317" s="977"/>
      <c r="O317" s="425"/>
      <c r="P317" s="425"/>
      <c r="Q317" s="425"/>
      <c r="R317" s="511"/>
      <c r="S317" s="425"/>
      <c r="T317" s="977"/>
      <c r="U317" s="425"/>
    </row>
    <row r="318" ht="15.75" customHeight="1">
      <c r="A318" s="425"/>
      <c r="B318" s="425"/>
      <c r="C318" s="425"/>
      <c r="D318" s="425"/>
      <c r="E318" s="425"/>
      <c r="F318" s="511"/>
      <c r="G318" s="425"/>
      <c r="H318" s="977"/>
      <c r="I318" s="425"/>
      <c r="J318" s="425"/>
      <c r="K318" s="425"/>
      <c r="L318" s="511"/>
      <c r="M318" s="425"/>
      <c r="N318" s="977"/>
      <c r="O318" s="425"/>
      <c r="P318" s="425"/>
      <c r="Q318" s="425"/>
      <c r="R318" s="511"/>
      <c r="S318" s="425"/>
      <c r="T318" s="977"/>
      <c r="U318" s="425"/>
    </row>
    <row r="319" ht="15.75" customHeight="1">
      <c r="A319" s="425"/>
      <c r="B319" s="425"/>
      <c r="C319" s="425"/>
      <c r="D319" s="425"/>
      <c r="E319" s="425"/>
      <c r="F319" s="511"/>
      <c r="G319" s="425"/>
      <c r="H319" s="977"/>
      <c r="I319" s="425"/>
      <c r="J319" s="425"/>
      <c r="K319" s="425"/>
      <c r="L319" s="511"/>
      <c r="M319" s="425"/>
      <c r="N319" s="977"/>
      <c r="O319" s="425"/>
      <c r="P319" s="425"/>
      <c r="Q319" s="425"/>
      <c r="R319" s="511"/>
      <c r="S319" s="425"/>
      <c r="T319" s="977"/>
      <c r="U319" s="425"/>
    </row>
    <row r="320" ht="15.75" customHeight="1">
      <c r="A320" s="425"/>
      <c r="B320" s="425"/>
      <c r="C320" s="425"/>
      <c r="D320" s="425"/>
      <c r="E320" s="425"/>
      <c r="F320" s="511"/>
      <c r="G320" s="425"/>
      <c r="H320" s="977"/>
      <c r="I320" s="425"/>
      <c r="J320" s="425"/>
      <c r="K320" s="425"/>
      <c r="L320" s="511"/>
      <c r="M320" s="425"/>
      <c r="N320" s="977"/>
      <c r="O320" s="425"/>
      <c r="P320" s="425"/>
      <c r="Q320" s="425"/>
      <c r="R320" s="511"/>
      <c r="S320" s="425"/>
      <c r="T320" s="977"/>
      <c r="U320" s="425"/>
    </row>
    <row r="321" ht="15.75" customHeight="1">
      <c r="A321" s="425"/>
      <c r="B321" s="425"/>
      <c r="C321" s="425"/>
      <c r="D321" s="425"/>
      <c r="E321" s="425"/>
      <c r="F321" s="511"/>
      <c r="G321" s="425"/>
      <c r="H321" s="977"/>
      <c r="I321" s="425"/>
      <c r="J321" s="425"/>
      <c r="K321" s="425"/>
      <c r="L321" s="511"/>
      <c r="M321" s="425"/>
      <c r="N321" s="977"/>
      <c r="O321" s="425"/>
      <c r="P321" s="425"/>
      <c r="Q321" s="425"/>
      <c r="R321" s="511"/>
      <c r="S321" s="425"/>
      <c r="T321" s="977"/>
      <c r="U321" s="425"/>
    </row>
    <row r="322" ht="15.75" customHeight="1">
      <c r="A322" s="425"/>
      <c r="B322" s="425"/>
      <c r="C322" s="425"/>
      <c r="D322" s="425"/>
      <c r="E322" s="425"/>
      <c r="F322" s="511"/>
      <c r="G322" s="425"/>
      <c r="H322" s="977"/>
      <c r="I322" s="425"/>
      <c r="J322" s="425"/>
      <c r="K322" s="425"/>
      <c r="L322" s="511"/>
      <c r="M322" s="425"/>
      <c r="N322" s="977"/>
      <c r="O322" s="425"/>
      <c r="P322" s="425"/>
      <c r="Q322" s="425"/>
      <c r="R322" s="511"/>
      <c r="S322" s="425"/>
      <c r="T322" s="977"/>
      <c r="U322" s="425"/>
    </row>
    <row r="323" ht="15.75" customHeight="1">
      <c r="A323" s="425"/>
      <c r="B323" s="425"/>
      <c r="C323" s="425"/>
      <c r="D323" s="425"/>
      <c r="E323" s="425"/>
      <c r="F323" s="511"/>
      <c r="G323" s="425"/>
      <c r="H323" s="977"/>
      <c r="I323" s="425"/>
      <c r="J323" s="425"/>
      <c r="K323" s="425"/>
      <c r="L323" s="511"/>
      <c r="M323" s="425"/>
      <c r="N323" s="977"/>
      <c r="O323" s="425"/>
      <c r="P323" s="425"/>
      <c r="Q323" s="425"/>
      <c r="R323" s="511"/>
      <c r="S323" s="425"/>
      <c r="T323" s="977"/>
      <c r="U323" s="425"/>
    </row>
    <row r="324" ht="15.75" customHeight="1">
      <c r="A324" s="425"/>
      <c r="B324" s="425"/>
      <c r="C324" s="425"/>
      <c r="D324" s="425"/>
      <c r="E324" s="425"/>
      <c r="F324" s="511"/>
      <c r="G324" s="425"/>
      <c r="H324" s="977"/>
      <c r="I324" s="425"/>
      <c r="J324" s="425"/>
      <c r="K324" s="425"/>
      <c r="L324" s="511"/>
      <c r="M324" s="425"/>
      <c r="N324" s="977"/>
      <c r="O324" s="425"/>
      <c r="P324" s="425"/>
      <c r="Q324" s="425"/>
      <c r="R324" s="511"/>
      <c r="S324" s="425"/>
      <c r="T324" s="977"/>
      <c r="U324" s="425"/>
    </row>
    <row r="325" ht="15.75" customHeight="1">
      <c r="A325" s="425"/>
      <c r="B325" s="425"/>
      <c r="C325" s="425"/>
      <c r="D325" s="425"/>
      <c r="E325" s="425"/>
      <c r="F325" s="511"/>
      <c r="G325" s="425"/>
      <c r="H325" s="977"/>
      <c r="I325" s="425"/>
      <c r="J325" s="425"/>
      <c r="K325" s="425"/>
      <c r="L325" s="511"/>
      <c r="M325" s="425"/>
      <c r="N325" s="977"/>
      <c r="O325" s="425"/>
      <c r="P325" s="425"/>
      <c r="Q325" s="425"/>
      <c r="R325" s="511"/>
      <c r="S325" s="425"/>
      <c r="T325" s="977"/>
      <c r="U325" s="425"/>
    </row>
    <row r="326" ht="15.75" customHeight="1">
      <c r="A326" s="425"/>
      <c r="B326" s="425"/>
      <c r="C326" s="425"/>
      <c r="D326" s="425"/>
      <c r="E326" s="425"/>
      <c r="F326" s="511"/>
      <c r="G326" s="425"/>
      <c r="H326" s="977"/>
      <c r="I326" s="425"/>
      <c r="J326" s="425"/>
      <c r="K326" s="425"/>
      <c r="L326" s="511"/>
      <c r="M326" s="425"/>
      <c r="N326" s="977"/>
      <c r="O326" s="425"/>
      <c r="P326" s="425"/>
      <c r="Q326" s="425"/>
      <c r="R326" s="511"/>
      <c r="S326" s="425"/>
      <c r="T326" s="977"/>
      <c r="U326" s="425"/>
    </row>
    <row r="327" ht="15.75" customHeight="1">
      <c r="A327" s="425"/>
      <c r="B327" s="425"/>
      <c r="C327" s="425"/>
      <c r="D327" s="425"/>
      <c r="E327" s="425"/>
      <c r="F327" s="511"/>
      <c r="G327" s="425"/>
      <c r="H327" s="977"/>
      <c r="I327" s="425"/>
      <c r="J327" s="425"/>
      <c r="K327" s="425"/>
      <c r="L327" s="511"/>
      <c r="M327" s="425"/>
      <c r="N327" s="977"/>
      <c r="O327" s="425"/>
      <c r="P327" s="425"/>
      <c r="Q327" s="425"/>
      <c r="R327" s="511"/>
      <c r="S327" s="425"/>
      <c r="T327" s="977"/>
      <c r="U327" s="425"/>
    </row>
    <row r="328" ht="15.75" customHeight="1">
      <c r="A328" s="425"/>
      <c r="B328" s="425"/>
      <c r="C328" s="425"/>
      <c r="D328" s="425"/>
      <c r="E328" s="425"/>
      <c r="F328" s="511"/>
      <c r="G328" s="425"/>
      <c r="H328" s="977"/>
      <c r="I328" s="425"/>
      <c r="J328" s="425"/>
      <c r="K328" s="425"/>
      <c r="L328" s="511"/>
      <c r="M328" s="425"/>
      <c r="N328" s="977"/>
      <c r="O328" s="425"/>
      <c r="P328" s="425"/>
      <c r="Q328" s="425"/>
      <c r="R328" s="511"/>
      <c r="S328" s="425"/>
      <c r="T328" s="977"/>
      <c r="U328" s="425"/>
    </row>
    <row r="329" ht="15.75" customHeight="1">
      <c r="A329" s="425"/>
      <c r="B329" s="425"/>
      <c r="C329" s="425"/>
      <c r="D329" s="425"/>
      <c r="E329" s="425"/>
      <c r="F329" s="511"/>
      <c r="G329" s="425"/>
      <c r="H329" s="977"/>
      <c r="I329" s="425"/>
      <c r="J329" s="425"/>
      <c r="K329" s="425"/>
      <c r="L329" s="511"/>
      <c r="M329" s="425"/>
      <c r="N329" s="977"/>
      <c r="O329" s="425"/>
      <c r="P329" s="425"/>
      <c r="Q329" s="425"/>
      <c r="R329" s="511"/>
      <c r="S329" s="425"/>
      <c r="T329" s="977"/>
      <c r="U329" s="425"/>
    </row>
    <row r="330" ht="15.75" customHeight="1">
      <c r="A330" s="425"/>
      <c r="B330" s="425"/>
      <c r="C330" s="425"/>
      <c r="D330" s="425"/>
      <c r="E330" s="425"/>
      <c r="F330" s="511"/>
      <c r="G330" s="425"/>
      <c r="H330" s="977"/>
      <c r="I330" s="425"/>
      <c r="J330" s="425"/>
      <c r="K330" s="425"/>
      <c r="L330" s="511"/>
      <c r="M330" s="425"/>
      <c r="N330" s="977"/>
      <c r="O330" s="425"/>
      <c r="P330" s="425"/>
      <c r="Q330" s="425"/>
      <c r="R330" s="511"/>
      <c r="S330" s="425"/>
      <c r="T330" s="977"/>
      <c r="U330" s="425"/>
    </row>
    <row r="331" ht="15.75" customHeight="1">
      <c r="A331" s="425"/>
      <c r="B331" s="425"/>
      <c r="C331" s="425"/>
      <c r="D331" s="425"/>
      <c r="E331" s="425"/>
      <c r="F331" s="511"/>
      <c r="G331" s="425"/>
      <c r="H331" s="977"/>
      <c r="I331" s="425"/>
      <c r="J331" s="425"/>
      <c r="K331" s="425"/>
      <c r="L331" s="511"/>
      <c r="M331" s="425"/>
      <c r="N331" s="977"/>
      <c r="O331" s="425"/>
      <c r="P331" s="425"/>
      <c r="Q331" s="425"/>
      <c r="R331" s="511"/>
      <c r="S331" s="425"/>
      <c r="T331" s="977"/>
      <c r="U331" s="425"/>
    </row>
    <row r="332" ht="15.75" customHeight="1">
      <c r="A332" s="425"/>
      <c r="B332" s="425"/>
      <c r="C332" s="425"/>
      <c r="D332" s="425"/>
      <c r="E332" s="425"/>
      <c r="F332" s="511"/>
      <c r="G332" s="425"/>
      <c r="H332" s="977"/>
      <c r="I332" s="425"/>
      <c r="J332" s="425"/>
      <c r="K332" s="425"/>
      <c r="L332" s="511"/>
      <c r="M332" s="425"/>
      <c r="N332" s="977"/>
      <c r="O332" s="425"/>
      <c r="P332" s="425"/>
      <c r="Q332" s="425"/>
      <c r="R332" s="511"/>
      <c r="S332" s="425"/>
      <c r="T332" s="977"/>
      <c r="U332" s="425"/>
    </row>
    <row r="333" ht="15.75" customHeight="1">
      <c r="A333" s="425"/>
      <c r="B333" s="425"/>
      <c r="C333" s="425"/>
      <c r="D333" s="425"/>
      <c r="E333" s="425"/>
      <c r="F333" s="511"/>
      <c r="G333" s="425"/>
      <c r="H333" s="977"/>
      <c r="I333" s="425"/>
      <c r="J333" s="425"/>
      <c r="K333" s="425"/>
      <c r="L333" s="511"/>
      <c r="M333" s="425"/>
      <c r="N333" s="977"/>
      <c r="O333" s="425"/>
      <c r="P333" s="425"/>
      <c r="Q333" s="425"/>
      <c r="R333" s="511"/>
      <c r="S333" s="425"/>
      <c r="T333" s="977"/>
      <c r="U333" s="425"/>
    </row>
    <row r="334" ht="15.75" customHeight="1">
      <c r="A334" s="425"/>
      <c r="B334" s="425"/>
      <c r="C334" s="425"/>
      <c r="D334" s="425"/>
      <c r="E334" s="425"/>
      <c r="F334" s="511"/>
      <c r="G334" s="425"/>
      <c r="H334" s="977"/>
      <c r="I334" s="425"/>
      <c r="J334" s="425"/>
      <c r="K334" s="425"/>
      <c r="L334" s="511"/>
      <c r="M334" s="425"/>
      <c r="N334" s="977"/>
      <c r="O334" s="425"/>
      <c r="P334" s="425"/>
      <c r="Q334" s="425"/>
      <c r="R334" s="511"/>
      <c r="S334" s="425"/>
      <c r="T334" s="977"/>
      <c r="U334" s="425"/>
    </row>
    <row r="335" ht="15.75" customHeight="1">
      <c r="A335" s="425"/>
      <c r="B335" s="425"/>
      <c r="C335" s="425"/>
      <c r="D335" s="425"/>
      <c r="E335" s="425"/>
      <c r="F335" s="511"/>
      <c r="G335" s="425"/>
      <c r="H335" s="977"/>
      <c r="I335" s="425"/>
      <c r="J335" s="425"/>
      <c r="K335" s="425"/>
      <c r="L335" s="511"/>
      <c r="M335" s="425"/>
      <c r="N335" s="977"/>
      <c r="O335" s="425"/>
      <c r="P335" s="425"/>
      <c r="Q335" s="425"/>
      <c r="R335" s="511"/>
      <c r="S335" s="425"/>
      <c r="T335" s="977"/>
      <c r="U335" s="425"/>
    </row>
    <row r="336" ht="15.75" customHeight="1">
      <c r="A336" s="425"/>
      <c r="B336" s="425"/>
      <c r="C336" s="425"/>
      <c r="D336" s="425"/>
      <c r="E336" s="425"/>
      <c r="F336" s="511"/>
      <c r="G336" s="425"/>
      <c r="H336" s="977"/>
      <c r="I336" s="425"/>
      <c r="J336" s="425"/>
      <c r="K336" s="425"/>
      <c r="L336" s="511"/>
      <c r="M336" s="425"/>
      <c r="N336" s="977"/>
      <c r="O336" s="425"/>
      <c r="P336" s="425"/>
      <c r="Q336" s="425"/>
      <c r="R336" s="511"/>
      <c r="S336" s="425"/>
      <c r="T336" s="977"/>
      <c r="U336" s="425"/>
    </row>
    <row r="337" ht="15.75" customHeight="1">
      <c r="A337" s="425"/>
      <c r="B337" s="425"/>
      <c r="C337" s="425"/>
      <c r="D337" s="425"/>
      <c r="E337" s="425"/>
      <c r="F337" s="511"/>
      <c r="G337" s="425"/>
      <c r="H337" s="977"/>
      <c r="I337" s="425"/>
      <c r="J337" s="425"/>
      <c r="K337" s="425"/>
      <c r="L337" s="511"/>
      <c r="M337" s="425"/>
      <c r="N337" s="977"/>
      <c r="O337" s="425"/>
      <c r="P337" s="425"/>
      <c r="Q337" s="425"/>
      <c r="R337" s="511"/>
      <c r="S337" s="425"/>
      <c r="T337" s="977"/>
      <c r="U337" s="425"/>
    </row>
    <row r="338" ht="15.75" customHeight="1">
      <c r="A338" s="425"/>
      <c r="B338" s="425"/>
      <c r="C338" s="425"/>
      <c r="D338" s="425"/>
      <c r="E338" s="425"/>
      <c r="F338" s="511"/>
      <c r="G338" s="425"/>
      <c r="H338" s="977"/>
      <c r="I338" s="425"/>
      <c r="J338" s="425"/>
      <c r="K338" s="425"/>
      <c r="L338" s="511"/>
      <c r="M338" s="425"/>
      <c r="N338" s="977"/>
      <c r="O338" s="425"/>
      <c r="P338" s="425"/>
      <c r="Q338" s="425"/>
      <c r="R338" s="511"/>
      <c r="S338" s="425"/>
      <c r="T338" s="977"/>
      <c r="U338" s="425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4:C64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75"/>
    <col customWidth="1" min="4" max="4" width="13.13"/>
    <col customWidth="1" hidden="1" min="5" max="5" width="9.0"/>
    <col customWidth="1" hidden="1" min="6" max="6" width="12.38"/>
    <col customWidth="1" hidden="1" min="7" max="7" width="8.25"/>
    <col customWidth="1" hidden="1" min="8" max="9" width="12.63"/>
    <col customWidth="1" min="10" max="10" width="11.88"/>
    <col customWidth="1" hidden="1" min="11" max="11" width="9.0"/>
    <col customWidth="1" hidden="1" min="12" max="12" width="12.38"/>
    <col customWidth="1" hidden="1" min="13" max="13" width="8.25"/>
    <col customWidth="1" hidden="1" min="14" max="15" width="12.63"/>
    <col customWidth="1" min="16" max="16" width="11.38"/>
    <col customWidth="1" hidden="1" min="17" max="17" width="9.0"/>
    <col customWidth="1" hidden="1" min="18" max="18" width="12.38"/>
    <col customWidth="1" hidden="1" min="19" max="19" width="8.25"/>
    <col customWidth="1" hidden="1" min="20" max="21" width="12.63"/>
  </cols>
  <sheetData>
    <row r="1" ht="15.75" customHeight="1">
      <c r="A1" s="425"/>
      <c r="B1" s="426" t="s">
        <v>0</v>
      </c>
      <c r="C1" s="425"/>
      <c r="D1" s="425"/>
      <c r="E1" s="235"/>
      <c r="F1" s="425"/>
      <c r="G1" s="425"/>
      <c r="H1" s="425"/>
      <c r="I1" s="425"/>
      <c r="J1" s="425"/>
      <c r="K1" s="235"/>
      <c r="L1" s="425"/>
      <c r="M1" s="425"/>
      <c r="N1" s="425"/>
      <c r="O1" s="425"/>
      <c r="P1" s="425"/>
      <c r="Q1" s="235"/>
      <c r="R1" s="425"/>
      <c r="S1" s="425"/>
      <c r="T1" s="425"/>
      <c r="U1" s="425"/>
    </row>
    <row r="2" ht="15.75" customHeight="1">
      <c r="A2" s="425"/>
      <c r="B2" s="427" t="s">
        <v>342</v>
      </c>
      <c r="C2" s="425"/>
      <c r="D2" s="425"/>
      <c r="E2" s="235"/>
      <c r="F2" s="425"/>
      <c r="G2" s="425"/>
      <c r="H2" s="425"/>
      <c r="I2" s="425"/>
      <c r="J2" s="425"/>
      <c r="K2" s="235"/>
      <c r="L2" s="425"/>
      <c r="M2" s="425"/>
      <c r="N2" s="425"/>
      <c r="O2" s="425"/>
      <c r="P2" s="425"/>
      <c r="Q2" s="235"/>
      <c r="R2" s="425"/>
      <c r="S2" s="425"/>
      <c r="T2" s="425"/>
      <c r="U2" s="425"/>
    </row>
    <row r="3" ht="15.75" customHeight="1">
      <c r="A3" s="425"/>
      <c r="B3" s="425"/>
      <c r="C3" s="425"/>
      <c r="D3" s="425"/>
      <c r="E3" s="235"/>
      <c r="F3" s="425"/>
      <c r="G3" s="425"/>
      <c r="H3" s="425"/>
      <c r="I3" s="425"/>
      <c r="J3" s="425"/>
      <c r="K3" s="235"/>
      <c r="L3" s="425"/>
      <c r="M3" s="425"/>
      <c r="N3" s="425"/>
      <c r="O3" s="425"/>
      <c r="P3" s="425"/>
      <c r="Q3" s="235"/>
      <c r="R3" s="425"/>
      <c r="S3" s="425"/>
      <c r="T3" s="425"/>
      <c r="U3" s="425"/>
    </row>
    <row r="4" ht="15.75" customHeight="1">
      <c r="A4" s="425"/>
      <c r="B4" s="428" t="s">
        <v>165</v>
      </c>
      <c r="C4" s="428" t="s">
        <v>166</v>
      </c>
      <c r="D4" s="652" t="s">
        <v>167</v>
      </c>
      <c r="E4" s="10"/>
      <c r="F4" s="10"/>
      <c r="G4" s="10"/>
      <c r="H4" s="10"/>
      <c r="I4" s="12"/>
      <c r="J4" s="652" t="s">
        <v>168</v>
      </c>
      <c r="K4" s="10"/>
      <c r="L4" s="10"/>
      <c r="M4" s="10"/>
      <c r="N4" s="10"/>
      <c r="O4" s="12"/>
      <c r="P4" s="653" t="s">
        <v>169</v>
      </c>
      <c r="Q4" s="10"/>
      <c r="R4" s="10"/>
      <c r="S4" s="10"/>
      <c r="T4" s="10"/>
      <c r="U4" s="12"/>
    </row>
    <row r="5" ht="15.75" customHeight="1">
      <c r="A5" s="514"/>
      <c r="B5" s="433"/>
      <c r="C5" s="433"/>
      <c r="D5" s="753" t="s">
        <v>170</v>
      </c>
      <c r="E5" s="753" t="s">
        <v>18</v>
      </c>
      <c r="F5" s="753" t="s">
        <v>171</v>
      </c>
      <c r="G5" s="753" t="s">
        <v>18</v>
      </c>
      <c r="H5" s="753" t="s">
        <v>172</v>
      </c>
      <c r="I5" s="753" t="s">
        <v>260</v>
      </c>
      <c r="J5" s="753" t="s">
        <v>170</v>
      </c>
      <c r="K5" s="753" t="s">
        <v>18</v>
      </c>
      <c r="L5" s="753" t="s">
        <v>171</v>
      </c>
      <c r="M5" s="753" t="s">
        <v>18</v>
      </c>
      <c r="N5" s="753" t="s">
        <v>172</v>
      </c>
      <c r="O5" s="753" t="s">
        <v>260</v>
      </c>
      <c r="P5" s="753" t="s">
        <v>170</v>
      </c>
      <c r="Q5" s="753" t="s">
        <v>18</v>
      </c>
      <c r="R5" s="753" t="s">
        <v>171</v>
      </c>
      <c r="S5" s="753" t="s">
        <v>18</v>
      </c>
      <c r="T5" s="753" t="s">
        <v>172</v>
      </c>
      <c r="U5" s="753" t="s">
        <v>260</v>
      </c>
    </row>
    <row r="6" ht="15.75" hidden="1" customHeight="1">
      <c r="A6" s="425"/>
      <c r="B6" s="446"/>
      <c r="C6" s="481" t="s">
        <v>76</v>
      </c>
      <c r="D6" s="661">
        <v>0.0</v>
      </c>
      <c r="E6" s="522"/>
      <c r="F6" s="610"/>
      <c r="G6" s="522"/>
      <c r="H6" s="610"/>
      <c r="I6" s="524"/>
      <c r="J6" s="661">
        <v>0.0</v>
      </c>
      <c r="K6" s="522"/>
      <c r="L6" s="610"/>
      <c r="M6" s="522"/>
      <c r="N6" s="610"/>
      <c r="O6" s="524"/>
      <c r="P6" s="1020">
        <v>0.0</v>
      </c>
      <c r="Q6" s="446"/>
      <c r="R6" s="686"/>
      <c r="S6" s="446"/>
      <c r="T6" s="686"/>
      <c r="U6" s="446"/>
    </row>
    <row r="7" ht="15.75" hidden="1" customHeight="1">
      <c r="A7" s="425"/>
      <c r="B7" s="454"/>
      <c r="C7" s="450" t="s">
        <v>83</v>
      </c>
      <c r="D7" s="662">
        <v>0.0</v>
      </c>
      <c r="E7" s="521"/>
      <c r="F7" s="612"/>
      <c r="G7" s="521"/>
      <c r="H7" s="612"/>
      <c r="I7" s="464"/>
      <c r="J7" s="662">
        <v>0.0</v>
      </c>
      <c r="K7" s="521"/>
      <c r="L7" s="612"/>
      <c r="M7" s="521"/>
      <c r="N7" s="612"/>
      <c r="O7" s="464"/>
      <c r="P7" s="1021">
        <v>0.0</v>
      </c>
      <c r="Q7" s="454"/>
      <c r="R7" s="685"/>
      <c r="S7" s="454"/>
      <c r="T7" s="685"/>
      <c r="U7" s="454"/>
    </row>
    <row r="8" ht="15.75" hidden="1" customHeight="1">
      <c r="A8" s="425"/>
      <c r="B8" s="454"/>
      <c r="C8" s="450" t="s">
        <v>90</v>
      </c>
      <c r="D8" s="662">
        <v>0.0</v>
      </c>
      <c r="E8" s="521"/>
      <c r="F8" s="612"/>
      <c r="G8" s="521"/>
      <c r="H8" s="612"/>
      <c r="I8" s="464"/>
      <c r="J8" s="662">
        <v>0.0</v>
      </c>
      <c r="K8" s="521"/>
      <c r="L8" s="612"/>
      <c r="M8" s="521"/>
      <c r="N8" s="612"/>
      <c r="O8" s="464"/>
      <c r="P8" s="1021">
        <v>0.0</v>
      </c>
      <c r="Q8" s="454"/>
      <c r="R8" s="685"/>
      <c r="S8" s="454"/>
      <c r="T8" s="685"/>
      <c r="U8" s="454"/>
    </row>
    <row r="9" ht="15.75" hidden="1" customHeight="1">
      <c r="A9" s="425"/>
      <c r="B9" s="454"/>
      <c r="C9" s="450" t="s">
        <v>97</v>
      </c>
      <c r="D9" s="662">
        <v>0.0</v>
      </c>
      <c r="E9" s="521"/>
      <c r="F9" s="612"/>
      <c r="G9" s="521"/>
      <c r="H9" s="612"/>
      <c r="I9" s="464"/>
      <c r="J9" s="662">
        <v>0.0</v>
      </c>
      <c r="K9" s="521"/>
      <c r="L9" s="612"/>
      <c r="M9" s="521"/>
      <c r="N9" s="612"/>
      <c r="O9" s="464"/>
      <c r="P9" s="1021">
        <v>0.0</v>
      </c>
      <c r="Q9" s="454"/>
      <c r="R9" s="685"/>
      <c r="S9" s="454"/>
      <c r="T9" s="685"/>
      <c r="U9" s="454"/>
    </row>
    <row r="10" ht="15.75" hidden="1" customHeight="1">
      <c r="A10" s="425"/>
      <c r="B10" s="454"/>
      <c r="C10" s="450" t="s">
        <v>104</v>
      </c>
      <c r="D10" s="662">
        <f>SUM(D8:D9)-D29</f>
        <v>-334509.99</v>
      </c>
      <c r="E10" s="521"/>
      <c r="F10" s="612"/>
      <c r="G10" s="521"/>
      <c r="H10" s="612"/>
      <c r="I10" s="464"/>
      <c r="J10" s="662">
        <f>SUM(J8:J9)-J29</f>
        <v>-332317</v>
      </c>
      <c r="K10" s="521"/>
      <c r="L10" s="612"/>
      <c r="M10" s="521"/>
      <c r="N10" s="612"/>
      <c r="O10" s="464"/>
      <c r="P10" s="1021">
        <f>SUM(P8:P9)-P29</f>
        <v>0</v>
      </c>
      <c r="Q10" s="454"/>
      <c r="R10" s="685"/>
      <c r="S10" s="454"/>
      <c r="T10" s="685"/>
      <c r="U10" s="454"/>
    </row>
    <row r="11" ht="15.75" hidden="1" customHeight="1">
      <c r="A11" s="425"/>
      <c r="B11" s="454"/>
      <c r="C11" s="450" t="s">
        <v>111</v>
      </c>
      <c r="D11" s="662"/>
      <c r="E11" s="521"/>
      <c r="F11" s="612"/>
      <c r="G11" s="521"/>
      <c r="H11" s="612"/>
      <c r="I11" s="464"/>
      <c r="J11" s="662"/>
      <c r="K11" s="521"/>
      <c r="L11" s="612"/>
      <c r="M11" s="521"/>
      <c r="N11" s="612"/>
      <c r="O11" s="464"/>
      <c r="P11" s="1021"/>
      <c r="Q11" s="454"/>
      <c r="R11" s="685"/>
      <c r="S11" s="454"/>
      <c r="T11" s="685"/>
      <c r="U11" s="454"/>
    </row>
    <row r="12" ht="15.75" hidden="1" customHeight="1">
      <c r="A12" s="425"/>
      <c r="B12" s="454"/>
      <c r="C12" s="450" t="s">
        <v>118</v>
      </c>
      <c r="D12" s="662"/>
      <c r="E12" s="521"/>
      <c r="F12" s="612"/>
      <c r="G12" s="521"/>
      <c r="H12" s="612"/>
      <c r="I12" s="464"/>
      <c r="J12" s="662"/>
      <c r="K12" s="521"/>
      <c r="L12" s="612"/>
      <c r="M12" s="521"/>
      <c r="N12" s="612"/>
      <c r="O12" s="464"/>
      <c r="P12" s="1021"/>
      <c r="Q12" s="454"/>
      <c r="R12" s="685"/>
      <c r="S12" s="454"/>
      <c r="T12" s="685"/>
      <c r="U12" s="454"/>
    </row>
    <row r="13" ht="15.75" hidden="1" customHeight="1">
      <c r="A13" s="425"/>
      <c r="B13" s="454"/>
      <c r="C13" s="450"/>
      <c r="D13" s="662"/>
      <c r="E13" s="521"/>
      <c r="F13" s="612"/>
      <c r="G13" s="242"/>
      <c r="H13" s="612"/>
      <c r="I13" s="633"/>
      <c r="J13" s="662"/>
      <c r="K13" s="521"/>
      <c r="L13" s="612"/>
      <c r="M13" s="242"/>
      <c r="N13" s="612"/>
      <c r="O13" s="633"/>
      <c r="P13" s="1021"/>
      <c r="Q13" s="454"/>
      <c r="R13" s="685"/>
      <c r="S13" s="450"/>
      <c r="T13" s="685"/>
      <c r="U13" s="450"/>
    </row>
    <row r="14" ht="15.75" hidden="1" customHeight="1">
      <c r="A14" s="425"/>
      <c r="B14" s="525"/>
      <c r="C14" s="468"/>
      <c r="D14" s="663"/>
      <c r="E14" s="526"/>
      <c r="F14" s="664"/>
      <c r="G14" s="636"/>
      <c r="H14" s="664"/>
      <c r="I14" s="638"/>
      <c r="J14" s="663"/>
      <c r="K14" s="526"/>
      <c r="L14" s="664"/>
      <c r="M14" s="636"/>
      <c r="N14" s="664"/>
      <c r="O14" s="638"/>
      <c r="P14" s="1022"/>
      <c r="Q14" s="525"/>
      <c r="R14" s="687"/>
      <c r="S14" s="468"/>
      <c r="T14" s="687"/>
      <c r="U14" s="468"/>
    </row>
    <row r="15" ht="15.75" customHeight="1">
      <c r="A15" s="425"/>
      <c r="B15" s="442" t="s">
        <v>173</v>
      </c>
      <c r="C15" s="474" t="s">
        <v>322</v>
      </c>
      <c r="D15" s="627">
        <f>SUM(D18:D21)</f>
        <v>334509.99</v>
      </c>
      <c r="E15" s="442"/>
      <c r="F15" s="627"/>
      <c r="G15" s="474"/>
      <c r="H15" s="627"/>
      <c r="I15" s="474"/>
      <c r="J15" s="627">
        <f>SUM(J18:J21)</f>
        <v>332317</v>
      </c>
      <c r="K15" s="629"/>
      <c r="L15" s="705"/>
      <c r="M15" s="477"/>
      <c r="N15" s="705"/>
      <c r="O15" s="477"/>
      <c r="P15" s="627">
        <f>SUM(P18:P21)</f>
        <v>0</v>
      </c>
      <c r="Q15" s="629"/>
      <c r="R15" s="705"/>
      <c r="S15" s="477"/>
      <c r="T15" s="705"/>
      <c r="U15" s="477"/>
    </row>
    <row r="16" ht="15.75" customHeight="1">
      <c r="A16" s="425"/>
      <c r="B16" s="446"/>
      <c r="C16" s="481"/>
      <c r="D16" s="661"/>
      <c r="E16" s="522"/>
      <c r="F16" s="610"/>
      <c r="G16" s="630"/>
      <c r="H16" s="610">
        <f>SUM(H17:H21)</f>
        <v>149247.3</v>
      </c>
      <c r="I16" s="631"/>
      <c r="J16" s="661"/>
      <c r="K16" s="522"/>
      <c r="L16" s="610"/>
      <c r="M16" s="630"/>
      <c r="N16" s="610">
        <f>SUM(N17:N21)</f>
        <v>179110</v>
      </c>
      <c r="O16" s="631"/>
      <c r="P16" s="686"/>
      <c r="Q16" s="446"/>
      <c r="R16" s="686"/>
      <c r="S16" s="481"/>
      <c r="T16" s="686">
        <f>SUM(T17:T21)</f>
        <v>0</v>
      </c>
      <c r="U16" s="481"/>
    </row>
    <row r="17" ht="15.75" customHeight="1">
      <c r="A17" s="425"/>
      <c r="B17" s="454"/>
      <c r="C17" s="450"/>
      <c r="D17" s="662"/>
      <c r="E17" s="521"/>
      <c r="F17" s="612"/>
      <c r="G17" s="242"/>
      <c r="H17" s="612"/>
      <c r="I17" s="633"/>
      <c r="J17" s="662"/>
      <c r="K17" s="521"/>
      <c r="L17" s="612"/>
      <c r="M17" s="242"/>
      <c r="N17" s="612"/>
      <c r="O17" s="633"/>
      <c r="P17" s="685"/>
      <c r="Q17" s="454"/>
      <c r="R17" s="685"/>
      <c r="S17" s="450"/>
      <c r="T17" s="685"/>
      <c r="U17" s="450"/>
    </row>
    <row r="18" ht="15.75" customHeight="1">
      <c r="A18" s="425"/>
      <c r="B18" s="454" t="s">
        <v>23</v>
      </c>
      <c r="C18" s="450" t="s">
        <v>343</v>
      </c>
      <c r="D18" s="662">
        <v>149247.3</v>
      </c>
      <c r="E18" s="538">
        <f t="shared" ref="E18:E19" si="1">D18/D$29</f>
        <v>0.4461669441</v>
      </c>
      <c r="F18" s="612"/>
      <c r="G18" s="538" t="str">
        <f t="shared" ref="G18:G19" si="2">F18/F$29</f>
        <v>#DIV/0!</v>
      </c>
      <c r="H18" s="612">
        <f>D18-F18</f>
        <v>149247.3</v>
      </c>
      <c r="I18" s="633"/>
      <c r="J18" s="662">
        <v>179110.0</v>
      </c>
      <c r="K18" s="538">
        <f t="shared" ref="K18:K19" si="3">J18/J$29</f>
        <v>0.5389733297</v>
      </c>
      <c r="L18" s="612"/>
      <c r="M18" s="538" t="str">
        <f t="shared" ref="M18:M19" si="4">L18/L$29</f>
        <v>#DIV/0!</v>
      </c>
      <c r="N18" s="612">
        <f>J18-L18</f>
        <v>179110</v>
      </c>
      <c r="O18" s="633"/>
      <c r="P18" s="685"/>
      <c r="Q18" s="716" t="str">
        <f t="shared" ref="Q18:Q19" si="5">P18/P$29</f>
        <v>#DIV/0!</v>
      </c>
      <c r="R18" s="685"/>
      <c r="S18" s="716" t="str">
        <f t="shared" ref="S18:S19" si="6">R18/R$29</f>
        <v>#DIV/0!</v>
      </c>
      <c r="T18" s="685">
        <f>P18-R18</f>
        <v>0</v>
      </c>
      <c r="U18" s="450"/>
    </row>
    <row r="19" ht="15.75" customHeight="1">
      <c r="A19" s="425"/>
      <c r="B19" s="450"/>
      <c r="C19" s="450" t="s">
        <v>344</v>
      </c>
      <c r="D19" s="662">
        <v>168096.5</v>
      </c>
      <c r="E19" s="538">
        <f t="shared" si="1"/>
        <v>0.5025156349</v>
      </c>
      <c r="F19" s="612"/>
      <c r="G19" s="538" t="str">
        <f t="shared" si="2"/>
        <v>#DIV/0!</v>
      </c>
      <c r="H19" s="612"/>
      <c r="I19" s="633"/>
      <c r="J19" s="662">
        <v>153207.0</v>
      </c>
      <c r="K19" s="538">
        <f t="shared" si="3"/>
        <v>0.4610266703</v>
      </c>
      <c r="L19" s="612"/>
      <c r="M19" s="538" t="str">
        <f t="shared" si="4"/>
        <v>#DIV/0!</v>
      </c>
      <c r="N19" s="612"/>
      <c r="O19" s="633"/>
      <c r="P19" s="685"/>
      <c r="Q19" s="716" t="str">
        <f t="shared" si="5"/>
        <v>#DIV/0!</v>
      </c>
      <c r="R19" s="685"/>
      <c r="S19" s="716" t="str">
        <f t="shared" si="6"/>
        <v>#DIV/0!</v>
      </c>
      <c r="T19" s="685"/>
      <c r="U19" s="450"/>
    </row>
    <row r="20" ht="15.75" customHeight="1">
      <c r="A20" s="425"/>
      <c r="B20" s="450"/>
      <c r="C20" s="450"/>
      <c r="D20" s="662"/>
      <c r="E20" s="521"/>
      <c r="F20" s="612"/>
      <c r="G20" s="242"/>
      <c r="H20" s="612"/>
      <c r="I20" s="633"/>
      <c r="J20" s="662"/>
      <c r="K20" s="521"/>
      <c r="L20" s="612"/>
      <c r="M20" s="242"/>
      <c r="N20" s="612"/>
      <c r="O20" s="633"/>
      <c r="P20" s="685"/>
      <c r="Q20" s="454"/>
      <c r="R20" s="685"/>
      <c r="S20" s="450"/>
      <c r="T20" s="685"/>
      <c r="U20" s="450"/>
    </row>
    <row r="21" ht="15.75" customHeight="1">
      <c r="A21" s="425"/>
      <c r="B21" s="450"/>
      <c r="C21" s="450" t="s">
        <v>179</v>
      </c>
      <c r="D21" s="662">
        <f>8761.25+8404.94</f>
        <v>17166.19</v>
      </c>
      <c r="E21" s="242"/>
      <c r="F21" s="612"/>
      <c r="G21" s="242"/>
      <c r="H21" s="612"/>
      <c r="I21" s="633"/>
      <c r="J21" s="662"/>
      <c r="K21" s="242"/>
      <c r="L21" s="612"/>
      <c r="M21" s="242"/>
      <c r="N21" s="612"/>
      <c r="O21" s="633"/>
      <c r="P21" s="685"/>
      <c r="Q21" s="450"/>
      <c r="R21" s="685"/>
      <c r="S21" s="450"/>
      <c r="T21" s="685"/>
      <c r="U21" s="450"/>
    </row>
    <row r="22" ht="15.75" customHeight="1">
      <c r="A22" s="425"/>
      <c r="B22" s="450"/>
      <c r="C22" s="450" t="s">
        <v>263</v>
      </c>
      <c r="D22" s="662"/>
      <c r="E22" s="521"/>
      <c r="F22" s="612"/>
      <c r="G22" s="242"/>
      <c r="H22" s="612"/>
      <c r="I22" s="633"/>
      <c r="J22" s="662"/>
      <c r="K22" s="521"/>
      <c r="L22" s="612"/>
      <c r="M22" s="242"/>
      <c r="N22" s="612"/>
      <c r="O22" s="633"/>
      <c r="P22" s="685"/>
      <c r="Q22" s="454"/>
      <c r="R22" s="685"/>
      <c r="S22" s="450"/>
      <c r="T22" s="685"/>
      <c r="U22" s="450"/>
    </row>
    <row r="23" ht="15.75" customHeight="1">
      <c r="A23" s="425"/>
      <c r="B23" s="454"/>
      <c r="C23" s="450"/>
      <c r="D23" s="662"/>
      <c r="E23" s="521"/>
      <c r="F23" s="612"/>
      <c r="G23" s="242"/>
      <c r="H23" s="612"/>
      <c r="I23" s="633"/>
      <c r="J23" s="662"/>
      <c r="K23" s="521"/>
      <c r="L23" s="612"/>
      <c r="M23" s="242"/>
      <c r="N23" s="612"/>
      <c r="O23" s="633"/>
      <c r="P23" s="685"/>
      <c r="Q23" s="454"/>
      <c r="R23" s="685"/>
      <c r="S23" s="450"/>
      <c r="T23" s="685"/>
      <c r="U23" s="450"/>
    </row>
    <row r="24" ht="15.75" customHeight="1">
      <c r="A24" s="425"/>
      <c r="B24" s="454" t="s">
        <v>21</v>
      </c>
      <c r="C24" s="450" t="s">
        <v>21</v>
      </c>
      <c r="D24" s="455">
        <v>0.0</v>
      </c>
      <c r="E24" s="744"/>
      <c r="F24" s="744"/>
      <c r="G24" s="1023"/>
      <c r="H24" s="744">
        <v>0.0</v>
      </c>
      <c r="I24" s="1024"/>
      <c r="J24" s="455">
        <v>0.0</v>
      </c>
      <c r="K24" s="744"/>
      <c r="L24" s="744"/>
      <c r="M24" s="1023"/>
      <c r="N24" s="744">
        <v>0.0</v>
      </c>
      <c r="O24" s="1024"/>
      <c r="P24" s="457">
        <v>0.0</v>
      </c>
      <c r="Q24" s="459"/>
      <c r="R24" s="459"/>
      <c r="S24" s="1025"/>
      <c r="T24" s="459">
        <v>0.0</v>
      </c>
      <c r="U24" s="1025"/>
    </row>
    <row r="25" ht="15.75" customHeight="1">
      <c r="A25" s="425"/>
      <c r="B25" s="525" t="s">
        <v>22</v>
      </c>
      <c r="C25" s="468" t="s">
        <v>22</v>
      </c>
      <c r="D25" s="1005">
        <v>0.0</v>
      </c>
      <c r="E25" s="1001"/>
      <c r="F25" s="1001"/>
      <c r="G25" s="1026"/>
      <c r="H25" s="1001">
        <v>0.0</v>
      </c>
      <c r="I25" s="1027"/>
      <c r="J25" s="1005">
        <v>0.0</v>
      </c>
      <c r="K25" s="1001"/>
      <c r="L25" s="1001"/>
      <c r="M25" s="1026"/>
      <c r="N25" s="1001">
        <v>0.0</v>
      </c>
      <c r="O25" s="1027"/>
      <c r="P25" s="1006">
        <v>0.0</v>
      </c>
      <c r="Q25" s="472"/>
      <c r="R25" s="472"/>
      <c r="S25" s="1028"/>
      <c r="T25" s="472">
        <v>0.0</v>
      </c>
      <c r="U25" s="1028"/>
    </row>
    <row r="26" ht="15.75" customHeight="1">
      <c r="A26" s="425"/>
      <c r="B26" s="629" t="s">
        <v>23</v>
      </c>
      <c r="C26" s="474" t="s">
        <v>180</v>
      </c>
      <c r="D26" s="1029">
        <f>SUM(D18:D21)</f>
        <v>334509.99</v>
      </c>
      <c r="E26" s="442"/>
      <c r="F26" s="1029"/>
      <c r="G26" s="474"/>
      <c r="H26" s="1029">
        <f>SUM(H17:H21)</f>
        <v>149247.3</v>
      </c>
      <c r="I26" s="474"/>
      <c r="J26" s="1029">
        <f>SUM(J18:J21)</f>
        <v>332317</v>
      </c>
      <c r="K26" s="442"/>
      <c r="L26" s="1029"/>
      <c r="M26" s="474"/>
      <c r="N26" s="1029">
        <f>SUM(N17:N21)</f>
        <v>179110</v>
      </c>
      <c r="O26" s="474"/>
      <c r="P26" s="1029">
        <f>SUM(P18:P21)</f>
        <v>0</v>
      </c>
      <c r="Q26" s="442"/>
      <c r="R26" s="1029"/>
      <c r="S26" s="474"/>
      <c r="T26" s="1029">
        <f>SUM(T17:T21)</f>
        <v>0</v>
      </c>
      <c r="U26" s="474"/>
    </row>
    <row r="27" ht="15.75" customHeight="1">
      <c r="A27" s="425"/>
      <c r="B27" s="481"/>
      <c r="C27" s="481"/>
      <c r="D27" s="661"/>
      <c r="E27" s="522"/>
      <c r="F27" s="522"/>
      <c r="G27" s="630"/>
      <c r="H27" s="630"/>
      <c r="I27" s="631"/>
      <c r="J27" s="661"/>
      <c r="K27" s="522"/>
      <c r="L27" s="522"/>
      <c r="M27" s="630"/>
      <c r="N27" s="630"/>
      <c r="O27" s="631"/>
      <c r="P27" s="686"/>
      <c r="Q27" s="446"/>
      <c r="R27" s="446"/>
      <c r="S27" s="481"/>
      <c r="T27" s="481"/>
      <c r="U27" s="481"/>
    </row>
    <row r="28" ht="15.75" customHeight="1">
      <c r="A28" s="425"/>
      <c r="B28" s="468"/>
      <c r="C28" s="468" t="s">
        <v>181</v>
      </c>
      <c r="D28" s="663"/>
      <c r="E28" s="526"/>
      <c r="F28" s="526"/>
      <c r="G28" s="636"/>
      <c r="H28" s="636"/>
      <c r="I28" s="638"/>
      <c r="J28" s="663"/>
      <c r="K28" s="526"/>
      <c r="L28" s="526"/>
      <c r="M28" s="636"/>
      <c r="N28" s="636"/>
      <c r="O28" s="638"/>
      <c r="P28" s="687"/>
      <c r="Q28" s="525"/>
      <c r="R28" s="525"/>
      <c r="S28" s="468"/>
      <c r="T28" s="468"/>
      <c r="U28" s="468"/>
    </row>
    <row r="29" ht="15.75" customHeight="1">
      <c r="A29" s="425"/>
      <c r="B29" s="474"/>
      <c r="C29" s="474" t="s">
        <v>182</v>
      </c>
      <c r="D29" s="692">
        <f>D24+D25+D26+D28</f>
        <v>334509.99</v>
      </c>
      <c r="E29" s="555"/>
      <c r="F29" s="609">
        <f>F24+F25+F26+F28</f>
        <v>0</v>
      </c>
      <c r="G29" s="649"/>
      <c r="H29" s="609">
        <f>H24+H25+H26+H28</f>
        <v>149247.3</v>
      </c>
      <c r="I29" s="650"/>
      <c r="J29" s="692">
        <f>J24+J25+J26+J28</f>
        <v>332317</v>
      </c>
      <c r="K29" s="555"/>
      <c r="L29" s="609">
        <f>L24+L25+L26+L28</f>
        <v>0</v>
      </c>
      <c r="M29" s="649"/>
      <c r="N29" s="609">
        <f>N24+N25+N26+N28</f>
        <v>179110</v>
      </c>
      <c r="O29" s="650"/>
      <c r="P29" s="627">
        <f>P24+P25+P26+P28</f>
        <v>0</v>
      </c>
      <c r="Q29" s="442"/>
      <c r="R29" s="627">
        <f>R24+R25+R26+R28</f>
        <v>0</v>
      </c>
      <c r="S29" s="474"/>
      <c r="T29" s="627">
        <f>T24+T25+T26+T28</f>
        <v>0</v>
      </c>
      <c r="U29" s="474"/>
    </row>
    <row r="30" ht="15.75" hidden="1" customHeight="1">
      <c r="A30" s="425"/>
      <c r="B30" s="446"/>
      <c r="C30" s="481"/>
      <c r="D30" s="661"/>
      <c r="E30" s="522"/>
      <c r="F30" s="522"/>
      <c r="G30" s="522"/>
      <c r="H30" s="522"/>
      <c r="I30" s="524"/>
      <c r="J30" s="661"/>
      <c r="K30" s="522"/>
      <c r="L30" s="522"/>
      <c r="M30" s="522"/>
      <c r="N30" s="522"/>
      <c r="O30" s="524"/>
      <c r="P30" s="686"/>
      <c r="Q30" s="446"/>
      <c r="R30" s="446"/>
      <c r="S30" s="446"/>
      <c r="T30" s="446"/>
      <c r="U30" s="446"/>
    </row>
    <row r="31" ht="15.75" hidden="1" customHeight="1">
      <c r="A31" s="425"/>
      <c r="B31" s="450"/>
      <c r="C31" s="450"/>
      <c r="D31" s="662"/>
      <c r="E31" s="538"/>
      <c r="F31" s="612"/>
      <c r="G31" s="612"/>
      <c r="H31" s="612"/>
      <c r="I31" s="693"/>
      <c r="J31" s="662"/>
      <c r="K31" s="538"/>
      <c r="L31" s="612"/>
      <c r="M31" s="612"/>
      <c r="N31" s="612"/>
      <c r="O31" s="693"/>
      <c r="P31" s="685"/>
      <c r="Q31" s="716"/>
      <c r="R31" s="685"/>
      <c r="S31" s="685"/>
      <c r="T31" s="685"/>
      <c r="U31" s="685"/>
    </row>
    <row r="32" ht="15.75" hidden="1" customHeight="1">
      <c r="A32" s="425"/>
      <c r="B32" s="450"/>
      <c r="C32" s="450"/>
      <c r="D32" s="662"/>
      <c r="E32" s="538"/>
      <c r="F32" s="612"/>
      <c r="G32" s="612"/>
      <c r="H32" s="612"/>
      <c r="I32" s="693"/>
      <c r="J32" s="662"/>
      <c r="K32" s="538"/>
      <c r="L32" s="612"/>
      <c r="M32" s="612"/>
      <c r="N32" s="612"/>
      <c r="O32" s="693"/>
      <c r="P32" s="685"/>
      <c r="Q32" s="716"/>
      <c r="R32" s="685"/>
      <c r="S32" s="685"/>
      <c r="T32" s="685"/>
      <c r="U32" s="685"/>
    </row>
    <row r="33" ht="15.75" hidden="1" customHeight="1">
      <c r="A33" s="425"/>
      <c r="B33" s="450"/>
      <c r="C33" s="450"/>
      <c r="D33" s="662"/>
      <c r="E33" s="538"/>
      <c r="F33" s="612"/>
      <c r="G33" s="612"/>
      <c r="H33" s="612"/>
      <c r="I33" s="693"/>
      <c r="J33" s="662"/>
      <c r="K33" s="538"/>
      <c r="L33" s="612"/>
      <c r="M33" s="612"/>
      <c r="N33" s="612"/>
      <c r="O33" s="693"/>
      <c r="P33" s="685"/>
      <c r="Q33" s="716"/>
      <c r="R33" s="685"/>
      <c r="S33" s="685"/>
      <c r="T33" s="685"/>
      <c r="U33" s="685"/>
    </row>
    <row r="34" ht="15.75" hidden="1" customHeight="1">
      <c r="A34" s="425"/>
      <c r="B34" s="450"/>
      <c r="C34" s="450"/>
      <c r="D34" s="662"/>
      <c r="E34" s="538"/>
      <c r="F34" s="612"/>
      <c r="G34" s="612"/>
      <c r="H34" s="612"/>
      <c r="I34" s="693"/>
      <c r="J34" s="662"/>
      <c r="K34" s="538"/>
      <c r="L34" s="612"/>
      <c r="M34" s="612"/>
      <c r="N34" s="612"/>
      <c r="O34" s="693"/>
      <c r="P34" s="685"/>
      <c r="Q34" s="716"/>
      <c r="R34" s="685"/>
      <c r="S34" s="685"/>
      <c r="T34" s="685"/>
      <c r="U34" s="685"/>
    </row>
    <row r="35" ht="15.75" hidden="1" customHeight="1">
      <c r="A35" s="425"/>
      <c r="B35" s="450"/>
      <c r="C35" s="450"/>
      <c r="D35" s="662"/>
      <c r="E35" s="538"/>
      <c r="F35" s="612"/>
      <c r="G35" s="612"/>
      <c r="H35" s="612"/>
      <c r="I35" s="693"/>
      <c r="J35" s="662"/>
      <c r="K35" s="538"/>
      <c r="L35" s="612"/>
      <c r="M35" s="612"/>
      <c r="N35" s="612"/>
      <c r="O35" s="693"/>
      <c r="P35" s="685"/>
      <c r="Q35" s="716"/>
      <c r="R35" s="685"/>
      <c r="S35" s="685"/>
      <c r="T35" s="685"/>
      <c r="U35" s="685"/>
    </row>
    <row r="36" ht="15.75" hidden="1" customHeight="1">
      <c r="A36" s="425"/>
      <c r="B36" s="450"/>
      <c r="C36" s="450"/>
      <c r="D36" s="662"/>
      <c r="E36" s="538"/>
      <c r="F36" s="612"/>
      <c r="G36" s="612"/>
      <c r="H36" s="612"/>
      <c r="I36" s="693"/>
      <c r="J36" s="662"/>
      <c r="K36" s="538"/>
      <c r="L36" s="612"/>
      <c r="M36" s="612"/>
      <c r="N36" s="612"/>
      <c r="O36" s="693"/>
      <c r="P36" s="685"/>
      <c r="Q36" s="716"/>
      <c r="R36" s="685"/>
      <c r="S36" s="685"/>
      <c r="T36" s="685"/>
      <c r="U36" s="685"/>
    </row>
    <row r="37" ht="15.75" hidden="1" customHeight="1">
      <c r="A37" s="425"/>
      <c r="B37" s="450"/>
      <c r="C37" s="450"/>
      <c r="D37" s="662"/>
      <c r="E37" s="538"/>
      <c r="F37" s="612"/>
      <c r="G37" s="612"/>
      <c r="H37" s="612"/>
      <c r="I37" s="693"/>
      <c r="J37" s="662"/>
      <c r="K37" s="538"/>
      <c r="L37" s="612"/>
      <c r="M37" s="612"/>
      <c r="N37" s="612"/>
      <c r="O37" s="693"/>
      <c r="P37" s="685"/>
      <c r="Q37" s="716"/>
      <c r="R37" s="685"/>
      <c r="S37" s="685"/>
      <c r="T37" s="685"/>
      <c r="U37" s="685"/>
    </row>
    <row r="38" ht="15.75" customHeight="1">
      <c r="A38" s="425"/>
      <c r="B38" s="454"/>
      <c r="C38" s="454"/>
      <c r="D38" s="662"/>
      <c r="E38" s="521"/>
      <c r="F38" s="242"/>
      <c r="G38" s="242"/>
      <c r="H38" s="242"/>
      <c r="I38" s="633"/>
      <c r="J38" s="662"/>
      <c r="K38" s="521"/>
      <c r="L38" s="242"/>
      <c r="M38" s="242"/>
      <c r="N38" s="242"/>
      <c r="O38" s="633"/>
      <c r="P38" s="685"/>
      <c r="Q38" s="454"/>
      <c r="R38" s="450"/>
      <c r="S38" s="450"/>
      <c r="T38" s="450"/>
      <c r="U38" s="450"/>
    </row>
    <row r="39" ht="15.75" customHeight="1">
      <c r="A39" s="425"/>
      <c r="B39" s="466" t="s">
        <v>186</v>
      </c>
      <c r="C39" s="450"/>
      <c r="D39" s="662"/>
      <c r="E39" s="521"/>
      <c r="F39" s="242"/>
      <c r="G39" s="242"/>
      <c r="H39" s="242"/>
      <c r="I39" s="633"/>
      <c r="J39" s="662"/>
      <c r="K39" s="521"/>
      <c r="L39" s="242"/>
      <c r="M39" s="242"/>
      <c r="N39" s="242"/>
      <c r="O39" s="633"/>
      <c r="P39" s="685"/>
      <c r="Q39" s="454"/>
      <c r="R39" s="450"/>
      <c r="S39" s="450"/>
      <c r="T39" s="450"/>
      <c r="U39" s="450"/>
    </row>
    <row r="40" ht="15.75" customHeight="1">
      <c r="A40" s="425"/>
      <c r="B40" s="454" t="s">
        <v>28</v>
      </c>
      <c r="C40" s="450"/>
      <c r="D40" s="662"/>
      <c r="E40" s="521"/>
      <c r="F40" s="242"/>
      <c r="G40" s="242"/>
      <c r="H40" s="242"/>
      <c r="I40" s="633"/>
      <c r="J40" s="662"/>
      <c r="K40" s="521"/>
      <c r="L40" s="242"/>
      <c r="M40" s="242"/>
      <c r="N40" s="242"/>
      <c r="O40" s="633"/>
      <c r="P40" s="685"/>
      <c r="Q40" s="454"/>
      <c r="R40" s="450"/>
      <c r="S40" s="450"/>
      <c r="T40" s="450"/>
      <c r="U40" s="450"/>
    </row>
    <row r="41" ht="15.75" customHeight="1">
      <c r="A41" s="425"/>
      <c r="B41" s="450"/>
      <c r="C41" s="558" t="s">
        <v>187</v>
      </c>
      <c r="D41" s="662"/>
      <c r="E41" s="521"/>
      <c r="F41" s="242"/>
      <c r="G41" s="242"/>
      <c r="H41" s="242"/>
      <c r="I41" s="633"/>
      <c r="J41" s="662"/>
      <c r="K41" s="521"/>
      <c r="L41" s="242"/>
      <c r="M41" s="242"/>
      <c r="N41" s="242"/>
      <c r="O41" s="633"/>
      <c r="P41" s="685"/>
      <c r="Q41" s="454"/>
      <c r="R41" s="450"/>
      <c r="S41" s="450"/>
      <c r="T41" s="450"/>
      <c r="U41" s="450"/>
    </row>
    <row r="42" ht="15.75" customHeight="1">
      <c r="A42" s="425"/>
      <c r="B42" s="450"/>
      <c r="C42" s="450" t="s">
        <v>188</v>
      </c>
      <c r="D42" s="452">
        <f>'MSBC CK Allocation'!C36</f>
        <v>213108.7978</v>
      </c>
      <c r="E42" s="538"/>
      <c r="F42" s="242"/>
      <c r="G42" s="242"/>
      <c r="H42" s="612"/>
      <c r="I42" s="633"/>
      <c r="J42" s="452" t="str">
        <f>'MSBC CK Allocation'!I36</f>
        <v/>
      </c>
      <c r="K42" s="538"/>
      <c r="L42" s="242"/>
      <c r="M42" s="242"/>
      <c r="N42" s="612"/>
      <c r="O42" s="633"/>
      <c r="P42" s="459"/>
      <c r="Q42" s="716"/>
      <c r="R42" s="450"/>
      <c r="S42" s="450"/>
      <c r="T42" s="685"/>
      <c r="U42" s="450"/>
    </row>
    <row r="43" ht="15.75" customHeight="1">
      <c r="A43" s="425"/>
      <c r="B43" s="450"/>
      <c r="C43" s="450" t="s">
        <v>189</v>
      </c>
      <c r="D43" s="452">
        <v>121445.29169953994</v>
      </c>
      <c r="E43" s="521"/>
      <c r="F43" s="242"/>
      <c r="G43" s="242"/>
      <c r="H43" s="612"/>
      <c r="I43" s="633"/>
      <c r="J43" s="1030">
        <v>99085.77</v>
      </c>
      <c r="K43" s="552"/>
      <c r="L43" s="242"/>
      <c r="M43" s="242"/>
      <c r="N43" s="612"/>
      <c r="O43" s="633"/>
      <c r="P43" s="1031"/>
      <c r="Q43" s="454"/>
      <c r="R43" s="450"/>
      <c r="S43" s="450"/>
      <c r="T43" s="685"/>
      <c r="U43" s="450"/>
    </row>
    <row r="44" ht="15.75" customHeight="1">
      <c r="A44" s="425"/>
      <c r="B44" s="450"/>
      <c r="C44" s="450" t="s">
        <v>22</v>
      </c>
      <c r="D44" s="455">
        <v>0.0</v>
      </c>
      <c r="E44" s="521"/>
      <c r="F44" s="242"/>
      <c r="G44" s="242"/>
      <c r="H44" s="612"/>
      <c r="I44" s="633"/>
      <c r="J44" s="455">
        <v>0.0</v>
      </c>
      <c r="K44" s="521"/>
      <c r="L44" s="242"/>
      <c r="M44" s="242"/>
      <c r="N44" s="612"/>
      <c r="O44" s="633"/>
      <c r="P44" s="457"/>
      <c r="Q44" s="454"/>
      <c r="R44" s="450"/>
      <c r="S44" s="450"/>
      <c r="T44" s="685"/>
      <c r="U44" s="450"/>
    </row>
    <row r="45" ht="15.75" customHeight="1">
      <c r="A45" s="425"/>
      <c r="B45" s="450"/>
      <c r="C45" s="450" t="s">
        <v>190</v>
      </c>
      <c r="D45" s="452">
        <f>'Calculation Sheet for GST on Pu'!C28</f>
        <v>5105.262235</v>
      </c>
      <c r="E45" s="521"/>
      <c r="F45" s="242"/>
      <c r="G45" s="242"/>
      <c r="H45" s="612"/>
      <c r="I45" s="633"/>
      <c r="J45" s="452" t="str">
        <f>'Calculation Sheet for GST on Pu'!I28</f>
        <v/>
      </c>
      <c r="K45" s="521"/>
      <c r="L45" s="242"/>
      <c r="M45" s="242"/>
      <c r="N45" s="612"/>
      <c r="O45" s="633"/>
      <c r="P45" s="459"/>
      <c r="Q45" s="454"/>
      <c r="R45" s="450"/>
      <c r="S45" s="450"/>
      <c r="T45" s="685"/>
      <c r="U45" s="450"/>
    </row>
    <row r="46" ht="15.75" customHeight="1">
      <c r="A46" s="425"/>
      <c r="B46" s="450"/>
      <c r="C46" s="450" t="s">
        <v>191</v>
      </c>
      <c r="D46" s="452">
        <f>SUM(D42:D45)</f>
        <v>339659.3518</v>
      </c>
      <c r="E46" s="538">
        <f>D46/D$29</f>
        <v>1.015393746</v>
      </c>
      <c r="F46" s="242">
        <f>SUM(F42:F45)</f>
        <v>0</v>
      </c>
      <c r="G46" s="242"/>
      <c r="H46" s="1032">
        <f>SUM(H42:H45)</f>
        <v>0</v>
      </c>
      <c r="I46" s="633"/>
      <c r="J46" s="452">
        <f>SUM(J42:J45)</f>
        <v>99085.77</v>
      </c>
      <c r="K46" s="538">
        <f>J46/J$29</f>
        <v>0.2981664194</v>
      </c>
      <c r="L46" s="242">
        <f>SUM(L42:L45)</f>
        <v>0</v>
      </c>
      <c r="M46" s="242"/>
      <c r="N46" s="1032">
        <f>SUM(N42:N45)</f>
        <v>0</v>
      </c>
      <c r="O46" s="633"/>
      <c r="P46" s="459"/>
      <c r="Q46" s="716" t="str">
        <f>P46/P$29</f>
        <v>#DIV/0!</v>
      </c>
      <c r="R46" s="450">
        <f>SUM(R42:R45)</f>
        <v>0</v>
      </c>
      <c r="S46" s="450"/>
      <c r="T46" s="1033">
        <f>SUM(T42:T45)</f>
        <v>0</v>
      </c>
      <c r="U46" s="450"/>
    </row>
    <row r="47" ht="15.75" customHeight="1">
      <c r="A47" s="425"/>
      <c r="B47" s="468"/>
      <c r="C47" s="468" t="s">
        <v>192</v>
      </c>
      <c r="D47" s="470">
        <v>2004.0</v>
      </c>
      <c r="E47" s="526"/>
      <c r="F47" s="636"/>
      <c r="G47" s="636"/>
      <c r="H47" s="636"/>
      <c r="I47" s="638"/>
      <c r="J47" s="470">
        <v>6379.0</v>
      </c>
      <c r="K47" s="526"/>
      <c r="L47" s="636"/>
      <c r="M47" s="636"/>
      <c r="N47" s="636"/>
      <c r="O47" s="638"/>
      <c r="P47" s="472"/>
      <c r="Q47" s="525"/>
      <c r="R47" s="468"/>
      <c r="S47" s="468"/>
      <c r="T47" s="468"/>
      <c r="U47" s="468"/>
    </row>
    <row r="48" ht="15.75" customHeight="1">
      <c r="A48" s="425"/>
      <c r="B48" s="644"/>
      <c r="C48" s="1034" t="s">
        <v>193</v>
      </c>
      <c r="D48" s="444">
        <f>D46+D47</f>
        <v>341663.3518</v>
      </c>
      <c r="E48" s="530">
        <f>D48/D$29</f>
        <v>1.021384598</v>
      </c>
      <c r="F48" s="758">
        <f>F46+F47</f>
        <v>0</v>
      </c>
      <c r="G48" s="758"/>
      <c r="H48" s="758">
        <f>H46+H47</f>
        <v>0</v>
      </c>
      <c r="I48" s="759"/>
      <c r="J48" s="444">
        <f>J46+J47</f>
        <v>105464.77</v>
      </c>
      <c r="K48" s="530">
        <f>J48/J$29</f>
        <v>0.3173619466</v>
      </c>
      <c r="L48" s="758">
        <f>L46+L47</f>
        <v>0</v>
      </c>
      <c r="M48" s="758"/>
      <c r="N48" s="758">
        <f>N46+N47</f>
        <v>0</v>
      </c>
      <c r="O48" s="759"/>
      <c r="P48" s="475">
        <f>P46+P47</f>
        <v>0</v>
      </c>
      <c r="Q48" s="475" t="str">
        <f>P48/P$29</f>
        <v>#DIV/0!</v>
      </c>
      <c r="R48" s="644">
        <f>R46+R47</f>
        <v>0</v>
      </c>
      <c r="S48" s="644"/>
      <c r="T48" s="644">
        <f>T46+T47</f>
        <v>0</v>
      </c>
      <c r="U48" s="644"/>
    </row>
    <row r="49" ht="15.75" customHeight="1">
      <c r="A49" s="425"/>
      <c r="B49" s="644"/>
      <c r="C49" s="1034" t="s">
        <v>32</v>
      </c>
      <c r="D49" s="444">
        <f>D29-D48</f>
        <v>-7153.361778</v>
      </c>
      <c r="E49" s="1035">
        <f>D48/D$29</f>
        <v>1.021384598</v>
      </c>
      <c r="F49" s="1035" t="str">
        <f>F29-F48-#REF!</f>
        <v>#REF!</v>
      </c>
      <c r="G49" s="1036" t="str">
        <f>F48/F$29</f>
        <v>#DIV/0!</v>
      </c>
      <c r="H49" s="1035" t="str">
        <f>H29-H48-#REF!</f>
        <v>#REF!</v>
      </c>
      <c r="I49" s="1037">
        <f>H48/H$29</f>
        <v>0</v>
      </c>
      <c r="J49" s="444">
        <f>J29-J48</f>
        <v>226852.23</v>
      </c>
      <c r="K49" s="1035">
        <f>J48/J$29</f>
        <v>0.3173619466</v>
      </c>
      <c r="L49" s="1035" t="str">
        <f>L29-L48-#REF!</f>
        <v>#REF!</v>
      </c>
      <c r="M49" s="1036" t="str">
        <f>L48/L$29</f>
        <v>#DIV/0!</v>
      </c>
      <c r="N49" s="1035" t="str">
        <f>N29-N48-#REF!</f>
        <v>#REF!</v>
      </c>
      <c r="O49" s="1037">
        <f>N48/N$29</f>
        <v>0</v>
      </c>
      <c r="P49" s="475">
        <f>P29-P48</f>
        <v>0</v>
      </c>
      <c r="Q49" s="1038" t="str">
        <f>P48/P$29</f>
        <v>#DIV/0!</v>
      </c>
      <c r="R49" s="1038" t="str">
        <f>R29-R48-#REF!</f>
        <v>#REF!</v>
      </c>
      <c r="S49" s="1039" t="str">
        <f>R48/R$29</f>
        <v>#DIV/0!</v>
      </c>
      <c r="T49" s="1038" t="str">
        <f>T29-T48-#REF!</f>
        <v>#REF!</v>
      </c>
      <c r="U49" s="1039" t="str">
        <f>T48/T$29</f>
        <v>#DIV/0!</v>
      </c>
    </row>
    <row r="50" ht="15.75" customHeight="1">
      <c r="A50" s="425"/>
      <c r="B50" s="481"/>
      <c r="C50" s="481"/>
      <c r="D50" s="661"/>
      <c r="E50" s="522"/>
      <c r="F50" s="630"/>
      <c r="G50" s="630"/>
      <c r="H50" s="630"/>
      <c r="I50" s="631"/>
      <c r="J50" s="661"/>
      <c r="K50" s="522"/>
      <c r="L50" s="630"/>
      <c r="M50" s="630"/>
      <c r="N50" s="630"/>
      <c r="O50" s="631"/>
      <c r="P50" s="686"/>
      <c r="Q50" s="446"/>
      <c r="R50" s="481"/>
      <c r="S50" s="481"/>
      <c r="T50" s="481"/>
      <c r="U50" s="481"/>
    </row>
    <row r="51" ht="15.75" customHeight="1">
      <c r="A51" s="425"/>
      <c r="B51" s="450"/>
      <c r="C51" s="622" t="s">
        <v>194</v>
      </c>
      <c r="D51" s="1040"/>
      <c r="E51" s="521"/>
      <c r="F51" s="242"/>
      <c r="G51" s="242"/>
      <c r="H51" s="612">
        <f t="shared" ref="H51:H57" si="7">D51-F51</f>
        <v>0</v>
      </c>
      <c r="I51" s="633"/>
      <c r="J51" s="1040"/>
      <c r="K51" s="521"/>
      <c r="L51" s="242"/>
      <c r="M51" s="242"/>
      <c r="N51" s="612">
        <f t="shared" ref="N51:N57" si="8">J51-L51</f>
        <v>0</v>
      </c>
      <c r="O51" s="633"/>
      <c r="P51" s="1041"/>
      <c r="Q51" s="454"/>
      <c r="R51" s="450"/>
      <c r="S51" s="450"/>
      <c r="T51" s="685">
        <f t="shared" ref="T51:T57" si="9">P51-R51</f>
        <v>0</v>
      </c>
      <c r="U51" s="450"/>
    </row>
    <row r="52" ht="15.75" customHeight="1">
      <c r="A52" s="425"/>
      <c r="B52" s="450"/>
      <c r="C52" s="450" t="s">
        <v>195</v>
      </c>
      <c r="D52" s="452">
        <v>0.0</v>
      </c>
      <c r="E52" s="521"/>
      <c r="F52" s="1032"/>
      <c r="G52" s="242"/>
      <c r="H52" s="612">
        <f t="shared" si="7"/>
        <v>0</v>
      </c>
      <c r="I52" s="633"/>
      <c r="J52" s="452">
        <v>0.0</v>
      </c>
      <c r="K52" s="521"/>
      <c r="L52" s="1032"/>
      <c r="M52" s="242"/>
      <c r="N52" s="612">
        <f t="shared" si="8"/>
        <v>0</v>
      </c>
      <c r="O52" s="633"/>
      <c r="P52" s="459">
        <v>0.0</v>
      </c>
      <c r="Q52" s="454"/>
      <c r="R52" s="1033"/>
      <c r="S52" s="450"/>
      <c r="T52" s="685">
        <f t="shared" si="9"/>
        <v>0</v>
      </c>
      <c r="U52" s="450"/>
    </row>
    <row r="53" ht="15.75" customHeight="1">
      <c r="A53" s="425"/>
      <c r="B53" s="450"/>
      <c r="C53" s="450" t="s">
        <v>196</v>
      </c>
      <c r="D53" s="452">
        <v>0.0</v>
      </c>
      <c r="E53" s="521"/>
      <c r="F53" s="242"/>
      <c r="G53" s="242"/>
      <c r="H53" s="612">
        <f t="shared" si="7"/>
        <v>0</v>
      </c>
      <c r="I53" s="633"/>
      <c r="J53" s="452">
        <v>0.0</v>
      </c>
      <c r="K53" s="521"/>
      <c r="L53" s="242"/>
      <c r="M53" s="242"/>
      <c r="N53" s="612">
        <f t="shared" si="8"/>
        <v>0</v>
      </c>
      <c r="O53" s="633"/>
      <c r="P53" s="459">
        <v>0.0</v>
      </c>
      <c r="Q53" s="454"/>
      <c r="R53" s="450"/>
      <c r="S53" s="450"/>
      <c r="T53" s="685">
        <f t="shared" si="9"/>
        <v>0</v>
      </c>
      <c r="U53" s="450"/>
    </row>
    <row r="54" ht="15.75" customHeight="1">
      <c r="A54" s="425"/>
      <c r="B54" s="450"/>
      <c r="C54" s="450" t="s">
        <v>266</v>
      </c>
      <c r="D54" s="452">
        <v>0.0</v>
      </c>
      <c r="E54" s="521"/>
      <c r="F54" s="242"/>
      <c r="G54" s="242"/>
      <c r="H54" s="612">
        <f t="shared" si="7"/>
        <v>0</v>
      </c>
      <c r="I54" s="633"/>
      <c r="J54" s="452">
        <v>0.0</v>
      </c>
      <c r="K54" s="521"/>
      <c r="L54" s="242"/>
      <c r="M54" s="242"/>
      <c r="N54" s="612">
        <f t="shared" si="8"/>
        <v>0</v>
      </c>
      <c r="O54" s="633"/>
      <c r="P54" s="459">
        <v>0.0</v>
      </c>
      <c r="Q54" s="454"/>
      <c r="R54" s="450"/>
      <c r="S54" s="450"/>
      <c r="T54" s="685">
        <f t="shared" si="9"/>
        <v>0</v>
      </c>
      <c r="U54" s="450"/>
    </row>
    <row r="55" ht="15.75" customHeight="1">
      <c r="A55" s="425"/>
      <c r="B55" s="450"/>
      <c r="C55" s="450" t="s">
        <v>197</v>
      </c>
      <c r="D55" s="452">
        <v>0.0</v>
      </c>
      <c r="E55" s="521"/>
      <c r="F55" s="242"/>
      <c r="G55" s="242"/>
      <c r="H55" s="612">
        <f t="shared" si="7"/>
        <v>0</v>
      </c>
      <c r="I55" s="633"/>
      <c r="J55" s="452">
        <v>0.0</v>
      </c>
      <c r="K55" s="521"/>
      <c r="L55" s="242"/>
      <c r="M55" s="242"/>
      <c r="N55" s="612">
        <f t="shared" si="8"/>
        <v>0</v>
      </c>
      <c r="O55" s="633"/>
      <c r="P55" s="459">
        <v>0.0</v>
      </c>
      <c r="Q55" s="454"/>
      <c r="R55" s="450"/>
      <c r="S55" s="450"/>
      <c r="T55" s="685">
        <f t="shared" si="9"/>
        <v>0</v>
      </c>
      <c r="U55" s="450"/>
    </row>
    <row r="56" ht="15.75" customHeight="1">
      <c r="A56" s="425"/>
      <c r="B56" s="450"/>
      <c r="C56" s="450" t="s">
        <v>198</v>
      </c>
      <c r="D56" s="452">
        <v>0.0</v>
      </c>
      <c r="E56" s="521"/>
      <c r="F56" s="242"/>
      <c r="G56" s="242"/>
      <c r="H56" s="612">
        <f t="shared" si="7"/>
        <v>0</v>
      </c>
      <c r="I56" s="633"/>
      <c r="J56" s="452">
        <v>0.0</v>
      </c>
      <c r="K56" s="521"/>
      <c r="L56" s="242"/>
      <c r="M56" s="242"/>
      <c r="N56" s="612">
        <f t="shared" si="8"/>
        <v>0</v>
      </c>
      <c r="O56" s="633"/>
      <c r="P56" s="459">
        <v>0.0</v>
      </c>
      <c r="Q56" s="454"/>
      <c r="R56" s="450"/>
      <c r="S56" s="450"/>
      <c r="T56" s="685">
        <f t="shared" si="9"/>
        <v>0</v>
      </c>
      <c r="U56" s="450"/>
    </row>
    <row r="57" ht="15.75" customHeight="1">
      <c r="A57" s="425"/>
      <c r="B57" s="450"/>
      <c r="C57" s="450" t="s">
        <v>199</v>
      </c>
      <c r="D57" s="452">
        <v>0.0</v>
      </c>
      <c r="E57" s="521"/>
      <c r="F57" s="242"/>
      <c r="G57" s="242"/>
      <c r="H57" s="612">
        <f t="shared" si="7"/>
        <v>0</v>
      </c>
      <c r="I57" s="633"/>
      <c r="J57" s="452">
        <v>0.0</v>
      </c>
      <c r="K57" s="521"/>
      <c r="L57" s="242"/>
      <c r="M57" s="242"/>
      <c r="N57" s="612">
        <f t="shared" si="8"/>
        <v>0</v>
      </c>
      <c r="O57" s="633"/>
      <c r="P57" s="459">
        <v>0.0</v>
      </c>
      <c r="Q57" s="454"/>
      <c r="R57" s="450"/>
      <c r="S57" s="450"/>
      <c r="T57" s="685">
        <f t="shared" si="9"/>
        <v>0</v>
      </c>
      <c r="U57" s="450"/>
    </row>
    <row r="58" ht="15.75" customHeight="1">
      <c r="A58" s="425"/>
      <c r="B58" s="450"/>
      <c r="C58" s="1042" t="s">
        <v>200</v>
      </c>
      <c r="D58" s="455">
        <f>SUM(D52:D57)</f>
        <v>0</v>
      </c>
      <c r="E58" s="744"/>
      <c r="F58" s="744">
        <f>SUM(F52:F57)</f>
        <v>0</v>
      </c>
      <c r="G58" s="1023"/>
      <c r="H58" s="744">
        <f>SUM(H52:H57)</f>
        <v>0</v>
      </c>
      <c r="I58" s="1024"/>
      <c r="J58" s="455">
        <f>SUM(J52:J57)</f>
        <v>0</v>
      </c>
      <c r="K58" s="744"/>
      <c r="L58" s="744">
        <f>SUM(L52:L57)</f>
        <v>0</v>
      </c>
      <c r="M58" s="1023"/>
      <c r="N58" s="744">
        <f>SUM(N52:N57)</f>
        <v>0</v>
      </c>
      <c r="O58" s="1024"/>
      <c r="P58" s="457">
        <f>SUM(P52:P57)</f>
        <v>0</v>
      </c>
      <c r="Q58" s="457"/>
      <c r="R58" s="457">
        <f>SUM(R52:R57)</f>
        <v>0</v>
      </c>
      <c r="S58" s="1042"/>
      <c r="T58" s="457">
        <f>SUM(T52:T57)</f>
        <v>0</v>
      </c>
      <c r="U58" s="1042"/>
    </row>
    <row r="59" ht="15.75" hidden="1" customHeight="1">
      <c r="A59" s="425"/>
      <c r="B59" s="450"/>
      <c r="C59" s="450"/>
      <c r="D59" s="662"/>
      <c r="E59" s="521"/>
      <c r="F59" s="242"/>
      <c r="G59" s="242"/>
      <c r="H59" s="242"/>
      <c r="I59" s="633"/>
      <c r="J59" s="662"/>
      <c r="K59" s="521"/>
      <c r="L59" s="242"/>
      <c r="M59" s="242"/>
      <c r="N59" s="242"/>
      <c r="O59" s="633"/>
      <c r="P59" s="685"/>
      <c r="Q59" s="454"/>
      <c r="R59" s="450"/>
      <c r="S59" s="450"/>
      <c r="T59" s="450"/>
      <c r="U59" s="450"/>
    </row>
    <row r="60" ht="15.75" hidden="1" customHeight="1">
      <c r="A60" s="425"/>
      <c r="B60" s="450"/>
      <c r="C60" s="450"/>
      <c r="D60" s="662"/>
      <c r="E60" s="521"/>
      <c r="F60" s="521"/>
      <c r="G60" s="521"/>
      <c r="H60" s="521"/>
      <c r="I60" s="464"/>
      <c r="J60" s="662"/>
      <c r="K60" s="521"/>
      <c r="L60" s="521"/>
      <c r="M60" s="521"/>
      <c r="N60" s="521"/>
      <c r="O60" s="464"/>
      <c r="P60" s="685"/>
      <c r="Q60" s="454"/>
      <c r="R60" s="454"/>
      <c r="S60" s="454"/>
      <c r="T60" s="454"/>
      <c r="U60" s="454"/>
    </row>
    <row r="61" ht="15.75" hidden="1" customHeight="1">
      <c r="A61" s="425"/>
      <c r="B61" s="450"/>
      <c r="C61" s="450"/>
      <c r="D61" s="662"/>
      <c r="E61" s="521"/>
      <c r="F61" s="521"/>
      <c r="G61" s="521"/>
      <c r="H61" s="521"/>
      <c r="I61" s="464"/>
      <c r="J61" s="662"/>
      <c r="K61" s="521"/>
      <c r="L61" s="521"/>
      <c r="M61" s="521"/>
      <c r="N61" s="521"/>
      <c r="O61" s="464"/>
      <c r="P61" s="685"/>
      <c r="Q61" s="454"/>
      <c r="R61" s="454"/>
      <c r="S61" s="454"/>
      <c r="T61" s="454"/>
      <c r="U61" s="454"/>
    </row>
    <row r="62" ht="15.75" hidden="1" customHeight="1">
      <c r="A62" s="425"/>
      <c r="B62" s="450"/>
      <c r="C62" s="450"/>
      <c r="D62" s="662"/>
      <c r="E62" s="521"/>
      <c r="F62" s="521"/>
      <c r="G62" s="521"/>
      <c r="H62" s="521"/>
      <c r="I62" s="464"/>
      <c r="J62" s="662"/>
      <c r="K62" s="521"/>
      <c r="L62" s="521"/>
      <c r="M62" s="521"/>
      <c r="N62" s="521"/>
      <c r="O62" s="464"/>
      <c r="P62" s="685"/>
      <c r="Q62" s="454"/>
      <c r="R62" s="454"/>
      <c r="S62" s="454"/>
      <c r="T62" s="454"/>
      <c r="U62" s="454"/>
    </row>
    <row r="63" ht="15.75" hidden="1" customHeight="1">
      <c r="A63" s="425"/>
      <c r="B63" s="450"/>
      <c r="C63" s="450"/>
      <c r="D63" s="662"/>
      <c r="E63" s="521"/>
      <c r="F63" s="521"/>
      <c r="G63" s="521"/>
      <c r="H63" s="521"/>
      <c r="I63" s="464"/>
      <c r="J63" s="662"/>
      <c r="K63" s="521"/>
      <c r="L63" s="521"/>
      <c r="M63" s="521"/>
      <c r="N63" s="521"/>
      <c r="O63" s="464"/>
      <c r="P63" s="685"/>
      <c r="Q63" s="454"/>
      <c r="R63" s="454"/>
      <c r="S63" s="454"/>
      <c r="T63" s="454"/>
      <c r="U63" s="454"/>
    </row>
    <row r="64" ht="15.75" hidden="1" customHeight="1">
      <c r="A64" s="425"/>
      <c r="B64" s="450"/>
      <c r="C64" s="450"/>
      <c r="D64" s="662"/>
      <c r="E64" s="521"/>
      <c r="F64" s="521"/>
      <c r="G64" s="521"/>
      <c r="H64" s="521"/>
      <c r="I64" s="464"/>
      <c r="J64" s="662"/>
      <c r="K64" s="521"/>
      <c r="L64" s="521"/>
      <c r="M64" s="521"/>
      <c r="N64" s="521"/>
      <c r="O64" s="464"/>
      <c r="P64" s="685"/>
      <c r="Q64" s="454"/>
      <c r="R64" s="454"/>
      <c r="S64" s="454"/>
      <c r="T64" s="454"/>
      <c r="U64" s="454"/>
    </row>
    <row r="65" ht="15.75" hidden="1" customHeight="1">
      <c r="A65" s="425"/>
      <c r="B65" s="450"/>
      <c r="C65" s="450"/>
      <c r="D65" s="662"/>
      <c r="E65" s="521"/>
      <c r="F65" s="521"/>
      <c r="G65" s="521"/>
      <c r="H65" s="521"/>
      <c r="I65" s="464"/>
      <c r="J65" s="662"/>
      <c r="K65" s="521"/>
      <c r="L65" s="521"/>
      <c r="M65" s="521"/>
      <c r="N65" s="521"/>
      <c r="O65" s="464"/>
      <c r="P65" s="685"/>
      <c r="Q65" s="454"/>
      <c r="R65" s="454"/>
      <c r="S65" s="454"/>
      <c r="T65" s="454"/>
      <c r="U65" s="454"/>
    </row>
    <row r="66" ht="15.75" hidden="1" customHeight="1">
      <c r="A66" s="425"/>
      <c r="B66" s="450"/>
      <c r="C66" s="450"/>
      <c r="D66" s="662"/>
      <c r="E66" s="521"/>
      <c r="F66" s="521"/>
      <c r="G66" s="521"/>
      <c r="H66" s="521"/>
      <c r="I66" s="464"/>
      <c r="J66" s="662"/>
      <c r="K66" s="521"/>
      <c r="L66" s="521"/>
      <c r="M66" s="521"/>
      <c r="N66" s="521"/>
      <c r="O66" s="464"/>
      <c r="P66" s="685"/>
      <c r="Q66" s="454"/>
      <c r="R66" s="454"/>
      <c r="S66" s="454"/>
      <c r="T66" s="454"/>
      <c r="U66" s="454"/>
    </row>
    <row r="67" ht="15.75" hidden="1" customHeight="1">
      <c r="A67" s="425"/>
      <c r="B67" s="450"/>
      <c r="C67" s="450"/>
      <c r="D67" s="662"/>
      <c r="E67" s="538"/>
      <c r="F67" s="521"/>
      <c r="G67" s="538"/>
      <c r="H67" s="521"/>
      <c r="I67" s="542"/>
      <c r="J67" s="662"/>
      <c r="K67" s="538"/>
      <c r="L67" s="521"/>
      <c r="M67" s="538"/>
      <c r="N67" s="521"/>
      <c r="O67" s="542"/>
      <c r="P67" s="685"/>
      <c r="Q67" s="716"/>
      <c r="R67" s="454"/>
      <c r="S67" s="716"/>
      <c r="T67" s="454"/>
      <c r="U67" s="716"/>
    </row>
    <row r="68" ht="15.75" hidden="1" customHeight="1">
      <c r="A68" s="425"/>
      <c r="B68" s="450"/>
      <c r="C68" s="450"/>
      <c r="D68" s="662"/>
      <c r="E68" s="521"/>
      <c r="F68" s="242"/>
      <c r="G68" s="242"/>
      <c r="H68" s="242"/>
      <c r="I68" s="633"/>
      <c r="J68" s="662"/>
      <c r="K68" s="521"/>
      <c r="L68" s="242"/>
      <c r="M68" s="242"/>
      <c r="N68" s="242"/>
      <c r="O68" s="633"/>
      <c r="P68" s="685"/>
      <c r="Q68" s="454"/>
      <c r="R68" s="450"/>
      <c r="S68" s="450"/>
      <c r="T68" s="450"/>
      <c r="U68" s="450"/>
    </row>
    <row r="69" ht="15.75" customHeight="1">
      <c r="A69" s="425"/>
      <c r="B69" s="765" t="s">
        <v>204</v>
      </c>
      <c r="C69" s="766"/>
      <c r="D69" s="663"/>
      <c r="E69" s="526"/>
      <c r="F69" s="636"/>
      <c r="G69" s="636"/>
      <c r="H69" s="636"/>
      <c r="I69" s="638"/>
      <c r="J69" s="663"/>
      <c r="K69" s="526"/>
      <c r="L69" s="636"/>
      <c r="M69" s="636"/>
      <c r="N69" s="636"/>
      <c r="O69" s="638"/>
      <c r="P69" s="687"/>
      <c r="Q69" s="525"/>
      <c r="R69" s="468"/>
      <c r="S69" s="468"/>
      <c r="T69" s="468"/>
      <c r="U69" s="468"/>
    </row>
    <row r="70" ht="15.75" customHeight="1">
      <c r="A70" s="425"/>
      <c r="B70" s="477"/>
      <c r="C70" s="492" t="s">
        <v>205</v>
      </c>
      <c r="D70" s="692">
        <f>SUM(D71:D76)</f>
        <v>57894.52</v>
      </c>
      <c r="E70" s="529">
        <f t="shared" ref="E70:E73" si="10">D70/D$29</f>
        <v>0.1730726188</v>
      </c>
      <c r="F70" s="609">
        <f>SUM(F71:F76)</f>
        <v>0</v>
      </c>
      <c r="G70" s="529" t="str">
        <f t="shared" ref="G70:G73" si="11">F70/F$29</f>
        <v>#DIV/0!</v>
      </c>
      <c r="H70" s="609">
        <f>SUM(H71:H76)</f>
        <v>52196.52</v>
      </c>
      <c r="I70" s="531">
        <f t="shared" ref="I70:I73" si="12">H70/H$29</f>
        <v>0.3497317539</v>
      </c>
      <c r="J70" s="692">
        <f>SUM(J71:J76)</f>
        <v>56065</v>
      </c>
      <c r="K70" s="529">
        <f t="shared" ref="K70:K73" si="13">J70/J$29</f>
        <v>0.1687093949</v>
      </c>
      <c r="L70" s="609">
        <f>SUM(L71:L76)</f>
        <v>0</v>
      </c>
      <c r="M70" s="529" t="str">
        <f t="shared" ref="M70:M73" si="14">L70/L$29</f>
        <v>#DIV/0!</v>
      </c>
      <c r="N70" s="609">
        <f>SUM(N71:N76)</f>
        <v>50862</v>
      </c>
      <c r="O70" s="531">
        <f t="shared" ref="O70:O73" si="15">N70/N$29</f>
        <v>0.2839707442</v>
      </c>
      <c r="P70" s="627">
        <f>SUM(P71:P76)</f>
        <v>0</v>
      </c>
      <c r="Q70" s="581" t="str">
        <f t="shared" ref="Q70:Q73" si="16">P70/P$29</f>
        <v>#DIV/0!</v>
      </c>
      <c r="R70" s="627">
        <f>SUM(R71:R76)</f>
        <v>0</v>
      </c>
      <c r="S70" s="581" t="str">
        <f t="shared" ref="S70:S73" si="17">R70/R$29</f>
        <v>#DIV/0!</v>
      </c>
      <c r="T70" s="627">
        <f>SUM(T71:T76)</f>
        <v>0</v>
      </c>
      <c r="U70" s="581" t="str">
        <f t="shared" ref="U70:U73" si="18">T70/T$29</f>
        <v>#DIV/0!</v>
      </c>
    </row>
    <row r="71" ht="15.75" customHeight="1">
      <c r="A71" s="425"/>
      <c r="B71" s="481"/>
      <c r="C71" s="481" t="s">
        <v>268</v>
      </c>
      <c r="D71" s="661">
        <f>(5698)</f>
        <v>5698</v>
      </c>
      <c r="E71" s="533">
        <f t="shared" si="10"/>
        <v>0.01703387095</v>
      </c>
      <c r="F71" s="610"/>
      <c r="G71" s="533" t="str">
        <f t="shared" si="11"/>
        <v>#DIV/0!</v>
      </c>
      <c r="H71" s="610"/>
      <c r="I71" s="536">
        <f t="shared" si="12"/>
        <v>0</v>
      </c>
      <c r="J71" s="661">
        <v>5203.0</v>
      </c>
      <c r="K71" s="535">
        <f t="shared" si="13"/>
        <v>0.01565673739</v>
      </c>
      <c r="L71" s="610"/>
      <c r="M71" s="533" t="str">
        <f t="shared" si="14"/>
        <v>#DIV/0!</v>
      </c>
      <c r="N71" s="610"/>
      <c r="O71" s="536">
        <f t="shared" si="15"/>
        <v>0</v>
      </c>
      <c r="P71" s="686"/>
      <c r="Q71" s="725" t="str">
        <f t="shared" si="16"/>
        <v>#DIV/0!</v>
      </c>
      <c r="R71" s="686"/>
      <c r="S71" s="725" t="str">
        <f t="shared" si="17"/>
        <v>#DIV/0!</v>
      </c>
      <c r="T71" s="686"/>
      <c r="U71" s="725" t="str">
        <f t="shared" si="18"/>
        <v>#DIV/0!</v>
      </c>
    </row>
    <row r="72" ht="15.75" customHeight="1">
      <c r="A72" s="425"/>
      <c r="B72" s="450"/>
      <c r="C72" s="508" t="s">
        <v>269</v>
      </c>
      <c r="D72" s="452">
        <v>0.0</v>
      </c>
      <c r="E72" s="538">
        <f t="shared" si="10"/>
        <v>0</v>
      </c>
      <c r="F72" s="612"/>
      <c r="G72" s="538" t="str">
        <f t="shared" si="11"/>
        <v>#DIV/0!</v>
      </c>
      <c r="H72" s="612"/>
      <c r="I72" s="542">
        <f t="shared" si="12"/>
        <v>0</v>
      </c>
      <c r="J72" s="452">
        <v>0.0</v>
      </c>
      <c r="K72" s="538">
        <f t="shared" si="13"/>
        <v>0</v>
      </c>
      <c r="L72" s="612"/>
      <c r="M72" s="538" t="str">
        <f t="shared" si="14"/>
        <v>#DIV/0!</v>
      </c>
      <c r="N72" s="612"/>
      <c r="O72" s="542">
        <f t="shared" si="15"/>
        <v>0</v>
      </c>
      <c r="P72" s="459"/>
      <c r="Q72" s="716" t="str">
        <f t="shared" si="16"/>
        <v>#DIV/0!</v>
      </c>
      <c r="R72" s="685"/>
      <c r="S72" s="716" t="str">
        <f t="shared" si="17"/>
        <v>#DIV/0!</v>
      </c>
      <c r="T72" s="685"/>
      <c r="U72" s="716" t="str">
        <f t="shared" si="18"/>
        <v>#DIV/0!</v>
      </c>
    </row>
    <row r="73" ht="15.75" customHeight="1">
      <c r="A73" s="425"/>
      <c r="B73" s="450"/>
      <c r="C73" s="450" t="s">
        <v>212</v>
      </c>
      <c r="D73" s="452">
        <v>0.0</v>
      </c>
      <c r="E73" s="538">
        <f t="shared" si="10"/>
        <v>0</v>
      </c>
      <c r="F73" s="612"/>
      <c r="G73" s="538" t="str">
        <f t="shared" si="11"/>
        <v>#DIV/0!</v>
      </c>
      <c r="H73" s="612"/>
      <c r="I73" s="542">
        <f t="shared" si="12"/>
        <v>0</v>
      </c>
      <c r="J73" s="452">
        <v>0.0</v>
      </c>
      <c r="K73" s="538">
        <f t="shared" si="13"/>
        <v>0</v>
      </c>
      <c r="L73" s="612"/>
      <c r="M73" s="538" t="str">
        <f t="shared" si="14"/>
        <v>#DIV/0!</v>
      </c>
      <c r="N73" s="612"/>
      <c r="O73" s="542">
        <f t="shared" si="15"/>
        <v>0</v>
      </c>
      <c r="P73" s="459"/>
      <c r="Q73" s="716" t="str">
        <f t="shared" si="16"/>
        <v>#DIV/0!</v>
      </c>
      <c r="R73" s="685"/>
      <c r="S73" s="716" t="str">
        <f t="shared" si="17"/>
        <v>#DIV/0!</v>
      </c>
      <c r="T73" s="685"/>
      <c r="U73" s="716" t="str">
        <f t="shared" si="18"/>
        <v>#DIV/0!</v>
      </c>
    </row>
    <row r="74" ht="15.75" customHeight="1">
      <c r="A74" s="425"/>
      <c r="B74" s="450"/>
      <c r="C74" s="450" t="s">
        <v>307</v>
      </c>
      <c r="D74" s="452">
        <v>0.0</v>
      </c>
      <c r="E74" s="538"/>
      <c r="F74" s="612"/>
      <c r="G74" s="538"/>
      <c r="H74" s="612"/>
      <c r="I74" s="542"/>
      <c r="J74" s="452">
        <v>0.0</v>
      </c>
      <c r="K74" s="538"/>
      <c r="L74" s="612"/>
      <c r="M74" s="538"/>
      <c r="N74" s="612"/>
      <c r="O74" s="542"/>
      <c r="P74" s="459"/>
      <c r="Q74" s="716"/>
      <c r="R74" s="685"/>
      <c r="S74" s="716"/>
      <c r="T74" s="685"/>
      <c r="U74" s="716"/>
    </row>
    <row r="75" ht="15.75" customHeight="1">
      <c r="A75" s="425"/>
      <c r="B75" s="450"/>
      <c r="C75" s="508" t="s">
        <v>345</v>
      </c>
      <c r="D75" s="452">
        <v>0.0</v>
      </c>
      <c r="E75" s="538">
        <f t="shared" ref="E75:E76" si="19">D75/D$29</f>
        <v>0</v>
      </c>
      <c r="F75" s="612"/>
      <c r="G75" s="538" t="str">
        <f t="shared" ref="G75:G76" si="20">F75/F$29</f>
        <v>#DIV/0!</v>
      </c>
      <c r="H75" s="612"/>
      <c r="I75" s="542">
        <f t="shared" ref="I75:I76" si="21">H75/H$29</f>
        <v>0</v>
      </c>
      <c r="J75" s="452">
        <v>0.0</v>
      </c>
      <c r="K75" s="538">
        <f t="shared" ref="K75:K76" si="22">J75/J$29</f>
        <v>0</v>
      </c>
      <c r="L75" s="612"/>
      <c r="M75" s="538" t="str">
        <f t="shared" ref="M75:M76" si="23">L75/L$29</f>
        <v>#DIV/0!</v>
      </c>
      <c r="N75" s="612"/>
      <c r="O75" s="542">
        <f t="shared" ref="O75:O76" si="24">N75/N$29</f>
        <v>0</v>
      </c>
      <c r="P75" s="459"/>
      <c r="Q75" s="716" t="str">
        <f t="shared" ref="Q75:Q76" si="25">P75/P$29</f>
        <v>#DIV/0!</v>
      </c>
      <c r="R75" s="685"/>
      <c r="S75" s="716" t="str">
        <f t="shared" ref="S75:S76" si="26">R75/R$29</f>
        <v>#DIV/0!</v>
      </c>
      <c r="T75" s="685"/>
      <c r="U75" s="716" t="str">
        <f t="shared" ref="U75:U76" si="27">T75/T$29</f>
        <v>#DIV/0!</v>
      </c>
    </row>
    <row r="76" ht="15.75" customHeight="1">
      <c r="A76" s="425"/>
      <c r="B76" s="450"/>
      <c r="C76" s="450" t="s">
        <v>271</v>
      </c>
      <c r="D76" s="452">
        <f>(27438.54)+24757.98</f>
        <v>52196.52</v>
      </c>
      <c r="E76" s="538">
        <f t="shared" si="19"/>
        <v>0.1560387479</v>
      </c>
      <c r="F76" s="521"/>
      <c r="G76" s="538" t="str">
        <f t="shared" si="20"/>
        <v>#DIV/0!</v>
      </c>
      <c r="H76" s="612">
        <f>D76-F76</f>
        <v>52196.52</v>
      </c>
      <c r="I76" s="542">
        <f t="shared" si="21"/>
        <v>0.3497317539</v>
      </c>
      <c r="J76" s="661">
        <f>27810+23052</f>
        <v>50862</v>
      </c>
      <c r="K76" s="538">
        <f t="shared" si="22"/>
        <v>0.1530526576</v>
      </c>
      <c r="L76" s="521"/>
      <c r="M76" s="538" t="str">
        <f t="shared" si="23"/>
        <v>#DIV/0!</v>
      </c>
      <c r="N76" s="612">
        <f>J76-L76</f>
        <v>50862</v>
      </c>
      <c r="O76" s="542">
        <f t="shared" si="24"/>
        <v>0.2839707442</v>
      </c>
      <c r="P76" s="686"/>
      <c r="Q76" s="716" t="str">
        <f t="shared" si="25"/>
        <v>#DIV/0!</v>
      </c>
      <c r="R76" s="454"/>
      <c r="S76" s="716" t="str">
        <f t="shared" si="26"/>
        <v>#DIV/0!</v>
      </c>
      <c r="T76" s="685">
        <f>P76-R76</f>
        <v>0</v>
      </c>
      <c r="U76" s="716" t="str">
        <f t="shared" si="27"/>
        <v>#DIV/0!</v>
      </c>
    </row>
    <row r="77" ht="15.75" customHeight="1">
      <c r="A77" s="425"/>
      <c r="B77" s="468"/>
      <c r="C77" s="578"/>
      <c r="D77" s="663"/>
      <c r="E77" s="526"/>
      <c r="F77" s="636"/>
      <c r="G77" s="636"/>
      <c r="H77" s="636"/>
      <c r="I77" s="638"/>
      <c r="J77" s="663"/>
      <c r="K77" s="526"/>
      <c r="L77" s="636"/>
      <c r="M77" s="636"/>
      <c r="N77" s="636"/>
      <c r="O77" s="638"/>
      <c r="P77" s="687"/>
      <c r="Q77" s="525"/>
      <c r="R77" s="468"/>
      <c r="S77" s="468"/>
      <c r="T77" s="468"/>
      <c r="U77" s="468"/>
    </row>
    <row r="78" ht="15.75" customHeight="1">
      <c r="A78" s="425"/>
      <c r="B78" s="474"/>
      <c r="C78" s="492" t="s">
        <v>35</v>
      </c>
      <c r="D78" s="692">
        <f>SUM(D80:D85)</f>
        <v>96492.09</v>
      </c>
      <c r="E78" s="529">
        <f>D78/D$29</f>
        <v>0.2884580218</v>
      </c>
      <c r="F78" s="609">
        <f>SUM(F80:F85)</f>
        <v>0</v>
      </c>
      <c r="G78" s="1043" t="str">
        <f>F78/F$29</f>
        <v>#DIV/0!</v>
      </c>
      <c r="H78" s="609">
        <f>SUM(H80:H83)</f>
        <v>0</v>
      </c>
      <c r="I78" s="650"/>
      <c r="J78" s="692">
        <f>SUM(J80:J85)</f>
        <v>65859.7</v>
      </c>
      <c r="K78" s="529">
        <f>J78/J$29</f>
        <v>0.1981833611</v>
      </c>
      <c r="L78" s="609">
        <f>SUM(L80:L85)</f>
        <v>0</v>
      </c>
      <c r="M78" s="1043" t="str">
        <f>L78/L$29</f>
        <v>#DIV/0!</v>
      </c>
      <c r="N78" s="609">
        <f>SUM(N80:N83)</f>
        <v>0</v>
      </c>
      <c r="O78" s="650"/>
      <c r="P78" s="627">
        <f>SUM(P80:P85)</f>
        <v>0</v>
      </c>
      <c r="Q78" s="581" t="str">
        <f>P78/P$29</f>
        <v>#DIV/0!</v>
      </c>
      <c r="R78" s="627">
        <f>SUM(R80:R85)</f>
        <v>0</v>
      </c>
      <c r="S78" s="1044" t="str">
        <f>R78/R$29</f>
        <v>#DIV/0!</v>
      </c>
      <c r="T78" s="627">
        <f>SUM(T80:T83)</f>
        <v>0</v>
      </c>
      <c r="U78" s="474"/>
    </row>
    <row r="79" ht="15.75" customHeight="1">
      <c r="A79" s="425"/>
      <c r="B79" s="939"/>
      <c r="C79" s="481" t="s">
        <v>215</v>
      </c>
      <c r="D79" s="662"/>
      <c r="E79" s="662"/>
      <c r="F79" s="662"/>
      <c r="G79" s="662"/>
      <c r="H79" s="662"/>
      <c r="I79" s="662"/>
      <c r="J79" s="662"/>
      <c r="K79" s="1045"/>
      <c r="L79" s="1046"/>
      <c r="M79" s="1047"/>
      <c r="N79" s="1046"/>
      <c r="O79" s="1048"/>
      <c r="P79" s="685"/>
      <c r="Q79" s="1049"/>
      <c r="R79" s="1050"/>
      <c r="S79" s="1051"/>
      <c r="T79" s="1050"/>
      <c r="U79" s="939"/>
    </row>
    <row r="80" ht="15.75" customHeight="1">
      <c r="A80" s="425"/>
      <c r="B80" s="450"/>
      <c r="C80" s="450" t="s">
        <v>216</v>
      </c>
      <c r="D80" s="662"/>
      <c r="E80" s="662"/>
      <c r="F80" s="662"/>
      <c r="G80" s="662"/>
      <c r="H80" s="662"/>
      <c r="I80" s="662"/>
      <c r="J80" s="662"/>
      <c r="K80" s="521"/>
      <c r="L80" s="612"/>
      <c r="M80" s="242"/>
      <c r="N80" s="612"/>
      <c r="O80" s="633"/>
      <c r="P80" s="685"/>
      <c r="Q80" s="454"/>
      <c r="R80" s="685"/>
      <c r="S80" s="450"/>
      <c r="T80" s="685"/>
      <c r="U80" s="450"/>
    </row>
    <row r="81" ht="15.75" customHeight="1">
      <c r="A81" s="425"/>
      <c r="B81" s="450"/>
      <c r="C81" s="450" t="s">
        <v>315</v>
      </c>
      <c r="D81" s="662">
        <v>22682.39</v>
      </c>
      <c r="E81" s="1052">
        <f>D81/D18</f>
        <v>0.1519785618</v>
      </c>
      <c r="F81" s="612"/>
      <c r="G81" s="1052"/>
      <c r="H81" s="612"/>
      <c r="I81" s="633"/>
      <c r="J81" s="662">
        <v>27162.0</v>
      </c>
      <c r="K81" s="1052">
        <f>J81/J18</f>
        <v>0.1516498241</v>
      </c>
      <c r="L81" s="612"/>
      <c r="M81" s="1052"/>
      <c r="N81" s="612"/>
      <c r="O81" s="633"/>
      <c r="P81" s="685"/>
      <c r="Q81" s="731" t="str">
        <f>P81/P18</f>
        <v>#DIV/0!</v>
      </c>
      <c r="R81" s="685"/>
      <c r="S81" s="731"/>
      <c r="T81" s="685"/>
      <c r="U81" s="450"/>
    </row>
    <row r="82" ht="15.75" customHeight="1">
      <c r="A82" s="425"/>
      <c r="B82" s="450"/>
      <c r="C82" s="450" t="s">
        <v>346</v>
      </c>
      <c r="D82" s="662"/>
      <c r="E82" s="1052"/>
      <c r="F82" s="612"/>
      <c r="G82" s="1052"/>
      <c r="H82" s="612"/>
      <c r="I82" s="633"/>
      <c r="J82" s="662"/>
      <c r="K82" s="1052"/>
      <c r="L82" s="612"/>
      <c r="M82" s="1052"/>
      <c r="N82" s="612"/>
      <c r="O82" s="633"/>
      <c r="P82" s="685"/>
      <c r="Q82" s="731"/>
      <c r="R82" s="685"/>
      <c r="S82" s="731"/>
      <c r="T82" s="685"/>
      <c r="U82" s="450"/>
    </row>
    <row r="83" ht="15.75" customHeight="1">
      <c r="A83" s="425"/>
      <c r="B83" s="450"/>
      <c r="C83" s="450" t="s">
        <v>308</v>
      </c>
      <c r="D83" s="662">
        <v>23321.7</v>
      </c>
      <c r="E83" s="1052">
        <f>D83/D19</f>
        <v>0.13873995</v>
      </c>
      <c r="F83" s="612"/>
      <c r="G83" s="1052"/>
      <c r="H83" s="612"/>
      <c r="I83" s="633"/>
      <c r="J83" s="662">
        <v>22738.32</v>
      </c>
      <c r="K83" s="1052">
        <f>J83/J19</f>
        <v>0.1484156729</v>
      </c>
      <c r="L83" s="612"/>
      <c r="M83" s="1052"/>
      <c r="N83" s="612"/>
      <c r="O83" s="633"/>
      <c r="P83" s="685"/>
      <c r="Q83" s="731" t="str">
        <f>P83/P19</f>
        <v>#DIV/0!</v>
      </c>
      <c r="R83" s="685"/>
      <c r="S83" s="731"/>
      <c r="T83" s="685"/>
      <c r="U83" s="450"/>
    </row>
    <row r="84" ht="15.75" customHeight="1">
      <c r="A84" s="425"/>
      <c r="B84" s="450"/>
      <c r="C84" s="450" t="s">
        <v>347</v>
      </c>
      <c r="D84" s="662"/>
      <c r="E84" s="1052"/>
      <c r="F84" s="612"/>
      <c r="G84" s="1052"/>
      <c r="H84" s="612"/>
      <c r="I84" s="633"/>
      <c r="J84" s="662"/>
      <c r="K84" s="1052"/>
      <c r="L84" s="612"/>
      <c r="M84" s="1052"/>
      <c r="N84" s="612"/>
      <c r="O84" s="633"/>
      <c r="P84" s="685"/>
      <c r="Q84" s="731"/>
      <c r="R84" s="685"/>
      <c r="S84" s="731"/>
      <c r="T84" s="685"/>
      <c r="U84" s="450"/>
    </row>
    <row r="85" ht="15.75" customHeight="1">
      <c r="A85" s="425"/>
      <c r="B85" s="450"/>
      <c r="C85" s="450" t="s">
        <v>348</v>
      </c>
      <c r="D85" s="662">
        <f>34800+15688</f>
        <v>50488</v>
      </c>
      <c r="E85" s="1052">
        <f>D85/D29</f>
        <v>0.1509312173</v>
      </c>
      <c r="F85" s="612"/>
      <c r="G85" s="1052"/>
      <c r="H85" s="612"/>
      <c r="I85" s="633"/>
      <c r="J85" s="662">
        <v>15959.38</v>
      </c>
      <c r="K85" s="1052">
        <f>J85/J29</f>
        <v>0.0480245669</v>
      </c>
      <c r="L85" s="612"/>
      <c r="M85" s="1052"/>
      <c r="N85" s="612"/>
      <c r="O85" s="633"/>
      <c r="P85" s="685"/>
      <c r="Q85" s="731" t="str">
        <f>P85/P29</f>
        <v>#DIV/0!</v>
      </c>
      <c r="R85" s="685"/>
      <c r="S85" s="731"/>
      <c r="T85" s="685"/>
      <c r="U85" s="450"/>
    </row>
    <row r="86" ht="15.75" customHeight="1">
      <c r="A86" s="425"/>
      <c r="B86" s="468"/>
      <c r="C86" s="468"/>
      <c r="D86" s="663"/>
      <c r="E86" s="526"/>
      <c r="F86" s="636"/>
      <c r="G86" s="636"/>
      <c r="H86" s="636"/>
      <c r="I86" s="638"/>
      <c r="J86" s="663"/>
      <c r="K86" s="526"/>
      <c r="L86" s="636"/>
      <c r="M86" s="636"/>
      <c r="N86" s="636"/>
      <c r="O86" s="638"/>
      <c r="P86" s="687"/>
      <c r="Q86" s="525"/>
      <c r="R86" s="468"/>
      <c r="S86" s="468"/>
      <c r="T86" s="468"/>
      <c r="U86" s="468"/>
    </row>
    <row r="87" ht="15.75" customHeight="1">
      <c r="A87" s="425"/>
      <c r="B87" s="477"/>
      <c r="C87" s="492" t="s">
        <v>219</v>
      </c>
      <c r="D87" s="444">
        <f>SUM(D88:D91)</f>
        <v>0</v>
      </c>
      <c r="E87" s="529">
        <f>D87/D$29</f>
        <v>0</v>
      </c>
      <c r="F87" s="649">
        <f>SUM(F88:F91)</f>
        <v>0</v>
      </c>
      <c r="G87" s="1043" t="str">
        <f>F87/F$29</f>
        <v>#DIV/0!</v>
      </c>
      <c r="H87" s="1053">
        <f>SUM(H88:H91)</f>
        <v>0</v>
      </c>
      <c r="I87" s="650"/>
      <c r="J87" s="444">
        <f>SUM(J88:J91)</f>
        <v>0</v>
      </c>
      <c r="K87" s="529">
        <f>J87/J$29</f>
        <v>0</v>
      </c>
      <c r="L87" s="649">
        <f>SUM(L88:L91)</f>
        <v>0</v>
      </c>
      <c r="M87" s="1043" t="str">
        <f>L87/L$29</f>
        <v>#DIV/0!</v>
      </c>
      <c r="N87" s="1053">
        <f>SUM(N88:N91)</f>
        <v>0</v>
      </c>
      <c r="O87" s="650"/>
      <c r="P87" s="475">
        <f>SUM(P88:P91)</f>
        <v>0</v>
      </c>
      <c r="Q87" s="581" t="str">
        <f>P87/P$29</f>
        <v>#DIV/0!</v>
      </c>
      <c r="R87" s="474">
        <f>SUM(R88:R91)</f>
        <v>0</v>
      </c>
      <c r="S87" s="1044" t="str">
        <f>R87/R$29</f>
        <v>#DIV/0!</v>
      </c>
      <c r="T87" s="1054">
        <f>SUM(T88:T91)</f>
        <v>0</v>
      </c>
      <c r="U87" s="474"/>
    </row>
    <row r="88" ht="15.75" customHeight="1">
      <c r="A88" s="425"/>
      <c r="B88" s="481"/>
      <c r="C88" s="481" t="s">
        <v>220</v>
      </c>
      <c r="D88" s="448"/>
      <c r="E88" s="533"/>
      <c r="F88" s="630"/>
      <c r="G88" s="1055"/>
      <c r="H88" s="610"/>
      <c r="I88" s="631"/>
      <c r="J88" s="448"/>
      <c r="K88" s="533"/>
      <c r="L88" s="630"/>
      <c r="M88" s="1055"/>
      <c r="N88" s="610"/>
      <c r="O88" s="631"/>
      <c r="P88" s="482"/>
      <c r="Q88" s="725"/>
      <c r="R88" s="481"/>
      <c r="S88" s="1056"/>
      <c r="T88" s="686"/>
      <c r="U88" s="481"/>
    </row>
    <row r="89" ht="15.75" customHeight="1">
      <c r="A89" s="425"/>
      <c r="B89" s="450"/>
      <c r="C89" s="450" t="s">
        <v>221</v>
      </c>
      <c r="D89" s="452"/>
      <c r="E89" s="538"/>
      <c r="F89" s="242"/>
      <c r="G89" s="1052"/>
      <c r="H89" s="612"/>
      <c r="I89" s="633"/>
      <c r="J89" s="452"/>
      <c r="K89" s="538"/>
      <c r="L89" s="242"/>
      <c r="M89" s="1052"/>
      <c r="N89" s="612"/>
      <c r="O89" s="633"/>
      <c r="P89" s="459"/>
      <c r="Q89" s="716"/>
      <c r="R89" s="450"/>
      <c r="S89" s="731"/>
      <c r="T89" s="685"/>
      <c r="U89" s="450"/>
    </row>
    <row r="90" ht="15.75" customHeight="1">
      <c r="A90" s="425"/>
      <c r="B90" s="450"/>
      <c r="C90" s="450" t="s">
        <v>222</v>
      </c>
      <c r="D90" s="452"/>
      <c r="E90" s="521"/>
      <c r="F90" s="242"/>
      <c r="G90" s="242"/>
      <c r="H90" s="242"/>
      <c r="I90" s="633"/>
      <c r="J90" s="452"/>
      <c r="K90" s="521"/>
      <c r="L90" s="242"/>
      <c r="M90" s="242"/>
      <c r="N90" s="242"/>
      <c r="O90" s="633"/>
      <c r="P90" s="459"/>
      <c r="Q90" s="454"/>
      <c r="R90" s="450"/>
      <c r="S90" s="450"/>
      <c r="T90" s="450"/>
      <c r="U90" s="450"/>
    </row>
    <row r="91" ht="15.75" customHeight="1">
      <c r="A91" s="425"/>
      <c r="B91" s="450"/>
      <c r="C91" s="450" t="s">
        <v>223</v>
      </c>
      <c r="D91" s="452"/>
      <c r="E91" s="521"/>
      <c r="F91" s="242"/>
      <c r="G91" s="242"/>
      <c r="H91" s="242"/>
      <c r="I91" s="633"/>
      <c r="J91" s="452"/>
      <c r="K91" s="521"/>
      <c r="L91" s="242"/>
      <c r="M91" s="242"/>
      <c r="N91" s="242"/>
      <c r="O91" s="633"/>
      <c r="P91" s="459"/>
      <c r="Q91" s="454"/>
      <c r="R91" s="450"/>
      <c r="S91" s="450"/>
      <c r="T91" s="450"/>
      <c r="U91" s="450"/>
    </row>
    <row r="92" ht="15.75" customHeight="1">
      <c r="A92" s="425"/>
      <c r="B92" s="468"/>
      <c r="C92" s="578"/>
      <c r="D92" s="470"/>
      <c r="E92" s="526"/>
      <c r="F92" s="636"/>
      <c r="G92" s="636"/>
      <c r="H92" s="636"/>
      <c r="I92" s="638"/>
      <c r="J92" s="470"/>
      <c r="K92" s="526"/>
      <c r="L92" s="636"/>
      <c r="M92" s="636"/>
      <c r="N92" s="636"/>
      <c r="O92" s="638"/>
      <c r="P92" s="472"/>
      <c r="Q92" s="525"/>
      <c r="R92" s="468"/>
      <c r="S92" s="468"/>
      <c r="T92" s="468"/>
      <c r="U92" s="468"/>
    </row>
    <row r="93" ht="15.75" customHeight="1">
      <c r="A93" s="425"/>
      <c r="B93" s="477"/>
      <c r="C93" s="492" t="s">
        <v>37</v>
      </c>
      <c r="D93" s="444">
        <f>SUM(D94:D100)</f>
        <v>0</v>
      </c>
      <c r="E93" s="529">
        <f>D93/D$29</f>
        <v>0</v>
      </c>
      <c r="F93" s="609">
        <f>SUM(F94:F100)</f>
        <v>0</v>
      </c>
      <c r="G93" s="1043" t="str">
        <f>F93/F$29</f>
        <v>#DIV/0!</v>
      </c>
      <c r="H93" s="609">
        <f>SUM(H94:H100)</f>
        <v>0</v>
      </c>
      <c r="I93" s="650"/>
      <c r="J93" s="444">
        <f>SUM(J94:J100)</f>
        <v>0</v>
      </c>
      <c r="K93" s="529">
        <f>J93/J$29</f>
        <v>0</v>
      </c>
      <c r="L93" s="609">
        <f>SUM(L94:L100)</f>
        <v>0</v>
      </c>
      <c r="M93" s="1043" t="str">
        <f>L93/L$29</f>
        <v>#DIV/0!</v>
      </c>
      <c r="N93" s="609">
        <f>SUM(N94:N100)</f>
        <v>0</v>
      </c>
      <c r="O93" s="650"/>
      <c r="P93" s="475">
        <f>SUM(P94:P100)</f>
        <v>0</v>
      </c>
      <c r="Q93" s="581" t="str">
        <f>P93/P$29</f>
        <v>#DIV/0!</v>
      </c>
      <c r="R93" s="627">
        <f>SUM(R94:R100)</f>
        <v>0</v>
      </c>
      <c r="S93" s="1044" t="str">
        <f>R93/R$29</f>
        <v>#DIV/0!</v>
      </c>
      <c r="T93" s="627">
        <f>SUM(T94:T100)</f>
        <v>0</v>
      </c>
      <c r="U93" s="474"/>
    </row>
    <row r="94" ht="15.75" customHeight="1">
      <c r="A94" s="425"/>
      <c r="B94" s="481"/>
      <c r="C94" s="481" t="s">
        <v>224</v>
      </c>
      <c r="D94" s="448"/>
      <c r="E94" s="533"/>
      <c r="F94" s="630"/>
      <c r="G94" s="1055"/>
      <c r="H94" s="610"/>
      <c r="I94" s="631"/>
      <c r="J94" s="448"/>
      <c r="K94" s="533"/>
      <c r="L94" s="630"/>
      <c r="M94" s="1055"/>
      <c r="N94" s="610"/>
      <c r="O94" s="631"/>
      <c r="P94" s="482"/>
      <c r="Q94" s="725"/>
      <c r="R94" s="481"/>
      <c r="S94" s="1056"/>
      <c r="T94" s="686"/>
      <c r="U94" s="481"/>
    </row>
    <row r="95" ht="15.75" customHeight="1">
      <c r="A95" s="425"/>
      <c r="B95" s="450"/>
      <c r="C95" s="450" t="s">
        <v>225</v>
      </c>
      <c r="D95" s="452"/>
      <c r="E95" s="538"/>
      <c r="F95" s="242"/>
      <c r="G95" s="1052"/>
      <c r="H95" s="612"/>
      <c r="I95" s="633"/>
      <c r="J95" s="452"/>
      <c r="K95" s="538"/>
      <c r="L95" s="242"/>
      <c r="M95" s="1052"/>
      <c r="N95" s="612"/>
      <c r="O95" s="633"/>
      <c r="P95" s="459"/>
      <c r="Q95" s="716"/>
      <c r="R95" s="450"/>
      <c r="S95" s="731"/>
      <c r="T95" s="685"/>
      <c r="U95" s="450"/>
    </row>
    <row r="96" ht="15.75" customHeight="1">
      <c r="A96" s="425"/>
      <c r="B96" s="450"/>
      <c r="C96" s="450" t="s">
        <v>226</v>
      </c>
      <c r="D96" s="452"/>
      <c r="E96" s="538"/>
      <c r="F96" s="242"/>
      <c r="G96" s="1052"/>
      <c r="H96" s="612"/>
      <c r="I96" s="633"/>
      <c r="J96" s="452"/>
      <c r="K96" s="538"/>
      <c r="L96" s="242"/>
      <c r="M96" s="1052"/>
      <c r="N96" s="612"/>
      <c r="O96" s="633"/>
      <c r="P96" s="459"/>
      <c r="Q96" s="716"/>
      <c r="R96" s="450"/>
      <c r="S96" s="731"/>
      <c r="T96" s="685"/>
      <c r="U96" s="450"/>
    </row>
    <row r="97" ht="15.75" customHeight="1">
      <c r="A97" s="425"/>
      <c r="B97" s="450"/>
      <c r="C97" s="450" t="s">
        <v>228</v>
      </c>
      <c r="D97" s="452"/>
      <c r="E97" s="538"/>
      <c r="F97" s="242"/>
      <c r="G97" s="1052"/>
      <c r="H97" s="612"/>
      <c r="I97" s="633"/>
      <c r="J97" s="452"/>
      <c r="K97" s="538"/>
      <c r="L97" s="242"/>
      <c r="M97" s="1052"/>
      <c r="N97" s="612"/>
      <c r="O97" s="633"/>
      <c r="P97" s="459"/>
      <c r="Q97" s="716"/>
      <c r="R97" s="450"/>
      <c r="S97" s="731"/>
      <c r="T97" s="685"/>
      <c r="U97" s="450"/>
    </row>
    <row r="98" ht="15.75" customHeight="1">
      <c r="A98" s="425"/>
      <c r="B98" s="450"/>
      <c r="C98" s="450" t="s">
        <v>229</v>
      </c>
      <c r="D98" s="452"/>
      <c r="E98" s="538"/>
      <c r="F98" s="242"/>
      <c r="G98" s="1052"/>
      <c r="H98" s="612"/>
      <c r="I98" s="633"/>
      <c r="J98" s="452"/>
      <c r="K98" s="538"/>
      <c r="L98" s="242"/>
      <c r="M98" s="1052"/>
      <c r="N98" s="612"/>
      <c r="O98" s="633"/>
      <c r="P98" s="459"/>
      <c r="Q98" s="716"/>
      <c r="R98" s="450"/>
      <c r="S98" s="731"/>
      <c r="T98" s="685"/>
      <c r="U98" s="450"/>
    </row>
    <row r="99" ht="15.75" customHeight="1">
      <c r="A99" s="425"/>
      <c r="B99" s="450"/>
      <c r="C99" s="450" t="s">
        <v>230</v>
      </c>
      <c r="D99" s="452"/>
      <c r="E99" s="538"/>
      <c r="F99" s="242"/>
      <c r="G99" s="1052"/>
      <c r="H99" s="612"/>
      <c r="I99" s="633"/>
      <c r="J99" s="452"/>
      <c r="K99" s="538"/>
      <c r="L99" s="242"/>
      <c r="M99" s="1052"/>
      <c r="N99" s="612"/>
      <c r="O99" s="633"/>
      <c r="P99" s="459"/>
      <c r="Q99" s="716"/>
      <c r="R99" s="450"/>
      <c r="S99" s="731"/>
      <c r="T99" s="685"/>
      <c r="U99" s="450"/>
    </row>
    <row r="100" ht="15.75" customHeight="1">
      <c r="A100" s="425"/>
      <c r="B100" s="450"/>
      <c r="C100" s="450" t="s">
        <v>231</v>
      </c>
      <c r="D100" s="452"/>
      <c r="E100" s="538"/>
      <c r="F100" s="242"/>
      <c r="G100" s="1052"/>
      <c r="H100" s="612"/>
      <c r="I100" s="633"/>
      <c r="J100" s="452"/>
      <c r="K100" s="538"/>
      <c r="L100" s="242"/>
      <c r="M100" s="1052"/>
      <c r="N100" s="612"/>
      <c r="O100" s="633"/>
      <c r="P100" s="459"/>
      <c r="Q100" s="716"/>
      <c r="R100" s="450"/>
      <c r="S100" s="731"/>
      <c r="T100" s="685"/>
      <c r="U100" s="450"/>
    </row>
    <row r="101" ht="15.75" customHeight="1">
      <c r="A101" s="425"/>
      <c r="B101" s="450"/>
      <c r="C101" s="558"/>
      <c r="D101" s="452"/>
      <c r="E101" s="521"/>
      <c r="F101" s="242"/>
      <c r="G101" s="242"/>
      <c r="H101" s="612"/>
      <c r="I101" s="633"/>
      <c r="J101" s="452"/>
      <c r="K101" s="521"/>
      <c r="L101" s="242"/>
      <c r="M101" s="242"/>
      <c r="N101" s="612"/>
      <c r="O101" s="633"/>
      <c r="P101" s="459"/>
      <c r="Q101" s="454"/>
      <c r="R101" s="450"/>
      <c r="S101" s="450"/>
      <c r="T101" s="685"/>
      <c r="U101" s="450"/>
    </row>
    <row r="102" ht="15.75" customHeight="1">
      <c r="A102" s="425"/>
      <c r="B102" s="468"/>
      <c r="C102" s="578"/>
      <c r="D102" s="470"/>
      <c r="E102" s="526"/>
      <c r="F102" s="636"/>
      <c r="G102" s="636"/>
      <c r="H102" s="636"/>
      <c r="I102" s="638"/>
      <c r="J102" s="470"/>
      <c r="K102" s="526"/>
      <c r="L102" s="636"/>
      <c r="M102" s="636"/>
      <c r="N102" s="636"/>
      <c r="O102" s="638"/>
      <c r="P102" s="472"/>
      <c r="Q102" s="525"/>
      <c r="R102" s="468"/>
      <c r="S102" s="468"/>
      <c r="T102" s="468"/>
      <c r="U102" s="468"/>
    </row>
    <row r="103" ht="15.75" customHeight="1">
      <c r="A103" s="425"/>
      <c r="B103" s="477"/>
      <c r="C103" s="492" t="s">
        <v>38</v>
      </c>
      <c r="D103" s="444">
        <f>SUM(D104)</f>
        <v>0</v>
      </c>
      <c r="E103" s="529">
        <f>D103/D$29</f>
        <v>0</v>
      </c>
      <c r="F103" s="649">
        <f>SUM(F104)</f>
        <v>0</v>
      </c>
      <c r="G103" s="1043" t="str">
        <f>F103/F$29</f>
        <v>#DIV/0!</v>
      </c>
      <c r="H103" s="1053">
        <f>SUM(H104)</f>
        <v>0</v>
      </c>
      <c r="I103" s="650"/>
      <c r="J103" s="444">
        <f>SUM(J104)</f>
        <v>0</v>
      </c>
      <c r="K103" s="529">
        <f>J103/J$29</f>
        <v>0</v>
      </c>
      <c r="L103" s="649">
        <f>SUM(L104)</f>
        <v>0</v>
      </c>
      <c r="M103" s="1043" t="str">
        <f>L103/L$29</f>
        <v>#DIV/0!</v>
      </c>
      <c r="N103" s="1053">
        <f>SUM(N104)</f>
        <v>0</v>
      </c>
      <c r="O103" s="650"/>
      <c r="P103" s="475">
        <f>SUM(P104)</f>
        <v>0</v>
      </c>
      <c r="Q103" s="581" t="str">
        <f>P103/P$29</f>
        <v>#DIV/0!</v>
      </c>
      <c r="R103" s="474">
        <f>SUM(R104)</f>
        <v>0</v>
      </c>
      <c r="S103" s="1044" t="str">
        <f>R103/R$29</f>
        <v>#DIV/0!</v>
      </c>
      <c r="T103" s="1054">
        <f>SUM(T104)</f>
        <v>0</v>
      </c>
      <c r="U103" s="474"/>
    </row>
    <row r="104" ht="15.75" customHeight="1">
      <c r="A104" s="425"/>
      <c r="B104" s="481"/>
      <c r="C104" s="481" t="s">
        <v>276</v>
      </c>
      <c r="D104" s="448">
        <v>0.0</v>
      </c>
      <c r="E104" s="533">
        <f>IFERROR((D104/D$29),"")</f>
        <v>0</v>
      </c>
      <c r="F104" s="630"/>
      <c r="G104" s="630"/>
      <c r="H104" s="610">
        <f>D104-F104</f>
        <v>0</v>
      </c>
      <c r="I104" s="631"/>
      <c r="J104" s="448">
        <v>0.0</v>
      </c>
      <c r="K104" s="533">
        <f>IFERROR((J104/J$29),"")</f>
        <v>0</v>
      </c>
      <c r="L104" s="630"/>
      <c r="M104" s="630"/>
      <c r="N104" s="610">
        <f>J104-L104</f>
        <v>0</v>
      </c>
      <c r="O104" s="631"/>
      <c r="P104" s="482">
        <v>0.0</v>
      </c>
      <c r="Q104" s="725" t="str">
        <f>IFERROR((P104/P$29),"")</f>
        <v/>
      </c>
      <c r="R104" s="481"/>
      <c r="S104" s="481"/>
      <c r="T104" s="686">
        <f>P104-R104</f>
        <v>0</v>
      </c>
      <c r="U104" s="481"/>
    </row>
    <row r="105" ht="15.75" customHeight="1">
      <c r="A105" s="425"/>
      <c r="B105" s="468"/>
      <c r="C105" s="468"/>
      <c r="D105" s="470"/>
      <c r="E105" s="526"/>
      <c r="F105" s="636"/>
      <c r="G105" s="636"/>
      <c r="H105" s="636"/>
      <c r="I105" s="638"/>
      <c r="J105" s="470"/>
      <c r="K105" s="526"/>
      <c r="L105" s="636"/>
      <c r="M105" s="636"/>
      <c r="N105" s="636"/>
      <c r="O105" s="638"/>
      <c r="P105" s="472"/>
      <c r="Q105" s="525"/>
      <c r="R105" s="468"/>
      <c r="S105" s="468"/>
      <c r="T105" s="468"/>
      <c r="U105" s="468"/>
    </row>
    <row r="106" ht="15.75" customHeight="1">
      <c r="A106" s="425"/>
      <c r="B106" s="477"/>
      <c r="C106" s="492" t="s">
        <v>238</v>
      </c>
      <c r="D106" s="444">
        <f>SUM(D107:D108)</f>
        <v>35728</v>
      </c>
      <c r="E106" s="529">
        <f>D106/D$29</f>
        <v>0.1068069746</v>
      </c>
      <c r="F106" s="649">
        <f>SUM(F107:F108)</f>
        <v>0</v>
      </c>
      <c r="G106" s="1043" t="str">
        <f>F106/F$29</f>
        <v>#DIV/0!</v>
      </c>
      <c r="H106" s="609">
        <f>SUM(H107:H108)</f>
        <v>0</v>
      </c>
      <c r="I106" s="650"/>
      <c r="J106" s="444">
        <f>SUM(J107:J108)</f>
        <v>23091</v>
      </c>
      <c r="K106" s="529">
        <f>J106/J$29</f>
        <v>0.06948485934</v>
      </c>
      <c r="L106" s="649">
        <f>SUM(L107:L108)</f>
        <v>0</v>
      </c>
      <c r="M106" s="1043" t="str">
        <f>L106/L$29</f>
        <v>#DIV/0!</v>
      </c>
      <c r="N106" s="609">
        <f>SUM(N107:N108)</f>
        <v>0</v>
      </c>
      <c r="O106" s="650"/>
      <c r="P106" s="475">
        <f>SUM(P107:P108)</f>
        <v>0</v>
      </c>
      <c r="Q106" s="581" t="str">
        <f>P106/P$29</f>
        <v>#DIV/0!</v>
      </c>
      <c r="R106" s="474">
        <f>SUM(R107:R108)</f>
        <v>0</v>
      </c>
      <c r="S106" s="1044" t="str">
        <f>R106/R$29</f>
        <v>#DIV/0!</v>
      </c>
      <c r="T106" s="627">
        <f>SUM(T107:T108)</f>
        <v>0</v>
      </c>
      <c r="U106" s="474"/>
    </row>
    <row r="107" ht="15.75" customHeight="1">
      <c r="A107" s="425"/>
      <c r="B107" s="481"/>
      <c r="C107" s="481" t="s">
        <v>239</v>
      </c>
      <c r="D107" s="448"/>
      <c r="E107" s="533"/>
      <c r="F107" s="630"/>
      <c r="G107" s="1055"/>
      <c r="H107" s="610"/>
      <c r="I107" s="631"/>
      <c r="J107" s="448"/>
      <c r="K107" s="533"/>
      <c r="L107" s="630"/>
      <c r="M107" s="1055"/>
      <c r="N107" s="610"/>
      <c r="O107" s="631"/>
      <c r="P107" s="482"/>
      <c r="Q107" s="725"/>
      <c r="R107" s="481"/>
      <c r="S107" s="1056"/>
      <c r="T107" s="686"/>
      <c r="U107" s="481"/>
    </row>
    <row r="108" ht="15.75" customHeight="1">
      <c r="A108" s="425"/>
      <c r="B108" s="450"/>
      <c r="C108" s="450" t="s">
        <v>289</v>
      </c>
      <c r="D108" s="452">
        <f>(17168+11368+42920)/2</f>
        <v>35728</v>
      </c>
      <c r="E108" s="538"/>
      <c r="F108" s="242"/>
      <c r="G108" s="1052"/>
      <c r="H108" s="612"/>
      <c r="I108" s="633"/>
      <c r="J108" s="452">
        <v>23091.0</v>
      </c>
      <c r="K108" s="538"/>
      <c r="L108" s="242"/>
      <c r="M108" s="1052"/>
      <c r="N108" s="612"/>
      <c r="O108" s="633"/>
      <c r="P108" s="459"/>
      <c r="Q108" s="716"/>
      <c r="R108" s="450"/>
      <c r="S108" s="731"/>
      <c r="T108" s="685"/>
      <c r="U108" s="450"/>
    </row>
    <row r="109" ht="15.75" customHeight="1">
      <c r="A109" s="425"/>
      <c r="B109" s="468"/>
      <c r="C109" s="468"/>
      <c r="D109" s="470"/>
      <c r="E109" s="526"/>
      <c r="F109" s="636"/>
      <c r="G109" s="636"/>
      <c r="H109" s="636"/>
      <c r="I109" s="638"/>
      <c r="J109" s="470"/>
      <c r="K109" s="526"/>
      <c r="L109" s="636"/>
      <c r="M109" s="636"/>
      <c r="N109" s="636"/>
      <c r="O109" s="638"/>
      <c r="P109" s="472"/>
      <c r="Q109" s="525"/>
      <c r="R109" s="468"/>
      <c r="S109" s="468"/>
      <c r="T109" s="468"/>
      <c r="U109" s="468"/>
    </row>
    <row r="110" ht="15.75" customHeight="1">
      <c r="A110" s="425"/>
      <c r="B110" s="477"/>
      <c r="C110" s="492" t="s">
        <v>40</v>
      </c>
      <c r="D110" s="444">
        <f>SUM(D111:D121)</f>
        <v>8100</v>
      </c>
      <c r="E110" s="529">
        <f>D110/D$29</f>
        <v>0.02421452346</v>
      </c>
      <c r="F110" s="649">
        <f>SUM(F111:F121)</f>
        <v>0</v>
      </c>
      <c r="G110" s="1043" t="str">
        <f>F110/F$29</f>
        <v>#DIV/0!</v>
      </c>
      <c r="H110" s="1053">
        <f>SUM(H111:H121)</f>
        <v>0</v>
      </c>
      <c r="I110" s="650"/>
      <c r="J110" s="444">
        <f>SUM(J111:J121)</f>
        <v>0</v>
      </c>
      <c r="K110" s="529">
        <f>J110/J$29</f>
        <v>0</v>
      </c>
      <c r="L110" s="649">
        <f>SUM(L111:L121)</f>
        <v>0</v>
      </c>
      <c r="M110" s="1043" t="str">
        <f>L110/L$29</f>
        <v>#DIV/0!</v>
      </c>
      <c r="N110" s="1053">
        <f>SUM(N111:N121)</f>
        <v>0</v>
      </c>
      <c r="O110" s="650"/>
      <c r="P110" s="475">
        <f>SUM(P111:P121)</f>
        <v>0</v>
      </c>
      <c r="Q110" s="581" t="str">
        <f>P110/P$29</f>
        <v>#DIV/0!</v>
      </c>
      <c r="R110" s="474">
        <f>SUM(R111:R121)</f>
        <v>0</v>
      </c>
      <c r="S110" s="1044" t="str">
        <f>R110/R$29</f>
        <v>#DIV/0!</v>
      </c>
      <c r="T110" s="1054">
        <f>SUM(T111:T121)</f>
        <v>0</v>
      </c>
      <c r="U110" s="474"/>
    </row>
    <row r="111" ht="15.75" customHeight="1">
      <c r="A111" s="425"/>
      <c r="B111" s="481"/>
      <c r="C111" s="481" t="s">
        <v>241</v>
      </c>
      <c r="D111" s="448"/>
      <c r="E111" s="533"/>
      <c r="F111" s="630"/>
      <c r="G111" s="1055"/>
      <c r="H111" s="610"/>
      <c r="I111" s="631"/>
      <c r="J111" s="448"/>
      <c r="K111" s="533"/>
      <c r="L111" s="630"/>
      <c r="M111" s="1055"/>
      <c r="N111" s="610"/>
      <c r="O111" s="631"/>
      <c r="P111" s="482"/>
      <c r="Q111" s="725"/>
      <c r="R111" s="481"/>
      <c r="S111" s="1056"/>
      <c r="T111" s="686"/>
      <c r="U111" s="481"/>
    </row>
    <row r="112" ht="15.75" customHeight="1">
      <c r="A112" s="425"/>
      <c r="B112" s="450"/>
      <c r="C112" s="450" t="s">
        <v>349</v>
      </c>
      <c r="D112" s="452">
        <v>8100.0</v>
      </c>
      <c r="E112" s="538"/>
      <c r="F112" s="242"/>
      <c r="G112" s="1052"/>
      <c r="H112" s="612"/>
      <c r="I112" s="633"/>
      <c r="J112" s="452"/>
      <c r="K112" s="538"/>
      <c r="L112" s="242"/>
      <c r="M112" s="1052"/>
      <c r="N112" s="612"/>
      <c r="O112" s="633"/>
      <c r="P112" s="459"/>
      <c r="Q112" s="716"/>
      <c r="R112" s="450"/>
      <c r="S112" s="731"/>
      <c r="T112" s="685"/>
      <c r="U112" s="450"/>
    </row>
    <row r="113" ht="15.75" customHeight="1">
      <c r="A113" s="425"/>
      <c r="B113" s="450"/>
      <c r="C113" s="450" t="s">
        <v>243</v>
      </c>
      <c r="D113" s="452"/>
      <c r="E113" s="538"/>
      <c r="F113" s="242"/>
      <c r="G113" s="1052"/>
      <c r="H113" s="612"/>
      <c r="I113" s="633"/>
      <c r="J113" s="452"/>
      <c r="K113" s="538"/>
      <c r="L113" s="242"/>
      <c r="M113" s="1052"/>
      <c r="N113" s="612"/>
      <c r="O113" s="633"/>
      <c r="P113" s="459"/>
      <c r="Q113" s="716"/>
      <c r="R113" s="450"/>
      <c r="S113" s="731"/>
      <c r="T113" s="685"/>
      <c r="U113" s="450"/>
    </row>
    <row r="114" ht="15.75" customHeight="1">
      <c r="A114" s="425"/>
      <c r="B114" s="450"/>
      <c r="C114" s="450" t="s">
        <v>244</v>
      </c>
      <c r="D114" s="452"/>
      <c r="E114" s="538"/>
      <c r="F114" s="242"/>
      <c r="G114" s="1052"/>
      <c r="H114" s="612"/>
      <c r="I114" s="633"/>
      <c r="J114" s="452"/>
      <c r="K114" s="538"/>
      <c r="L114" s="242"/>
      <c r="M114" s="1052"/>
      <c r="N114" s="612"/>
      <c r="O114" s="633"/>
      <c r="P114" s="459"/>
      <c r="Q114" s="716"/>
      <c r="R114" s="450"/>
      <c r="S114" s="731"/>
      <c r="T114" s="685"/>
      <c r="U114" s="450"/>
    </row>
    <row r="115" ht="15.75" customHeight="1">
      <c r="A115" s="425"/>
      <c r="B115" s="450"/>
      <c r="C115" s="450" t="s">
        <v>290</v>
      </c>
      <c r="D115" s="452"/>
      <c r="E115" s="538"/>
      <c r="F115" s="242"/>
      <c r="G115" s="1052"/>
      <c r="H115" s="612"/>
      <c r="I115" s="633"/>
      <c r="J115" s="452"/>
      <c r="K115" s="538"/>
      <c r="L115" s="242"/>
      <c r="M115" s="1052"/>
      <c r="N115" s="612"/>
      <c r="O115" s="633"/>
      <c r="P115" s="459"/>
      <c r="Q115" s="716"/>
      <c r="R115" s="450"/>
      <c r="S115" s="731"/>
      <c r="T115" s="685"/>
      <c r="U115" s="450"/>
    </row>
    <row r="116" ht="15.75" customHeight="1">
      <c r="A116" s="425"/>
      <c r="B116" s="450"/>
      <c r="C116" s="450" t="s">
        <v>247</v>
      </c>
      <c r="D116" s="452"/>
      <c r="E116" s="538"/>
      <c r="F116" s="242"/>
      <c r="G116" s="1052"/>
      <c r="H116" s="612"/>
      <c r="I116" s="633"/>
      <c r="J116" s="452"/>
      <c r="K116" s="538"/>
      <c r="L116" s="242"/>
      <c r="M116" s="1052"/>
      <c r="N116" s="612"/>
      <c r="O116" s="633"/>
      <c r="P116" s="459"/>
      <c r="Q116" s="716"/>
      <c r="R116" s="450"/>
      <c r="S116" s="731"/>
      <c r="T116" s="685"/>
      <c r="U116" s="450"/>
    </row>
    <row r="117" ht="15.75" customHeight="1">
      <c r="A117" s="425"/>
      <c r="B117" s="450"/>
      <c r="C117" s="450" t="s">
        <v>249</v>
      </c>
      <c r="D117" s="452"/>
      <c r="E117" s="538"/>
      <c r="F117" s="242"/>
      <c r="G117" s="1052"/>
      <c r="H117" s="612"/>
      <c r="I117" s="633"/>
      <c r="J117" s="452"/>
      <c r="K117" s="538"/>
      <c r="L117" s="242"/>
      <c r="M117" s="1052"/>
      <c r="N117" s="612"/>
      <c r="O117" s="633"/>
      <c r="P117" s="459"/>
      <c r="Q117" s="716"/>
      <c r="R117" s="450"/>
      <c r="S117" s="731"/>
      <c r="T117" s="685"/>
      <c r="U117" s="450"/>
    </row>
    <row r="118" ht="15.75" customHeight="1">
      <c r="A118" s="425"/>
      <c r="B118" s="450"/>
      <c r="C118" s="450" t="s">
        <v>250</v>
      </c>
      <c r="D118" s="452"/>
      <c r="E118" s="538"/>
      <c r="F118" s="242"/>
      <c r="G118" s="1052"/>
      <c r="H118" s="612"/>
      <c r="I118" s="633"/>
      <c r="J118" s="452"/>
      <c r="K118" s="538"/>
      <c r="L118" s="242"/>
      <c r="M118" s="1052"/>
      <c r="N118" s="612"/>
      <c r="O118" s="633"/>
      <c r="P118" s="459"/>
      <c r="Q118" s="716"/>
      <c r="R118" s="450"/>
      <c r="S118" s="731"/>
      <c r="T118" s="685"/>
      <c r="U118" s="450"/>
    </row>
    <row r="119" ht="15.75" customHeight="1">
      <c r="A119" s="425"/>
      <c r="B119" s="450"/>
      <c r="C119" s="450" t="s">
        <v>251</v>
      </c>
      <c r="D119" s="452"/>
      <c r="E119" s="538"/>
      <c r="F119" s="242"/>
      <c r="G119" s="1052"/>
      <c r="H119" s="612"/>
      <c r="I119" s="633"/>
      <c r="J119" s="452"/>
      <c r="K119" s="538"/>
      <c r="L119" s="242"/>
      <c r="M119" s="1052"/>
      <c r="N119" s="612"/>
      <c r="O119" s="633"/>
      <c r="P119" s="459"/>
      <c r="Q119" s="716"/>
      <c r="R119" s="450"/>
      <c r="S119" s="731"/>
      <c r="T119" s="685"/>
      <c r="U119" s="450"/>
    </row>
    <row r="120" ht="15.75" customHeight="1">
      <c r="A120" s="425"/>
      <c r="B120" s="450"/>
      <c r="C120" s="450" t="s">
        <v>252</v>
      </c>
      <c r="D120" s="452"/>
      <c r="E120" s="538"/>
      <c r="F120" s="242"/>
      <c r="G120" s="1052"/>
      <c r="H120" s="612"/>
      <c r="I120" s="633"/>
      <c r="J120" s="452"/>
      <c r="K120" s="538"/>
      <c r="L120" s="242"/>
      <c r="M120" s="1052"/>
      <c r="N120" s="612"/>
      <c r="O120" s="633"/>
      <c r="P120" s="459"/>
      <c r="Q120" s="716"/>
      <c r="R120" s="450"/>
      <c r="S120" s="731"/>
      <c r="T120" s="685"/>
      <c r="U120" s="450"/>
    </row>
    <row r="121" ht="15.75" customHeight="1">
      <c r="A121" s="425"/>
      <c r="B121" s="450"/>
      <c r="C121" s="450" t="s">
        <v>303</v>
      </c>
      <c r="D121" s="452"/>
      <c r="E121" s="538"/>
      <c r="F121" s="242"/>
      <c r="G121" s="1052"/>
      <c r="H121" s="612"/>
      <c r="I121" s="633"/>
      <c r="J121" s="452"/>
      <c r="K121" s="538"/>
      <c r="L121" s="242"/>
      <c r="M121" s="1052"/>
      <c r="N121" s="612"/>
      <c r="O121" s="633"/>
      <c r="P121" s="459"/>
      <c r="Q121" s="716"/>
      <c r="R121" s="450"/>
      <c r="S121" s="731"/>
      <c r="T121" s="685"/>
      <c r="U121" s="450"/>
    </row>
    <row r="122" ht="15.75" customHeight="1">
      <c r="A122" s="425"/>
      <c r="B122" s="450"/>
      <c r="C122" s="450" t="s">
        <v>280</v>
      </c>
      <c r="D122" s="452"/>
      <c r="E122" s="538"/>
      <c r="F122" s="242"/>
      <c r="G122" s="1052"/>
      <c r="H122" s="242"/>
      <c r="I122" s="633"/>
      <c r="J122" s="452"/>
      <c r="K122" s="538"/>
      <c r="L122" s="242"/>
      <c r="M122" s="1052"/>
      <c r="N122" s="242"/>
      <c r="O122" s="633"/>
      <c r="P122" s="459"/>
      <c r="Q122" s="716"/>
      <c r="R122" s="450"/>
      <c r="S122" s="731"/>
      <c r="T122" s="450"/>
      <c r="U122" s="450"/>
    </row>
    <row r="123" ht="15.75" customHeight="1">
      <c r="A123" s="425"/>
      <c r="B123" s="450"/>
      <c r="C123" s="450"/>
      <c r="D123" s="452"/>
      <c r="E123" s="521"/>
      <c r="F123" s="242"/>
      <c r="G123" s="242"/>
      <c r="H123" s="242"/>
      <c r="I123" s="633"/>
      <c r="J123" s="452"/>
      <c r="K123" s="521"/>
      <c r="L123" s="242"/>
      <c r="M123" s="242"/>
      <c r="N123" s="242"/>
      <c r="O123" s="633"/>
      <c r="P123" s="459"/>
      <c r="Q123" s="454"/>
      <c r="R123" s="450"/>
      <c r="S123" s="450"/>
      <c r="T123" s="450"/>
      <c r="U123" s="450"/>
    </row>
    <row r="124" ht="15.75" customHeight="1">
      <c r="A124" s="425"/>
      <c r="B124" s="468"/>
      <c r="C124" s="645"/>
      <c r="D124" s="470"/>
      <c r="E124" s="526"/>
      <c r="F124" s="636"/>
      <c r="G124" s="636"/>
      <c r="H124" s="636"/>
      <c r="I124" s="638"/>
      <c r="J124" s="470"/>
      <c r="K124" s="526"/>
      <c r="L124" s="636"/>
      <c r="M124" s="636"/>
      <c r="N124" s="636"/>
      <c r="O124" s="638"/>
      <c r="P124" s="472"/>
      <c r="Q124" s="525"/>
      <c r="R124" s="468"/>
      <c r="S124" s="468"/>
      <c r="T124" s="468"/>
      <c r="U124" s="468"/>
    </row>
    <row r="125" ht="15.75" customHeight="1">
      <c r="A125" s="425"/>
      <c r="B125" s="477"/>
      <c r="C125" s="492" t="s">
        <v>41</v>
      </c>
      <c r="D125" s="444">
        <f>SUM(D126:D127)</f>
        <v>0</v>
      </c>
      <c r="E125" s="555"/>
      <c r="F125" s="609">
        <f>SUM(F126:F127)</f>
        <v>0</v>
      </c>
      <c r="G125" s="649"/>
      <c r="H125" s="609">
        <f>SUM(H126:H127)</f>
        <v>0</v>
      </c>
      <c r="I125" s="650"/>
      <c r="J125" s="444">
        <f>SUM(J126:J127)</f>
        <v>0</v>
      </c>
      <c r="K125" s="555"/>
      <c r="L125" s="609">
        <f>SUM(L126:L127)</f>
        <v>0</v>
      </c>
      <c r="M125" s="649"/>
      <c r="N125" s="609">
        <f>SUM(N126:N127)</f>
        <v>0</v>
      </c>
      <c r="O125" s="650"/>
      <c r="P125" s="475">
        <f>SUM(P126:P127)</f>
        <v>0</v>
      </c>
      <c r="Q125" s="442"/>
      <c r="R125" s="627">
        <f>SUM(R126:R127)</f>
        <v>0</v>
      </c>
      <c r="S125" s="474"/>
      <c r="T125" s="627">
        <f>SUM(T126:T127)</f>
        <v>0</v>
      </c>
      <c r="U125" s="474"/>
    </row>
    <row r="126" ht="15.75" customHeight="1">
      <c r="A126" s="425"/>
      <c r="B126" s="481"/>
      <c r="C126" s="481" t="s">
        <v>253</v>
      </c>
      <c r="D126" s="448"/>
      <c r="E126" s="533">
        <f t="shared" ref="E126:E127" si="28">IFERROR((D126/D$29),"")</f>
        <v>0</v>
      </c>
      <c r="F126" s="630"/>
      <c r="G126" s="630"/>
      <c r="H126" s="610">
        <f t="shared" ref="H126:H127" si="29">D126-F126</f>
        <v>0</v>
      </c>
      <c r="I126" s="631"/>
      <c r="J126" s="448"/>
      <c r="K126" s="533">
        <f t="shared" ref="K126:K127" si="30">IFERROR((J126/J$29),"")</f>
        <v>0</v>
      </c>
      <c r="L126" s="630"/>
      <c r="M126" s="630"/>
      <c r="N126" s="610">
        <f t="shared" ref="N126:N127" si="31">J126-L126</f>
        <v>0</v>
      </c>
      <c r="O126" s="631"/>
      <c r="P126" s="482"/>
      <c r="Q126" s="725" t="str">
        <f t="shared" ref="Q126:Q127" si="32">IFERROR((P126/P$29),"")</f>
        <v/>
      </c>
      <c r="R126" s="481"/>
      <c r="S126" s="481"/>
      <c r="T126" s="686">
        <f t="shared" ref="T126:T127" si="33">P126-R126</f>
        <v>0</v>
      </c>
      <c r="U126" s="481"/>
    </row>
    <row r="127" ht="15.75" customHeight="1">
      <c r="A127" s="425"/>
      <c r="B127" s="450"/>
      <c r="C127" s="450" t="s">
        <v>292</v>
      </c>
      <c r="D127" s="452"/>
      <c r="E127" s="538">
        <f t="shared" si="28"/>
        <v>0</v>
      </c>
      <c r="F127" s="242"/>
      <c r="G127" s="242"/>
      <c r="H127" s="612">
        <f t="shared" si="29"/>
        <v>0</v>
      </c>
      <c r="I127" s="633"/>
      <c r="J127" s="452"/>
      <c r="K127" s="538">
        <f t="shared" si="30"/>
        <v>0</v>
      </c>
      <c r="L127" s="242"/>
      <c r="M127" s="242"/>
      <c r="N127" s="612">
        <f t="shared" si="31"/>
        <v>0</v>
      </c>
      <c r="O127" s="633"/>
      <c r="P127" s="459"/>
      <c r="Q127" s="716" t="str">
        <f t="shared" si="32"/>
        <v/>
      </c>
      <c r="R127" s="450"/>
      <c r="S127" s="450"/>
      <c r="T127" s="685">
        <f t="shared" si="33"/>
        <v>0</v>
      </c>
      <c r="U127" s="450"/>
    </row>
    <row r="128" ht="15.75" customHeight="1">
      <c r="A128" s="425"/>
      <c r="B128" s="468"/>
      <c r="C128" s="468"/>
      <c r="D128" s="470"/>
      <c r="E128" s="526"/>
      <c r="F128" s="636"/>
      <c r="G128" s="636"/>
      <c r="H128" s="636"/>
      <c r="I128" s="638"/>
      <c r="J128" s="470"/>
      <c r="K128" s="526"/>
      <c r="L128" s="636"/>
      <c r="M128" s="636"/>
      <c r="N128" s="636"/>
      <c r="O128" s="638"/>
      <c r="P128" s="472"/>
      <c r="Q128" s="525"/>
      <c r="R128" s="468"/>
      <c r="S128" s="468"/>
      <c r="T128" s="468"/>
      <c r="U128" s="468"/>
    </row>
    <row r="129" ht="15.75" customHeight="1">
      <c r="A129" s="425"/>
      <c r="B129" s="477"/>
      <c r="C129" s="492" t="s">
        <v>42</v>
      </c>
      <c r="D129" s="444">
        <f>SUM(D130:D131)</f>
        <v>0</v>
      </c>
      <c r="E129" s="555"/>
      <c r="F129" s="649">
        <f>SUM(F130:F131)</f>
        <v>0</v>
      </c>
      <c r="G129" s="649"/>
      <c r="H129" s="1053">
        <f>SUM(H130:H131)</f>
        <v>0</v>
      </c>
      <c r="I129" s="650"/>
      <c r="J129" s="444">
        <f>SUM(J130:J131)</f>
        <v>0</v>
      </c>
      <c r="K129" s="555"/>
      <c r="L129" s="649">
        <f>SUM(L130:L131)</f>
        <v>0</v>
      </c>
      <c r="M129" s="649"/>
      <c r="N129" s="1053">
        <f>SUM(N130:N131)</f>
        <v>0</v>
      </c>
      <c r="O129" s="650"/>
      <c r="P129" s="475">
        <f>SUM(P130:P131)</f>
        <v>0</v>
      </c>
      <c r="Q129" s="442"/>
      <c r="R129" s="474">
        <f>SUM(R130:R131)</f>
        <v>0</v>
      </c>
      <c r="S129" s="474"/>
      <c r="T129" s="1054">
        <f>SUM(T130:T131)</f>
        <v>0</v>
      </c>
      <c r="U129" s="474"/>
    </row>
    <row r="130" ht="15.75" customHeight="1">
      <c r="A130" s="425"/>
      <c r="B130" s="481"/>
      <c r="C130" s="481" t="s">
        <v>333</v>
      </c>
      <c r="D130" s="448"/>
      <c r="E130" s="533"/>
      <c r="F130" s="630"/>
      <c r="G130" s="630"/>
      <c r="H130" s="610"/>
      <c r="I130" s="631"/>
      <c r="J130" s="448"/>
      <c r="K130" s="533"/>
      <c r="L130" s="630"/>
      <c r="M130" s="630"/>
      <c r="N130" s="610"/>
      <c r="O130" s="631"/>
      <c r="P130" s="482"/>
      <c r="Q130" s="725"/>
      <c r="R130" s="481"/>
      <c r="S130" s="481"/>
      <c r="T130" s="686"/>
      <c r="U130" s="481"/>
    </row>
    <row r="131" ht="15.75" customHeight="1">
      <c r="A131" s="425"/>
      <c r="B131" s="450"/>
      <c r="C131" s="450" t="s">
        <v>256</v>
      </c>
      <c r="D131" s="452"/>
      <c r="E131" s="538"/>
      <c r="F131" s="242"/>
      <c r="G131" s="242"/>
      <c r="H131" s="612"/>
      <c r="I131" s="633"/>
      <c r="J131" s="452"/>
      <c r="K131" s="538"/>
      <c r="L131" s="242"/>
      <c r="M131" s="242"/>
      <c r="N131" s="612"/>
      <c r="O131" s="633"/>
      <c r="P131" s="459"/>
      <c r="Q131" s="716"/>
      <c r="R131" s="450"/>
      <c r="S131" s="450"/>
      <c r="T131" s="685"/>
      <c r="U131" s="450"/>
    </row>
    <row r="132" ht="15.75" customHeight="1">
      <c r="A132" s="425"/>
      <c r="B132" s="450"/>
      <c r="C132" s="450"/>
      <c r="D132" s="452"/>
      <c r="E132" s="521"/>
      <c r="F132" s="242"/>
      <c r="G132" s="242"/>
      <c r="H132" s="242"/>
      <c r="I132" s="633"/>
      <c r="J132" s="452"/>
      <c r="K132" s="521"/>
      <c r="L132" s="242"/>
      <c r="M132" s="242"/>
      <c r="N132" s="242"/>
      <c r="O132" s="633"/>
      <c r="P132" s="459"/>
      <c r="Q132" s="454"/>
      <c r="R132" s="450"/>
      <c r="S132" s="450"/>
      <c r="T132" s="450"/>
      <c r="U132" s="450"/>
    </row>
    <row r="133" ht="15.75" customHeight="1">
      <c r="A133" s="425"/>
      <c r="B133" s="468"/>
      <c r="C133" s="468"/>
      <c r="D133" s="470"/>
      <c r="E133" s="526"/>
      <c r="F133" s="636"/>
      <c r="G133" s="636"/>
      <c r="H133" s="636"/>
      <c r="I133" s="638"/>
      <c r="J133" s="470"/>
      <c r="K133" s="526"/>
      <c r="L133" s="636"/>
      <c r="M133" s="636"/>
      <c r="N133" s="636"/>
      <c r="O133" s="638"/>
      <c r="P133" s="472"/>
      <c r="Q133" s="525"/>
      <c r="R133" s="468"/>
      <c r="S133" s="468"/>
      <c r="T133" s="468"/>
      <c r="U133" s="468"/>
    </row>
    <row r="134" ht="15.75" customHeight="1">
      <c r="A134" s="425"/>
      <c r="B134" s="474"/>
      <c r="C134" s="474" t="s">
        <v>257</v>
      </c>
      <c r="D134" s="444">
        <f>D58+D129+D125+D110+D106+D103+D93+D87+D78+D70</f>
        <v>198214.61</v>
      </c>
      <c r="E134" s="529">
        <f>IFERROR((D134/D$29),"")</f>
        <v>0.5925521387</v>
      </c>
      <c r="F134" s="609">
        <f>F129+F125+F110+F106+F103+F93+F87+F78+F70</f>
        <v>0</v>
      </c>
      <c r="G134" s="1043" t="str">
        <f>IFERROR((F134/F$29),"")</f>
        <v/>
      </c>
      <c r="H134" s="609"/>
      <c r="I134" s="650"/>
      <c r="J134" s="444">
        <f>J58+J129+J125+J110+J106+J103+J93+J87+J78+J70</f>
        <v>145015.7</v>
      </c>
      <c r="K134" s="529">
        <f>IFERROR((J134/J$29),"")</f>
        <v>0.4363776153</v>
      </c>
      <c r="L134" s="609">
        <f>L129+L125+L110+L106+L103+L93+L87+L78+L70</f>
        <v>0</v>
      </c>
      <c r="M134" s="1043" t="str">
        <f>IFERROR((L134/L$29),"")</f>
        <v/>
      </c>
      <c r="N134" s="609"/>
      <c r="O134" s="650"/>
      <c r="P134" s="475">
        <f>P58+P129+P125+P110+P106+P103+P93+P87+P78+P70</f>
        <v>0</v>
      </c>
      <c r="Q134" s="581" t="str">
        <f>IFERROR((P134/P$29),"")</f>
        <v/>
      </c>
      <c r="R134" s="627">
        <f>R129+R125+R110+R106+R103+R93+R87+R78+R70</f>
        <v>0</v>
      </c>
      <c r="S134" s="1044" t="str">
        <f>IFERROR((R134/R$29),"")</f>
        <v/>
      </c>
      <c r="T134" s="627"/>
      <c r="U134" s="474"/>
    </row>
    <row r="135" ht="15.75" customHeight="1">
      <c r="A135" s="425"/>
      <c r="B135" s="508"/>
      <c r="C135" s="508"/>
      <c r="D135" s="494"/>
      <c r="E135" s="586"/>
      <c r="F135" s="646"/>
      <c r="G135" s="646"/>
      <c r="H135" s="646"/>
      <c r="I135" s="647"/>
      <c r="J135" s="494"/>
      <c r="K135" s="586"/>
      <c r="L135" s="646"/>
      <c r="M135" s="646"/>
      <c r="N135" s="646"/>
      <c r="O135" s="647"/>
      <c r="P135" s="495"/>
      <c r="Q135" s="741"/>
      <c r="R135" s="508"/>
      <c r="S135" s="508"/>
      <c r="T135" s="508"/>
      <c r="U135" s="508"/>
    </row>
    <row r="136" ht="15.75" customHeight="1">
      <c r="A136" s="425"/>
      <c r="B136" s="474"/>
      <c r="C136" s="474" t="s">
        <v>258</v>
      </c>
      <c r="D136" s="444">
        <f>D49-D134</f>
        <v>-205367.9718</v>
      </c>
      <c r="E136" s="529">
        <f>IFERROR((D136/D$29),"")</f>
        <v>-0.6139367371</v>
      </c>
      <c r="F136" s="609" t="str">
        <f>F49-F134</f>
        <v>#REF!</v>
      </c>
      <c r="G136" s="1043" t="str">
        <f>IFERROR((F136/F$29),"")</f>
        <v/>
      </c>
      <c r="H136" s="609" t="str">
        <f>H49-H134</f>
        <v>#REF!</v>
      </c>
      <c r="I136" s="650"/>
      <c r="J136" s="444">
        <f>J49-J134</f>
        <v>81836.53</v>
      </c>
      <c r="K136" s="529">
        <f>IFERROR((J136/J$29),"")</f>
        <v>0.2462604381</v>
      </c>
      <c r="L136" s="609" t="str">
        <f>L49-L134</f>
        <v>#REF!</v>
      </c>
      <c r="M136" s="1043" t="str">
        <f>IFERROR((L136/L$29),"")</f>
        <v/>
      </c>
      <c r="N136" s="609" t="str">
        <f>N49-N134</f>
        <v>#REF!</v>
      </c>
      <c r="O136" s="650"/>
      <c r="P136" s="475">
        <f>P49-P134</f>
        <v>0</v>
      </c>
      <c r="Q136" s="581" t="str">
        <f>IFERROR((P136/P$29),"")</f>
        <v/>
      </c>
      <c r="R136" s="627" t="str">
        <f>R49-R134</f>
        <v>#REF!</v>
      </c>
      <c r="S136" s="1044" t="str">
        <f>IFERROR((R136/R$29),"")</f>
        <v/>
      </c>
      <c r="T136" s="627" t="str">
        <f>T49-T134</f>
        <v>#REF!</v>
      </c>
      <c r="U136" s="474"/>
    </row>
    <row r="137" ht="15.75" customHeight="1">
      <c r="A137" s="425"/>
      <c r="B137" s="425"/>
      <c r="C137" s="425"/>
      <c r="D137" s="588"/>
      <c r="E137" s="235"/>
      <c r="F137" s="425"/>
      <c r="G137" s="425"/>
      <c r="H137" s="425"/>
      <c r="I137" s="425"/>
      <c r="J137" s="588"/>
      <c r="K137" s="235"/>
      <c r="L137" s="425"/>
      <c r="M137" s="425"/>
      <c r="N137" s="425"/>
      <c r="O137" s="425"/>
      <c r="P137" s="588"/>
      <c r="Q137" s="235"/>
      <c r="R137" s="425"/>
      <c r="S137" s="425"/>
      <c r="T137" s="425"/>
      <c r="U137" s="425"/>
    </row>
    <row r="138" ht="15.75" customHeight="1">
      <c r="A138" s="425"/>
      <c r="B138" s="425"/>
      <c r="C138" s="425"/>
      <c r="D138" s="588"/>
      <c r="E138" s="235"/>
      <c r="F138" s="425"/>
      <c r="G138" s="425"/>
      <c r="H138" s="425"/>
      <c r="I138" s="425"/>
      <c r="J138" s="588"/>
      <c r="K138" s="235"/>
      <c r="L138" s="425"/>
      <c r="M138" s="425"/>
      <c r="N138" s="425"/>
      <c r="O138" s="425"/>
      <c r="P138" s="588"/>
      <c r="Q138" s="235"/>
      <c r="R138" s="425"/>
      <c r="S138" s="425"/>
      <c r="T138" s="425"/>
      <c r="U138" s="425"/>
    </row>
    <row r="139" ht="15.75" customHeight="1">
      <c r="A139" s="425"/>
      <c r="B139" s="425"/>
      <c r="C139" s="425"/>
      <c r="D139" s="588"/>
      <c r="E139" s="235"/>
      <c r="F139" s="425"/>
      <c r="G139" s="425"/>
      <c r="H139" s="425"/>
      <c r="I139" s="425"/>
      <c r="J139" s="588"/>
      <c r="K139" s="235"/>
      <c r="L139" s="425"/>
      <c r="M139" s="425"/>
      <c r="N139" s="425"/>
      <c r="O139" s="425"/>
      <c r="P139" s="588"/>
      <c r="Q139" s="235"/>
      <c r="R139" s="425"/>
      <c r="S139" s="425"/>
      <c r="T139" s="425"/>
      <c r="U139" s="425"/>
    </row>
    <row r="140" ht="15.75" customHeight="1">
      <c r="A140" s="425"/>
      <c r="B140" s="425"/>
      <c r="C140" s="425"/>
      <c r="D140" s="588"/>
      <c r="E140" s="235"/>
      <c r="F140" s="425"/>
      <c r="G140" s="425"/>
      <c r="H140" s="425"/>
      <c r="I140" s="425"/>
      <c r="J140" s="588"/>
      <c r="K140" s="235"/>
      <c r="L140" s="425"/>
      <c r="M140" s="425"/>
      <c r="N140" s="425"/>
      <c r="O140" s="425"/>
      <c r="P140" s="588"/>
      <c r="Q140" s="235"/>
      <c r="R140" s="425"/>
      <c r="S140" s="425"/>
      <c r="T140" s="425"/>
      <c r="U140" s="425"/>
    </row>
    <row r="141" ht="15.75" customHeight="1">
      <c r="A141" s="425"/>
      <c r="B141" s="425"/>
      <c r="C141" s="425"/>
      <c r="D141" s="588"/>
      <c r="E141" s="235"/>
      <c r="F141" s="425"/>
      <c r="G141" s="425"/>
      <c r="H141" s="425"/>
      <c r="I141" s="425"/>
      <c r="J141" s="588"/>
      <c r="K141" s="235"/>
      <c r="L141" s="425"/>
      <c r="M141" s="425"/>
      <c r="N141" s="425"/>
      <c r="O141" s="425"/>
      <c r="P141" s="588"/>
      <c r="Q141" s="235"/>
      <c r="R141" s="425"/>
      <c r="S141" s="425"/>
      <c r="T141" s="425"/>
      <c r="U141" s="425"/>
    </row>
    <row r="142" ht="15.75" customHeight="1">
      <c r="A142" s="425"/>
      <c r="B142" s="425"/>
      <c r="C142" s="425"/>
      <c r="D142" s="427"/>
      <c r="E142" s="235"/>
      <c r="F142" s="425"/>
      <c r="G142" s="425"/>
      <c r="H142" s="425"/>
      <c r="I142" s="425"/>
      <c r="J142" s="427"/>
      <c r="K142" s="235"/>
      <c r="L142" s="425"/>
      <c r="M142" s="425"/>
      <c r="N142" s="425"/>
      <c r="O142" s="425"/>
      <c r="P142" s="427"/>
      <c r="Q142" s="235"/>
      <c r="R142" s="425"/>
      <c r="S142" s="425"/>
      <c r="T142" s="425"/>
      <c r="U142" s="425"/>
    </row>
    <row r="143" ht="15.75" customHeight="1">
      <c r="A143" s="425"/>
      <c r="B143" s="425"/>
      <c r="C143" s="425"/>
      <c r="D143" s="427"/>
      <c r="E143" s="235"/>
      <c r="F143" s="425"/>
      <c r="G143" s="425"/>
      <c r="H143" s="425"/>
      <c r="I143" s="425"/>
      <c r="J143" s="427"/>
      <c r="K143" s="235"/>
      <c r="L143" s="425"/>
      <c r="M143" s="425"/>
      <c r="N143" s="425"/>
      <c r="O143" s="425"/>
      <c r="P143" s="427"/>
      <c r="Q143" s="235"/>
      <c r="R143" s="425"/>
      <c r="S143" s="425"/>
      <c r="T143" s="425"/>
      <c r="U143" s="425"/>
    </row>
    <row r="144" ht="15.75" customHeight="1">
      <c r="A144" s="425"/>
      <c r="B144" s="425"/>
      <c r="C144" s="425"/>
      <c r="D144" s="427"/>
      <c r="E144" s="235"/>
      <c r="F144" s="425"/>
      <c r="G144" s="425"/>
      <c r="H144" s="425"/>
      <c r="I144" s="425"/>
      <c r="J144" s="427"/>
      <c r="K144" s="235"/>
      <c r="L144" s="425"/>
      <c r="M144" s="425"/>
      <c r="N144" s="425"/>
      <c r="O144" s="425"/>
      <c r="P144" s="427"/>
      <c r="Q144" s="235"/>
      <c r="R144" s="425"/>
      <c r="S144" s="425"/>
      <c r="T144" s="425"/>
      <c r="U144" s="425"/>
    </row>
    <row r="145" ht="15.75" customHeight="1">
      <c r="A145" s="425"/>
      <c r="B145" s="425"/>
      <c r="C145" s="425"/>
      <c r="D145" s="427"/>
      <c r="E145" s="235"/>
      <c r="F145" s="425"/>
      <c r="G145" s="425"/>
      <c r="H145" s="425"/>
      <c r="I145" s="425"/>
      <c r="J145" s="427"/>
      <c r="K145" s="235"/>
      <c r="L145" s="425"/>
      <c r="M145" s="425"/>
      <c r="N145" s="425"/>
      <c r="O145" s="425"/>
      <c r="P145" s="427"/>
      <c r="Q145" s="235"/>
      <c r="R145" s="425"/>
      <c r="S145" s="425"/>
      <c r="T145" s="425"/>
      <c r="U145" s="425"/>
    </row>
    <row r="146" ht="15.75" customHeight="1">
      <c r="A146" s="425"/>
      <c r="B146" s="425"/>
      <c r="C146" s="425"/>
      <c r="D146" s="427"/>
      <c r="E146" s="235"/>
      <c r="F146" s="425"/>
      <c r="G146" s="425"/>
      <c r="H146" s="425"/>
      <c r="I146" s="425"/>
      <c r="J146" s="427"/>
      <c r="K146" s="235"/>
      <c r="L146" s="425"/>
      <c r="M146" s="425"/>
      <c r="N146" s="425"/>
      <c r="O146" s="425"/>
      <c r="P146" s="427"/>
      <c r="Q146" s="235"/>
      <c r="R146" s="425"/>
      <c r="S146" s="425"/>
      <c r="T146" s="425"/>
      <c r="U146" s="425"/>
    </row>
    <row r="147" ht="15.75" customHeight="1">
      <c r="A147" s="425"/>
      <c r="B147" s="425"/>
      <c r="C147" s="425"/>
      <c r="D147" s="427"/>
      <c r="E147" s="235"/>
      <c r="F147" s="425"/>
      <c r="G147" s="425"/>
      <c r="H147" s="425"/>
      <c r="I147" s="425"/>
      <c r="J147" s="427"/>
      <c r="K147" s="235"/>
      <c r="L147" s="425"/>
      <c r="M147" s="425"/>
      <c r="N147" s="425"/>
      <c r="O147" s="425"/>
      <c r="P147" s="427"/>
      <c r="Q147" s="235"/>
      <c r="R147" s="425"/>
      <c r="S147" s="425"/>
      <c r="T147" s="425"/>
      <c r="U147" s="425"/>
    </row>
    <row r="148" ht="15.75" customHeight="1">
      <c r="A148" s="425"/>
      <c r="B148" s="425"/>
      <c r="C148" s="425"/>
      <c r="D148" s="427"/>
      <c r="E148" s="235"/>
      <c r="F148" s="425"/>
      <c r="G148" s="425"/>
      <c r="H148" s="425"/>
      <c r="I148" s="425"/>
      <c r="J148" s="427"/>
      <c r="K148" s="235"/>
      <c r="L148" s="425"/>
      <c r="M148" s="425"/>
      <c r="N148" s="425"/>
      <c r="O148" s="425"/>
      <c r="P148" s="427"/>
      <c r="Q148" s="235"/>
      <c r="R148" s="425"/>
      <c r="S148" s="425"/>
      <c r="T148" s="425"/>
      <c r="U148" s="425"/>
    </row>
    <row r="149" ht="15.75" customHeight="1">
      <c r="A149" s="425"/>
      <c r="B149" s="425"/>
      <c r="C149" s="425"/>
      <c r="D149" s="427"/>
      <c r="E149" s="235"/>
      <c r="F149" s="425"/>
      <c r="G149" s="425"/>
      <c r="H149" s="425"/>
      <c r="I149" s="425"/>
      <c r="J149" s="427"/>
      <c r="K149" s="235"/>
      <c r="L149" s="425"/>
      <c r="M149" s="425"/>
      <c r="N149" s="425"/>
      <c r="O149" s="425"/>
      <c r="P149" s="427"/>
      <c r="Q149" s="235"/>
      <c r="R149" s="425"/>
      <c r="S149" s="425"/>
      <c r="T149" s="425"/>
      <c r="U149" s="425"/>
    </row>
    <row r="150" ht="15.75" customHeight="1">
      <c r="A150" s="425"/>
      <c r="B150" s="425"/>
      <c r="C150" s="425"/>
      <c r="D150" s="427"/>
      <c r="E150" s="235"/>
      <c r="F150" s="425"/>
      <c r="G150" s="425"/>
      <c r="H150" s="425"/>
      <c r="I150" s="425"/>
      <c r="J150" s="427"/>
      <c r="K150" s="235"/>
      <c r="L150" s="425"/>
      <c r="M150" s="425"/>
      <c r="N150" s="425"/>
      <c r="O150" s="425"/>
      <c r="P150" s="427"/>
      <c r="Q150" s="235"/>
      <c r="R150" s="425"/>
      <c r="S150" s="425"/>
      <c r="T150" s="425"/>
      <c r="U150" s="425"/>
    </row>
    <row r="151" ht="15.75" customHeight="1">
      <c r="A151" s="425"/>
      <c r="B151" s="425"/>
      <c r="C151" s="425"/>
      <c r="D151" s="427"/>
      <c r="E151" s="235"/>
      <c r="F151" s="425"/>
      <c r="G151" s="425"/>
      <c r="H151" s="425"/>
      <c r="I151" s="425"/>
      <c r="J151" s="427"/>
      <c r="K151" s="235"/>
      <c r="L151" s="425"/>
      <c r="M151" s="425"/>
      <c r="N151" s="425"/>
      <c r="O151" s="425"/>
      <c r="P151" s="427"/>
      <c r="Q151" s="235"/>
      <c r="R151" s="425"/>
      <c r="S151" s="425"/>
      <c r="T151" s="425"/>
      <c r="U151" s="425"/>
    </row>
    <row r="152" ht="15.75" customHeight="1">
      <c r="A152" s="425"/>
      <c r="B152" s="425"/>
      <c r="C152" s="425"/>
      <c r="D152" s="427"/>
      <c r="E152" s="235"/>
      <c r="F152" s="425"/>
      <c r="G152" s="425"/>
      <c r="H152" s="425"/>
      <c r="I152" s="425"/>
      <c r="J152" s="427"/>
      <c r="K152" s="235"/>
      <c r="L152" s="425"/>
      <c r="M152" s="425"/>
      <c r="N152" s="425"/>
      <c r="O152" s="425"/>
      <c r="P152" s="427"/>
      <c r="Q152" s="235"/>
      <c r="R152" s="425"/>
      <c r="S152" s="425"/>
      <c r="T152" s="425"/>
      <c r="U152" s="425"/>
    </row>
    <row r="153" ht="15.75" customHeight="1">
      <c r="A153" s="425"/>
      <c r="B153" s="425"/>
      <c r="C153" s="425"/>
      <c r="D153" s="427"/>
      <c r="E153" s="235"/>
      <c r="F153" s="425"/>
      <c r="G153" s="425"/>
      <c r="H153" s="425"/>
      <c r="I153" s="425"/>
      <c r="J153" s="427"/>
      <c r="K153" s="235"/>
      <c r="L153" s="425"/>
      <c r="M153" s="425"/>
      <c r="N153" s="425"/>
      <c r="O153" s="425"/>
      <c r="P153" s="427"/>
      <c r="Q153" s="235"/>
      <c r="R153" s="425"/>
      <c r="S153" s="425"/>
      <c r="T153" s="425"/>
      <c r="U153" s="425"/>
    </row>
    <row r="154" ht="15.75" customHeight="1">
      <c r="A154" s="425"/>
      <c r="B154" s="425"/>
      <c r="C154" s="425"/>
      <c r="D154" s="427"/>
      <c r="E154" s="235"/>
      <c r="F154" s="425"/>
      <c r="G154" s="425"/>
      <c r="H154" s="425"/>
      <c r="I154" s="425"/>
      <c r="J154" s="427"/>
      <c r="K154" s="235"/>
      <c r="L154" s="425"/>
      <c r="M154" s="425"/>
      <c r="N154" s="425"/>
      <c r="O154" s="425"/>
      <c r="P154" s="427"/>
      <c r="Q154" s="235"/>
      <c r="R154" s="425"/>
      <c r="S154" s="425"/>
      <c r="T154" s="425"/>
      <c r="U154" s="425"/>
    </row>
    <row r="155" ht="15.75" customHeight="1">
      <c r="A155" s="425"/>
      <c r="B155" s="425"/>
      <c r="C155" s="425"/>
      <c r="D155" s="427"/>
      <c r="E155" s="235"/>
      <c r="F155" s="425"/>
      <c r="G155" s="425"/>
      <c r="H155" s="425"/>
      <c r="I155" s="425"/>
      <c r="J155" s="427"/>
      <c r="K155" s="235"/>
      <c r="L155" s="425"/>
      <c r="M155" s="425"/>
      <c r="N155" s="425"/>
      <c r="O155" s="425"/>
      <c r="P155" s="427"/>
      <c r="Q155" s="235"/>
      <c r="R155" s="425"/>
      <c r="S155" s="425"/>
      <c r="T155" s="425"/>
      <c r="U155" s="425"/>
    </row>
    <row r="156" ht="15.75" customHeight="1">
      <c r="A156" s="425"/>
      <c r="B156" s="425"/>
      <c r="C156" s="425"/>
      <c r="D156" s="427"/>
      <c r="E156" s="235"/>
      <c r="F156" s="425"/>
      <c r="G156" s="425"/>
      <c r="H156" s="425"/>
      <c r="I156" s="425"/>
      <c r="J156" s="427"/>
      <c r="K156" s="235"/>
      <c r="L156" s="425"/>
      <c r="M156" s="425"/>
      <c r="N156" s="425"/>
      <c r="O156" s="425"/>
      <c r="P156" s="427"/>
      <c r="Q156" s="235"/>
      <c r="R156" s="425"/>
      <c r="S156" s="425"/>
      <c r="T156" s="425"/>
      <c r="U156" s="425"/>
    </row>
    <row r="157" ht="15.75" customHeight="1">
      <c r="A157" s="425"/>
      <c r="B157" s="425"/>
      <c r="C157" s="425"/>
      <c r="D157" s="427"/>
      <c r="E157" s="235"/>
      <c r="F157" s="425"/>
      <c r="G157" s="425"/>
      <c r="H157" s="425"/>
      <c r="I157" s="425"/>
      <c r="J157" s="427"/>
      <c r="K157" s="235"/>
      <c r="L157" s="425"/>
      <c r="M157" s="425"/>
      <c r="N157" s="425"/>
      <c r="O157" s="425"/>
      <c r="P157" s="427"/>
      <c r="Q157" s="235"/>
      <c r="R157" s="425"/>
      <c r="S157" s="425"/>
      <c r="T157" s="425"/>
      <c r="U157" s="425"/>
    </row>
    <row r="158" ht="15.75" customHeight="1">
      <c r="A158" s="425"/>
      <c r="B158" s="425"/>
      <c r="C158" s="425"/>
      <c r="D158" s="427"/>
      <c r="E158" s="235"/>
      <c r="F158" s="425"/>
      <c r="G158" s="425"/>
      <c r="H158" s="425"/>
      <c r="I158" s="425"/>
      <c r="J158" s="427"/>
      <c r="K158" s="235"/>
      <c r="L158" s="425"/>
      <c r="M158" s="425"/>
      <c r="N158" s="425"/>
      <c r="O158" s="425"/>
      <c r="P158" s="427"/>
      <c r="Q158" s="235"/>
      <c r="R158" s="425"/>
      <c r="S158" s="425"/>
      <c r="T158" s="425"/>
      <c r="U158" s="425"/>
    </row>
    <row r="159" ht="15.75" customHeight="1">
      <c r="A159" s="425"/>
      <c r="B159" s="425"/>
      <c r="C159" s="425"/>
      <c r="D159" s="427"/>
      <c r="E159" s="235"/>
      <c r="F159" s="425"/>
      <c r="G159" s="425"/>
      <c r="H159" s="425"/>
      <c r="I159" s="425"/>
      <c r="J159" s="427"/>
      <c r="K159" s="235"/>
      <c r="L159" s="425"/>
      <c r="M159" s="425"/>
      <c r="N159" s="425"/>
      <c r="O159" s="425"/>
      <c r="P159" s="427"/>
      <c r="Q159" s="235"/>
      <c r="R159" s="425"/>
      <c r="S159" s="425"/>
      <c r="T159" s="425"/>
      <c r="U159" s="425"/>
    </row>
    <row r="160" ht="15.75" customHeight="1">
      <c r="A160" s="425"/>
      <c r="B160" s="425"/>
      <c r="C160" s="425"/>
      <c r="D160" s="427"/>
      <c r="E160" s="235"/>
      <c r="F160" s="425"/>
      <c r="G160" s="425"/>
      <c r="H160" s="425"/>
      <c r="I160" s="425"/>
      <c r="J160" s="427"/>
      <c r="K160" s="235"/>
      <c r="L160" s="425"/>
      <c r="M160" s="425"/>
      <c r="N160" s="425"/>
      <c r="O160" s="425"/>
      <c r="P160" s="427"/>
      <c r="Q160" s="235"/>
      <c r="R160" s="425"/>
      <c r="S160" s="425"/>
      <c r="T160" s="425"/>
      <c r="U160" s="425"/>
    </row>
    <row r="161" ht="15.75" customHeight="1">
      <c r="A161" s="425"/>
      <c r="B161" s="425"/>
      <c r="C161" s="425"/>
      <c r="D161" s="427"/>
      <c r="E161" s="235"/>
      <c r="F161" s="425"/>
      <c r="G161" s="425"/>
      <c r="H161" s="425"/>
      <c r="I161" s="425"/>
      <c r="J161" s="427"/>
      <c r="K161" s="235"/>
      <c r="L161" s="425"/>
      <c r="M161" s="425"/>
      <c r="N161" s="425"/>
      <c r="O161" s="425"/>
      <c r="P161" s="427"/>
      <c r="Q161" s="235"/>
      <c r="R161" s="425"/>
      <c r="S161" s="425"/>
      <c r="T161" s="425"/>
      <c r="U161" s="425"/>
    </row>
    <row r="162" ht="15.75" customHeight="1">
      <c r="A162" s="425"/>
      <c r="B162" s="425"/>
      <c r="C162" s="425"/>
      <c r="D162" s="427"/>
      <c r="E162" s="235"/>
      <c r="F162" s="425"/>
      <c r="G162" s="425"/>
      <c r="H162" s="425"/>
      <c r="I162" s="425"/>
      <c r="J162" s="427"/>
      <c r="K162" s="235"/>
      <c r="L162" s="425"/>
      <c r="M162" s="425"/>
      <c r="N162" s="425"/>
      <c r="O162" s="425"/>
      <c r="P162" s="427"/>
      <c r="Q162" s="235"/>
      <c r="R162" s="425"/>
      <c r="S162" s="425"/>
      <c r="T162" s="425"/>
      <c r="U162" s="425"/>
    </row>
    <row r="163" ht="15.75" customHeight="1">
      <c r="A163" s="425"/>
      <c r="B163" s="425"/>
      <c r="C163" s="425"/>
      <c r="D163" s="427"/>
      <c r="E163" s="235"/>
      <c r="F163" s="425"/>
      <c r="G163" s="425"/>
      <c r="H163" s="425"/>
      <c r="I163" s="425"/>
      <c r="J163" s="427"/>
      <c r="K163" s="235"/>
      <c r="L163" s="425"/>
      <c r="M163" s="425"/>
      <c r="N163" s="425"/>
      <c r="O163" s="425"/>
      <c r="P163" s="427"/>
      <c r="Q163" s="235"/>
      <c r="R163" s="425"/>
      <c r="S163" s="425"/>
      <c r="T163" s="425"/>
      <c r="U163" s="425"/>
    </row>
    <row r="164" ht="15.75" customHeight="1">
      <c r="A164" s="425"/>
      <c r="B164" s="425"/>
      <c r="C164" s="425"/>
      <c r="D164" s="427"/>
      <c r="E164" s="235"/>
      <c r="F164" s="425"/>
      <c r="G164" s="425"/>
      <c r="H164" s="425"/>
      <c r="I164" s="425"/>
      <c r="J164" s="427"/>
      <c r="K164" s="235"/>
      <c r="L164" s="425"/>
      <c r="M164" s="425"/>
      <c r="N164" s="425"/>
      <c r="O164" s="425"/>
      <c r="P164" s="427"/>
      <c r="Q164" s="235"/>
      <c r="R164" s="425"/>
      <c r="S164" s="425"/>
      <c r="T164" s="425"/>
      <c r="U164" s="425"/>
    </row>
    <row r="165" ht="15.75" customHeight="1">
      <c r="A165" s="425"/>
      <c r="B165" s="425"/>
      <c r="C165" s="425"/>
      <c r="D165" s="427"/>
      <c r="E165" s="235"/>
      <c r="F165" s="425"/>
      <c r="G165" s="425"/>
      <c r="H165" s="425"/>
      <c r="I165" s="425"/>
      <c r="J165" s="427"/>
      <c r="K165" s="235"/>
      <c r="L165" s="425"/>
      <c r="M165" s="425"/>
      <c r="N165" s="425"/>
      <c r="O165" s="425"/>
      <c r="P165" s="427"/>
      <c r="Q165" s="235"/>
      <c r="R165" s="425"/>
      <c r="S165" s="425"/>
      <c r="T165" s="425"/>
      <c r="U165" s="425"/>
    </row>
    <row r="166" ht="15.75" customHeight="1">
      <c r="A166" s="425"/>
      <c r="B166" s="425"/>
      <c r="C166" s="425"/>
      <c r="D166" s="427"/>
      <c r="E166" s="235"/>
      <c r="F166" s="425"/>
      <c r="G166" s="425"/>
      <c r="H166" s="425"/>
      <c r="I166" s="425"/>
      <c r="J166" s="427"/>
      <c r="K166" s="235"/>
      <c r="L166" s="425"/>
      <c r="M166" s="425"/>
      <c r="N166" s="425"/>
      <c r="O166" s="425"/>
      <c r="P166" s="427"/>
      <c r="Q166" s="235"/>
      <c r="R166" s="425"/>
      <c r="S166" s="425"/>
      <c r="T166" s="425"/>
      <c r="U166" s="425"/>
    </row>
    <row r="167" ht="15.75" customHeight="1">
      <c r="A167" s="425"/>
      <c r="B167" s="425"/>
      <c r="C167" s="425"/>
      <c r="D167" s="427"/>
      <c r="E167" s="235"/>
      <c r="F167" s="425"/>
      <c r="G167" s="425"/>
      <c r="H167" s="425"/>
      <c r="I167" s="425"/>
      <c r="J167" s="427"/>
      <c r="K167" s="235"/>
      <c r="L167" s="425"/>
      <c r="M167" s="425"/>
      <c r="N167" s="425"/>
      <c r="O167" s="425"/>
      <c r="P167" s="427"/>
      <c r="Q167" s="235"/>
      <c r="R167" s="425"/>
      <c r="S167" s="425"/>
      <c r="T167" s="425"/>
      <c r="U167" s="425"/>
    </row>
    <row r="168" ht="15.75" customHeight="1">
      <c r="A168" s="425"/>
      <c r="B168" s="425"/>
      <c r="C168" s="425"/>
      <c r="D168" s="427"/>
      <c r="E168" s="235"/>
      <c r="F168" s="425"/>
      <c r="G168" s="425"/>
      <c r="H168" s="425"/>
      <c r="I168" s="425"/>
      <c r="J168" s="427"/>
      <c r="K168" s="235"/>
      <c r="L168" s="425"/>
      <c r="M168" s="425"/>
      <c r="N168" s="425"/>
      <c r="O168" s="425"/>
      <c r="P168" s="427"/>
      <c r="Q168" s="235"/>
      <c r="R168" s="425"/>
      <c r="S168" s="425"/>
      <c r="T168" s="425"/>
      <c r="U168" s="425"/>
    </row>
    <row r="169" ht="15.75" customHeight="1">
      <c r="A169" s="425"/>
      <c r="B169" s="425"/>
      <c r="C169" s="425"/>
      <c r="D169" s="427"/>
      <c r="E169" s="235"/>
      <c r="F169" s="425"/>
      <c r="G169" s="425"/>
      <c r="H169" s="425"/>
      <c r="I169" s="425"/>
      <c r="J169" s="427"/>
      <c r="K169" s="235"/>
      <c r="L169" s="425"/>
      <c r="M169" s="425"/>
      <c r="N169" s="425"/>
      <c r="O169" s="425"/>
      <c r="P169" s="427"/>
      <c r="Q169" s="235"/>
      <c r="R169" s="425"/>
      <c r="S169" s="425"/>
      <c r="T169" s="425"/>
      <c r="U169" s="425"/>
    </row>
    <row r="170" ht="15.75" customHeight="1">
      <c r="A170" s="425"/>
      <c r="B170" s="425"/>
      <c r="C170" s="425"/>
      <c r="D170" s="427"/>
      <c r="E170" s="235"/>
      <c r="F170" s="425"/>
      <c r="G170" s="425"/>
      <c r="H170" s="425"/>
      <c r="I170" s="425"/>
      <c r="J170" s="427"/>
      <c r="K170" s="235"/>
      <c r="L170" s="425"/>
      <c r="M170" s="425"/>
      <c r="N170" s="425"/>
      <c r="O170" s="425"/>
      <c r="P170" s="427"/>
      <c r="Q170" s="235"/>
      <c r="R170" s="425"/>
      <c r="S170" s="425"/>
      <c r="T170" s="425"/>
      <c r="U170" s="425"/>
    </row>
    <row r="171" ht="15.75" customHeight="1">
      <c r="A171" s="425"/>
      <c r="B171" s="425"/>
      <c r="C171" s="425"/>
      <c r="D171" s="425"/>
      <c r="E171" s="235"/>
      <c r="F171" s="425"/>
      <c r="G171" s="425"/>
      <c r="H171" s="425"/>
      <c r="I171" s="425"/>
      <c r="J171" s="425"/>
      <c r="K171" s="235"/>
      <c r="L171" s="425"/>
      <c r="M171" s="425"/>
      <c r="N171" s="425"/>
      <c r="O171" s="425"/>
      <c r="P171" s="425"/>
      <c r="Q171" s="235"/>
      <c r="R171" s="425"/>
      <c r="S171" s="425"/>
      <c r="T171" s="425"/>
      <c r="U171" s="425"/>
    </row>
    <row r="172" ht="15.75" customHeight="1">
      <c r="A172" s="425"/>
      <c r="B172" s="425"/>
      <c r="C172" s="425"/>
      <c r="D172" s="425"/>
      <c r="E172" s="235"/>
      <c r="F172" s="425"/>
      <c r="G172" s="425"/>
      <c r="H172" s="425"/>
      <c r="I172" s="425"/>
      <c r="J172" s="425"/>
      <c r="K172" s="235"/>
      <c r="L172" s="425"/>
      <c r="M172" s="425"/>
      <c r="N172" s="425"/>
      <c r="O172" s="425"/>
      <c r="P172" s="425"/>
      <c r="Q172" s="235"/>
      <c r="R172" s="425"/>
      <c r="S172" s="425"/>
      <c r="T172" s="425"/>
      <c r="U172" s="425"/>
    </row>
    <row r="173" ht="15.75" customHeight="1">
      <c r="A173" s="425"/>
      <c r="B173" s="425"/>
      <c r="C173" s="425"/>
      <c r="D173" s="425"/>
      <c r="E173" s="235"/>
      <c r="F173" s="425"/>
      <c r="G173" s="425"/>
      <c r="H173" s="425"/>
      <c r="I173" s="425"/>
      <c r="J173" s="425"/>
      <c r="K173" s="235"/>
      <c r="L173" s="425"/>
      <c r="M173" s="425"/>
      <c r="N173" s="425"/>
      <c r="O173" s="425"/>
      <c r="P173" s="425"/>
      <c r="Q173" s="235"/>
      <c r="R173" s="425"/>
      <c r="S173" s="425"/>
      <c r="T173" s="425"/>
      <c r="U173" s="425"/>
    </row>
    <row r="174" ht="15.75" customHeight="1">
      <c r="A174" s="425"/>
      <c r="B174" s="425"/>
      <c r="C174" s="425"/>
      <c r="D174" s="425"/>
      <c r="E174" s="235"/>
      <c r="F174" s="425"/>
      <c r="G174" s="425"/>
      <c r="H174" s="425"/>
      <c r="I174" s="425"/>
      <c r="J174" s="425"/>
      <c r="K174" s="235"/>
      <c r="L174" s="425"/>
      <c r="M174" s="425"/>
      <c r="N174" s="425"/>
      <c r="O174" s="425"/>
      <c r="P174" s="425"/>
      <c r="Q174" s="235"/>
      <c r="R174" s="425"/>
      <c r="S174" s="425"/>
      <c r="T174" s="425"/>
      <c r="U174" s="425"/>
    </row>
    <row r="175" ht="15.75" customHeight="1">
      <c r="A175" s="425"/>
      <c r="B175" s="425"/>
      <c r="C175" s="425"/>
      <c r="D175" s="425"/>
      <c r="E175" s="235"/>
      <c r="F175" s="425"/>
      <c r="G175" s="425"/>
      <c r="H175" s="425"/>
      <c r="I175" s="425"/>
      <c r="J175" s="425"/>
      <c r="K175" s="235"/>
      <c r="L175" s="425"/>
      <c r="M175" s="425"/>
      <c r="N175" s="425"/>
      <c r="O175" s="425"/>
      <c r="P175" s="425"/>
      <c r="Q175" s="235"/>
      <c r="R175" s="425"/>
      <c r="S175" s="425"/>
      <c r="T175" s="425"/>
      <c r="U175" s="425"/>
    </row>
    <row r="176" ht="15.75" customHeight="1">
      <c r="A176" s="425"/>
      <c r="B176" s="425"/>
      <c r="C176" s="425"/>
      <c r="D176" s="425"/>
      <c r="E176" s="235"/>
      <c r="F176" s="425"/>
      <c r="G176" s="425"/>
      <c r="H176" s="425"/>
      <c r="I176" s="425"/>
      <c r="J176" s="425"/>
      <c r="K176" s="235"/>
      <c r="L176" s="425"/>
      <c r="M176" s="425"/>
      <c r="N176" s="425"/>
      <c r="O176" s="425"/>
      <c r="P176" s="425"/>
      <c r="Q176" s="235"/>
      <c r="R176" s="425"/>
      <c r="S176" s="425"/>
      <c r="T176" s="425"/>
      <c r="U176" s="425"/>
    </row>
    <row r="177" ht="15.75" customHeight="1">
      <c r="A177" s="425"/>
      <c r="B177" s="425"/>
      <c r="C177" s="425"/>
      <c r="D177" s="425"/>
      <c r="E177" s="235"/>
      <c r="F177" s="425"/>
      <c r="G177" s="425"/>
      <c r="H177" s="425"/>
      <c r="I177" s="425"/>
      <c r="J177" s="425"/>
      <c r="K177" s="235"/>
      <c r="L177" s="425"/>
      <c r="M177" s="425"/>
      <c r="N177" s="425"/>
      <c r="O177" s="425"/>
      <c r="P177" s="425"/>
      <c r="Q177" s="235"/>
      <c r="R177" s="425"/>
      <c r="S177" s="425"/>
      <c r="T177" s="425"/>
      <c r="U177" s="425"/>
    </row>
    <row r="178" ht="15.75" customHeight="1">
      <c r="A178" s="425"/>
      <c r="B178" s="425"/>
      <c r="C178" s="425"/>
      <c r="D178" s="425"/>
      <c r="E178" s="235"/>
      <c r="F178" s="425"/>
      <c r="G178" s="425"/>
      <c r="H178" s="425"/>
      <c r="I178" s="425"/>
      <c r="J178" s="425"/>
      <c r="K178" s="235"/>
      <c r="L178" s="425"/>
      <c r="M178" s="425"/>
      <c r="N178" s="425"/>
      <c r="O178" s="425"/>
      <c r="P178" s="425"/>
      <c r="Q178" s="235"/>
      <c r="R178" s="425"/>
      <c r="S178" s="425"/>
      <c r="T178" s="425"/>
      <c r="U178" s="425"/>
    </row>
    <row r="179" ht="15.75" customHeight="1">
      <c r="A179" s="425"/>
      <c r="B179" s="425"/>
      <c r="C179" s="425"/>
      <c r="D179" s="425"/>
      <c r="E179" s="235"/>
      <c r="F179" s="425"/>
      <c r="G179" s="425"/>
      <c r="H179" s="425"/>
      <c r="I179" s="425"/>
      <c r="J179" s="425"/>
      <c r="K179" s="235"/>
      <c r="L179" s="425"/>
      <c r="M179" s="425"/>
      <c r="N179" s="425"/>
      <c r="O179" s="425"/>
      <c r="P179" s="425"/>
      <c r="Q179" s="235"/>
      <c r="R179" s="425"/>
      <c r="S179" s="425"/>
      <c r="T179" s="425"/>
      <c r="U179" s="425"/>
    </row>
    <row r="180" ht="15.75" customHeight="1">
      <c r="A180" s="425"/>
      <c r="B180" s="425"/>
      <c r="C180" s="425"/>
      <c r="D180" s="425"/>
      <c r="E180" s="235"/>
      <c r="F180" s="425"/>
      <c r="G180" s="425"/>
      <c r="H180" s="425"/>
      <c r="I180" s="425"/>
      <c r="J180" s="425"/>
      <c r="K180" s="235"/>
      <c r="L180" s="425"/>
      <c r="M180" s="425"/>
      <c r="N180" s="425"/>
      <c r="O180" s="425"/>
      <c r="P180" s="425"/>
      <c r="Q180" s="235"/>
      <c r="R180" s="425"/>
      <c r="S180" s="425"/>
      <c r="T180" s="425"/>
      <c r="U180" s="425"/>
    </row>
    <row r="181" ht="15.75" customHeight="1">
      <c r="A181" s="425"/>
      <c r="B181" s="425"/>
      <c r="C181" s="425"/>
      <c r="D181" s="425"/>
      <c r="E181" s="235"/>
      <c r="F181" s="425"/>
      <c r="G181" s="425"/>
      <c r="H181" s="425"/>
      <c r="I181" s="425"/>
      <c r="J181" s="425"/>
      <c r="K181" s="235"/>
      <c r="L181" s="425"/>
      <c r="M181" s="425"/>
      <c r="N181" s="425"/>
      <c r="O181" s="425"/>
      <c r="P181" s="425"/>
      <c r="Q181" s="235"/>
      <c r="R181" s="425"/>
      <c r="S181" s="425"/>
      <c r="T181" s="425"/>
      <c r="U181" s="425"/>
    </row>
    <row r="182" ht="15.75" customHeight="1">
      <c r="A182" s="425"/>
      <c r="B182" s="425"/>
      <c r="C182" s="425"/>
      <c r="D182" s="425"/>
      <c r="E182" s="235"/>
      <c r="F182" s="425"/>
      <c r="G182" s="425"/>
      <c r="H182" s="425"/>
      <c r="I182" s="425"/>
      <c r="J182" s="425"/>
      <c r="K182" s="235"/>
      <c r="L182" s="425"/>
      <c r="M182" s="425"/>
      <c r="N182" s="425"/>
      <c r="O182" s="425"/>
      <c r="P182" s="425"/>
      <c r="Q182" s="235"/>
      <c r="R182" s="425"/>
      <c r="S182" s="425"/>
      <c r="T182" s="425"/>
      <c r="U182" s="425"/>
    </row>
    <row r="183" ht="15.75" customHeight="1">
      <c r="A183" s="425"/>
      <c r="B183" s="425"/>
      <c r="C183" s="425"/>
      <c r="D183" s="425"/>
      <c r="E183" s="235"/>
      <c r="F183" s="425"/>
      <c r="G183" s="425"/>
      <c r="H183" s="425"/>
      <c r="I183" s="425"/>
      <c r="J183" s="425"/>
      <c r="K183" s="235"/>
      <c r="L183" s="425"/>
      <c r="M183" s="425"/>
      <c r="N183" s="425"/>
      <c r="O183" s="425"/>
      <c r="P183" s="425"/>
      <c r="Q183" s="235"/>
      <c r="R183" s="425"/>
      <c r="S183" s="425"/>
      <c r="T183" s="425"/>
      <c r="U183" s="425"/>
    </row>
    <row r="184" ht="15.75" customHeight="1">
      <c r="A184" s="425"/>
      <c r="B184" s="425"/>
      <c r="C184" s="425"/>
      <c r="D184" s="425"/>
      <c r="E184" s="235"/>
      <c r="F184" s="425"/>
      <c r="G184" s="425"/>
      <c r="H184" s="425"/>
      <c r="I184" s="425"/>
      <c r="J184" s="425"/>
      <c r="K184" s="235"/>
      <c r="L184" s="425"/>
      <c r="M184" s="425"/>
      <c r="N184" s="425"/>
      <c r="O184" s="425"/>
      <c r="P184" s="425"/>
      <c r="Q184" s="235"/>
      <c r="R184" s="425"/>
      <c r="S184" s="425"/>
      <c r="T184" s="425"/>
      <c r="U184" s="425"/>
    </row>
    <row r="185" ht="15.75" customHeight="1">
      <c r="A185" s="425"/>
      <c r="B185" s="425"/>
      <c r="C185" s="425"/>
      <c r="D185" s="425"/>
      <c r="E185" s="235"/>
      <c r="F185" s="425"/>
      <c r="G185" s="425"/>
      <c r="H185" s="425"/>
      <c r="I185" s="425"/>
      <c r="J185" s="425"/>
      <c r="K185" s="235"/>
      <c r="L185" s="425"/>
      <c r="M185" s="425"/>
      <c r="N185" s="425"/>
      <c r="O185" s="425"/>
      <c r="P185" s="425"/>
      <c r="Q185" s="235"/>
      <c r="R185" s="425"/>
      <c r="S185" s="425"/>
      <c r="T185" s="425"/>
      <c r="U185" s="425"/>
    </row>
    <row r="186" ht="15.75" customHeight="1">
      <c r="A186" s="425"/>
      <c r="B186" s="425"/>
      <c r="C186" s="425"/>
      <c r="D186" s="425"/>
      <c r="E186" s="235"/>
      <c r="F186" s="425"/>
      <c r="G186" s="425"/>
      <c r="H186" s="425"/>
      <c r="I186" s="425"/>
      <c r="J186" s="425"/>
      <c r="K186" s="235"/>
      <c r="L186" s="425"/>
      <c r="M186" s="425"/>
      <c r="N186" s="425"/>
      <c r="O186" s="425"/>
      <c r="P186" s="425"/>
      <c r="Q186" s="235"/>
      <c r="R186" s="425"/>
      <c r="S186" s="425"/>
      <c r="T186" s="425"/>
      <c r="U186" s="425"/>
    </row>
    <row r="187" ht="15.75" customHeight="1">
      <c r="A187" s="425"/>
      <c r="B187" s="425"/>
      <c r="C187" s="425"/>
      <c r="D187" s="425"/>
      <c r="E187" s="235"/>
      <c r="F187" s="425"/>
      <c r="G187" s="425"/>
      <c r="H187" s="425"/>
      <c r="I187" s="425"/>
      <c r="J187" s="425"/>
      <c r="K187" s="235"/>
      <c r="L187" s="425"/>
      <c r="M187" s="425"/>
      <c r="N187" s="425"/>
      <c r="O187" s="425"/>
      <c r="P187" s="425"/>
      <c r="Q187" s="235"/>
      <c r="R187" s="425"/>
      <c r="S187" s="425"/>
      <c r="T187" s="425"/>
      <c r="U187" s="425"/>
    </row>
    <row r="188" ht="15.75" customHeight="1">
      <c r="A188" s="425"/>
      <c r="B188" s="425"/>
      <c r="C188" s="425"/>
      <c r="D188" s="425"/>
      <c r="E188" s="235"/>
      <c r="F188" s="425"/>
      <c r="G188" s="425"/>
      <c r="H188" s="425"/>
      <c r="I188" s="425"/>
      <c r="J188" s="425"/>
      <c r="K188" s="235"/>
      <c r="L188" s="425"/>
      <c r="M188" s="425"/>
      <c r="N188" s="425"/>
      <c r="O188" s="425"/>
      <c r="P188" s="425"/>
      <c r="Q188" s="235"/>
      <c r="R188" s="425"/>
      <c r="S188" s="425"/>
      <c r="T188" s="425"/>
      <c r="U188" s="425"/>
    </row>
    <row r="189" ht="15.75" customHeight="1">
      <c r="A189" s="425"/>
      <c r="B189" s="425"/>
      <c r="C189" s="425"/>
      <c r="D189" s="425"/>
      <c r="E189" s="235"/>
      <c r="F189" s="425"/>
      <c r="G189" s="425"/>
      <c r="H189" s="425"/>
      <c r="I189" s="425"/>
      <c r="J189" s="425"/>
      <c r="K189" s="235"/>
      <c r="L189" s="425"/>
      <c r="M189" s="425"/>
      <c r="N189" s="425"/>
      <c r="O189" s="425"/>
      <c r="P189" s="425"/>
      <c r="Q189" s="235"/>
      <c r="R189" s="425"/>
      <c r="S189" s="425"/>
      <c r="T189" s="425"/>
      <c r="U189" s="425"/>
    </row>
    <row r="190" ht="15.75" customHeight="1">
      <c r="A190" s="425"/>
      <c r="B190" s="425"/>
      <c r="C190" s="425"/>
      <c r="D190" s="425"/>
      <c r="E190" s="235"/>
      <c r="F190" s="425"/>
      <c r="G190" s="425"/>
      <c r="H190" s="425"/>
      <c r="I190" s="425"/>
      <c r="J190" s="425"/>
      <c r="K190" s="235"/>
      <c r="L190" s="425"/>
      <c r="M190" s="425"/>
      <c r="N190" s="425"/>
      <c r="O190" s="425"/>
      <c r="P190" s="425"/>
      <c r="Q190" s="235"/>
      <c r="R190" s="425"/>
      <c r="S190" s="425"/>
      <c r="T190" s="425"/>
      <c r="U190" s="425"/>
    </row>
    <row r="191" ht="15.75" customHeight="1">
      <c r="A191" s="425"/>
      <c r="B191" s="425"/>
      <c r="C191" s="425"/>
      <c r="D191" s="425"/>
      <c r="E191" s="235"/>
      <c r="F191" s="425"/>
      <c r="G191" s="425"/>
      <c r="H191" s="425"/>
      <c r="I191" s="425"/>
      <c r="J191" s="425"/>
      <c r="K191" s="235"/>
      <c r="L191" s="425"/>
      <c r="M191" s="425"/>
      <c r="N191" s="425"/>
      <c r="O191" s="425"/>
      <c r="P191" s="425"/>
      <c r="Q191" s="235"/>
      <c r="R191" s="425"/>
      <c r="S191" s="425"/>
      <c r="T191" s="425"/>
      <c r="U191" s="425"/>
    </row>
    <row r="192" ht="15.75" customHeight="1">
      <c r="A192" s="425"/>
      <c r="B192" s="425"/>
      <c r="C192" s="425"/>
      <c r="D192" s="425"/>
      <c r="E192" s="235"/>
      <c r="F192" s="425"/>
      <c r="G192" s="425"/>
      <c r="H192" s="425"/>
      <c r="I192" s="425"/>
      <c r="J192" s="425"/>
      <c r="K192" s="235"/>
      <c r="L192" s="425"/>
      <c r="M192" s="425"/>
      <c r="N192" s="425"/>
      <c r="O192" s="425"/>
      <c r="P192" s="425"/>
      <c r="Q192" s="235"/>
      <c r="R192" s="425"/>
      <c r="S192" s="425"/>
      <c r="T192" s="425"/>
      <c r="U192" s="425"/>
    </row>
    <row r="193" ht="15.75" customHeight="1">
      <c r="A193" s="425"/>
      <c r="B193" s="425"/>
      <c r="C193" s="425"/>
      <c r="D193" s="425"/>
      <c r="E193" s="235"/>
      <c r="F193" s="425"/>
      <c r="G193" s="425"/>
      <c r="H193" s="425"/>
      <c r="I193" s="425"/>
      <c r="J193" s="425"/>
      <c r="K193" s="235"/>
      <c r="L193" s="425"/>
      <c r="M193" s="425"/>
      <c r="N193" s="425"/>
      <c r="O193" s="425"/>
      <c r="P193" s="425"/>
      <c r="Q193" s="235"/>
      <c r="R193" s="425"/>
      <c r="S193" s="425"/>
      <c r="T193" s="425"/>
      <c r="U193" s="425"/>
    </row>
    <row r="194" ht="15.75" customHeight="1">
      <c r="A194" s="425"/>
      <c r="B194" s="425"/>
      <c r="C194" s="425"/>
      <c r="D194" s="425"/>
      <c r="E194" s="235"/>
      <c r="F194" s="425"/>
      <c r="G194" s="425"/>
      <c r="H194" s="425"/>
      <c r="I194" s="425"/>
      <c r="J194" s="425"/>
      <c r="K194" s="235"/>
      <c r="L194" s="425"/>
      <c r="M194" s="425"/>
      <c r="N194" s="425"/>
      <c r="O194" s="425"/>
      <c r="P194" s="425"/>
      <c r="Q194" s="235"/>
      <c r="R194" s="425"/>
      <c r="S194" s="425"/>
      <c r="T194" s="425"/>
      <c r="U194" s="425"/>
    </row>
    <row r="195" ht="15.75" customHeight="1">
      <c r="A195" s="425"/>
      <c r="B195" s="425"/>
      <c r="C195" s="425"/>
      <c r="D195" s="425"/>
      <c r="E195" s="235"/>
      <c r="F195" s="425"/>
      <c r="G195" s="425"/>
      <c r="H195" s="425"/>
      <c r="I195" s="425"/>
      <c r="J195" s="425"/>
      <c r="K195" s="235"/>
      <c r="L195" s="425"/>
      <c r="M195" s="425"/>
      <c r="N195" s="425"/>
      <c r="O195" s="425"/>
      <c r="P195" s="425"/>
      <c r="Q195" s="235"/>
      <c r="R195" s="425"/>
      <c r="S195" s="425"/>
      <c r="T195" s="425"/>
      <c r="U195" s="425"/>
    </row>
    <row r="196" ht="15.75" customHeight="1">
      <c r="A196" s="425"/>
      <c r="B196" s="425"/>
      <c r="C196" s="425"/>
      <c r="D196" s="425"/>
      <c r="E196" s="235"/>
      <c r="F196" s="425"/>
      <c r="G196" s="425"/>
      <c r="H196" s="425"/>
      <c r="I196" s="425"/>
      <c r="J196" s="425"/>
      <c r="K196" s="235"/>
      <c r="L196" s="425"/>
      <c r="M196" s="425"/>
      <c r="N196" s="425"/>
      <c r="O196" s="425"/>
      <c r="P196" s="425"/>
      <c r="Q196" s="235"/>
      <c r="R196" s="425"/>
      <c r="S196" s="425"/>
      <c r="T196" s="425"/>
      <c r="U196" s="425"/>
    </row>
    <row r="197" ht="15.75" customHeight="1">
      <c r="A197" s="425"/>
      <c r="B197" s="425"/>
      <c r="C197" s="425"/>
      <c r="D197" s="425"/>
      <c r="E197" s="235"/>
      <c r="F197" s="425"/>
      <c r="G197" s="425"/>
      <c r="H197" s="425"/>
      <c r="I197" s="425"/>
      <c r="J197" s="425"/>
      <c r="K197" s="235"/>
      <c r="L197" s="425"/>
      <c r="M197" s="425"/>
      <c r="N197" s="425"/>
      <c r="O197" s="425"/>
      <c r="P197" s="425"/>
      <c r="Q197" s="235"/>
      <c r="R197" s="425"/>
      <c r="S197" s="425"/>
      <c r="T197" s="425"/>
      <c r="U197" s="425"/>
    </row>
    <row r="198" ht="15.75" customHeight="1">
      <c r="A198" s="425"/>
      <c r="B198" s="425"/>
      <c r="C198" s="425"/>
      <c r="D198" s="425"/>
      <c r="E198" s="235"/>
      <c r="F198" s="425"/>
      <c r="G198" s="425"/>
      <c r="H198" s="425"/>
      <c r="I198" s="425"/>
      <c r="J198" s="425"/>
      <c r="K198" s="235"/>
      <c r="L198" s="425"/>
      <c r="M198" s="425"/>
      <c r="N198" s="425"/>
      <c r="O198" s="425"/>
      <c r="P198" s="425"/>
      <c r="Q198" s="235"/>
      <c r="R198" s="425"/>
      <c r="S198" s="425"/>
      <c r="T198" s="425"/>
      <c r="U198" s="425"/>
    </row>
    <row r="199" ht="15.75" customHeight="1">
      <c r="A199" s="425"/>
      <c r="B199" s="425"/>
      <c r="C199" s="425"/>
      <c r="D199" s="425"/>
      <c r="E199" s="235"/>
      <c r="F199" s="425"/>
      <c r="G199" s="425"/>
      <c r="H199" s="425"/>
      <c r="I199" s="425"/>
      <c r="J199" s="425"/>
      <c r="K199" s="235"/>
      <c r="L199" s="425"/>
      <c r="M199" s="425"/>
      <c r="N199" s="425"/>
      <c r="O199" s="425"/>
      <c r="P199" s="425"/>
      <c r="Q199" s="235"/>
      <c r="R199" s="425"/>
      <c r="S199" s="425"/>
      <c r="T199" s="425"/>
      <c r="U199" s="425"/>
    </row>
    <row r="200" ht="15.75" customHeight="1">
      <c r="A200" s="425"/>
      <c r="B200" s="425"/>
      <c r="C200" s="425"/>
      <c r="D200" s="425"/>
      <c r="E200" s="235"/>
      <c r="F200" s="425"/>
      <c r="G200" s="425"/>
      <c r="H200" s="425"/>
      <c r="I200" s="425"/>
      <c r="J200" s="425"/>
      <c r="K200" s="235"/>
      <c r="L200" s="425"/>
      <c r="M200" s="425"/>
      <c r="N200" s="425"/>
      <c r="O200" s="425"/>
      <c r="P200" s="425"/>
      <c r="Q200" s="235"/>
      <c r="R200" s="425"/>
      <c r="S200" s="425"/>
      <c r="T200" s="425"/>
      <c r="U200" s="425"/>
    </row>
    <row r="201" ht="15.75" customHeight="1">
      <c r="A201" s="425"/>
      <c r="B201" s="425"/>
      <c r="C201" s="425"/>
      <c r="D201" s="425"/>
      <c r="E201" s="235"/>
      <c r="F201" s="425"/>
      <c r="G201" s="425"/>
      <c r="H201" s="425"/>
      <c r="I201" s="425"/>
      <c r="J201" s="425"/>
      <c r="K201" s="235"/>
      <c r="L201" s="425"/>
      <c r="M201" s="425"/>
      <c r="N201" s="425"/>
      <c r="O201" s="425"/>
      <c r="P201" s="425"/>
      <c r="Q201" s="235"/>
      <c r="R201" s="425"/>
      <c r="S201" s="425"/>
      <c r="T201" s="425"/>
      <c r="U201" s="425"/>
    </row>
    <row r="202" ht="15.75" customHeight="1">
      <c r="A202" s="425"/>
      <c r="B202" s="425"/>
      <c r="C202" s="425"/>
      <c r="D202" s="425"/>
      <c r="E202" s="235"/>
      <c r="F202" s="425"/>
      <c r="G202" s="425"/>
      <c r="H202" s="425"/>
      <c r="I202" s="425"/>
      <c r="J202" s="425"/>
      <c r="K202" s="235"/>
      <c r="L202" s="425"/>
      <c r="M202" s="425"/>
      <c r="N202" s="425"/>
      <c r="O202" s="425"/>
      <c r="P202" s="425"/>
      <c r="Q202" s="235"/>
      <c r="R202" s="425"/>
      <c r="S202" s="425"/>
      <c r="T202" s="425"/>
      <c r="U202" s="425"/>
    </row>
    <row r="203" ht="15.75" customHeight="1">
      <c r="A203" s="425"/>
      <c r="B203" s="425"/>
      <c r="C203" s="425"/>
      <c r="D203" s="425"/>
      <c r="E203" s="235"/>
      <c r="F203" s="425"/>
      <c r="G203" s="425"/>
      <c r="H203" s="425"/>
      <c r="I203" s="425"/>
      <c r="J203" s="425"/>
      <c r="K203" s="235"/>
      <c r="L203" s="425"/>
      <c r="M203" s="425"/>
      <c r="N203" s="425"/>
      <c r="O203" s="425"/>
      <c r="P203" s="425"/>
      <c r="Q203" s="235"/>
      <c r="R203" s="425"/>
      <c r="S203" s="425"/>
      <c r="T203" s="425"/>
      <c r="U203" s="425"/>
    </row>
    <row r="204" ht="15.75" customHeight="1">
      <c r="A204" s="425"/>
      <c r="B204" s="425"/>
      <c r="C204" s="425"/>
      <c r="D204" s="425"/>
      <c r="E204" s="235"/>
      <c r="F204" s="425"/>
      <c r="G204" s="425"/>
      <c r="H204" s="425"/>
      <c r="I204" s="425"/>
      <c r="J204" s="425"/>
      <c r="K204" s="235"/>
      <c r="L204" s="425"/>
      <c r="M204" s="425"/>
      <c r="N204" s="425"/>
      <c r="O204" s="425"/>
      <c r="P204" s="425"/>
      <c r="Q204" s="235"/>
      <c r="R204" s="425"/>
      <c r="S204" s="425"/>
      <c r="T204" s="425"/>
      <c r="U204" s="425"/>
    </row>
    <row r="205" ht="15.75" customHeight="1">
      <c r="A205" s="425"/>
      <c r="B205" s="425"/>
      <c r="C205" s="425"/>
      <c r="D205" s="425"/>
      <c r="E205" s="235"/>
      <c r="F205" s="425"/>
      <c r="G205" s="425"/>
      <c r="H205" s="425"/>
      <c r="I205" s="425"/>
      <c r="J205" s="425"/>
      <c r="K205" s="235"/>
      <c r="L205" s="425"/>
      <c r="M205" s="425"/>
      <c r="N205" s="425"/>
      <c r="O205" s="425"/>
      <c r="P205" s="425"/>
      <c r="Q205" s="235"/>
      <c r="R205" s="425"/>
      <c r="S205" s="425"/>
      <c r="T205" s="425"/>
      <c r="U205" s="425"/>
    </row>
    <row r="206" ht="15.75" customHeight="1">
      <c r="A206" s="425"/>
      <c r="B206" s="425"/>
      <c r="C206" s="425"/>
      <c r="D206" s="425"/>
      <c r="E206" s="235"/>
      <c r="F206" s="425"/>
      <c r="G206" s="425"/>
      <c r="H206" s="425"/>
      <c r="I206" s="425"/>
      <c r="J206" s="425"/>
      <c r="K206" s="235"/>
      <c r="L206" s="425"/>
      <c r="M206" s="425"/>
      <c r="N206" s="425"/>
      <c r="O206" s="425"/>
      <c r="P206" s="425"/>
      <c r="Q206" s="235"/>
      <c r="R206" s="425"/>
      <c r="S206" s="425"/>
      <c r="T206" s="425"/>
      <c r="U206" s="425"/>
    </row>
    <row r="207" ht="15.75" customHeight="1">
      <c r="A207" s="425"/>
      <c r="B207" s="425"/>
      <c r="C207" s="425"/>
      <c r="D207" s="425"/>
      <c r="E207" s="235"/>
      <c r="F207" s="425"/>
      <c r="G207" s="425"/>
      <c r="H207" s="425"/>
      <c r="I207" s="425"/>
      <c r="J207" s="425"/>
      <c r="K207" s="235"/>
      <c r="L207" s="425"/>
      <c r="M207" s="425"/>
      <c r="N207" s="425"/>
      <c r="O207" s="425"/>
      <c r="P207" s="425"/>
      <c r="Q207" s="235"/>
      <c r="R207" s="425"/>
      <c r="S207" s="425"/>
      <c r="T207" s="425"/>
      <c r="U207" s="425"/>
    </row>
    <row r="208" ht="15.75" customHeight="1">
      <c r="A208" s="425"/>
      <c r="B208" s="425"/>
      <c r="C208" s="425"/>
      <c r="D208" s="425"/>
      <c r="E208" s="235"/>
      <c r="F208" s="425"/>
      <c r="G208" s="425"/>
      <c r="H208" s="425"/>
      <c r="I208" s="425"/>
      <c r="J208" s="425"/>
      <c r="K208" s="235"/>
      <c r="L208" s="425"/>
      <c r="M208" s="425"/>
      <c r="N208" s="425"/>
      <c r="O208" s="425"/>
      <c r="P208" s="425"/>
      <c r="Q208" s="235"/>
      <c r="R208" s="425"/>
      <c r="S208" s="425"/>
      <c r="T208" s="425"/>
      <c r="U208" s="425"/>
    </row>
    <row r="209" ht="15.75" customHeight="1">
      <c r="A209" s="425"/>
      <c r="B209" s="425"/>
      <c r="C209" s="425"/>
      <c r="D209" s="425"/>
      <c r="E209" s="235"/>
      <c r="F209" s="425"/>
      <c r="G209" s="425"/>
      <c r="H209" s="425"/>
      <c r="I209" s="425"/>
      <c r="J209" s="425"/>
      <c r="K209" s="235"/>
      <c r="L209" s="425"/>
      <c r="M209" s="425"/>
      <c r="N209" s="425"/>
      <c r="O209" s="425"/>
      <c r="P209" s="425"/>
      <c r="Q209" s="235"/>
      <c r="R209" s="425"/>
      <c r="S209" s="425"/>
      <c r="T209" s="425"/>
      <c r="U209" s="425"/>
    </row>
    <row r="210" ht="15.75" customHeight="1">
      <c r="A210" s="425"/>
      <c r="B210" s="425"/>
      <c r="C210" s="425"/>
      <c r="D210" s="425"/>
      <c r="E210" s="235"/>
      <c r="F210" s="425"/>
      <c r="G210" s="425"/>
      <c r="H210" s="425"/>
      <c r="I210" s="425"/>
      <c r="J210" s="425"/>
      <c r="K210" s="235"/>
      <c r="L210" s="425"/>
      <c r="M210" s="425"/>
      <c r="N210" s="425"/>
      <c r="O210" s="425"/>
      <c r="P210" s="425"/>
      <c r="Q210" s="235"/>
      <c r="R210" s="425"/>
      <c r="S210" s="425"/>
      <c r="T210" s="425"/>
      <c r="U210" s="425"/>
    </row>
    <row r="211" ht="15.75" customHeight="1">
      <c r="A211" s="425"/>
      <c r="B211" s="425"/>
      <c r="C211" s="425"/>
      <c r="D211" s="425"/>
      <c r="E211" s="235"/>
      <c r="F211" s="425"/>
      <c r="G211" s="425"/>
      <c r="H211" s="425"/>
      <c r="I211" s="425"/>
      <c r="J211" s="425"/>
      <c r="K211" s="235"/>
      <c r="L211" s="425"/>
      <c r="M211" s="425"/>
      <c r="N211" s="425"/>
      <c r="O211" s="425"/>
      <c r="P211" s="425"/>
      <c r="Q211" s="235"/>
      <c r="R211" s="425"/>
      <c r="S211" s="425"/>
      <c r="T211" s="425"/>
      <c r="U211" s="425"/>
    </row>
    <row r="212" ht="15.75" customHeight="1">
      <c r="A212" s="425"/>
      <c r="B212" s="425"/>
      <c r="C212" s="425"/>
      <c r="D212" s="425"/>
      <c r="E212" s="235"/>
      <c r="F212" s="425"/>
      <c r="G212" s="425"/>
      <c r="H212" s="425"/>
      <c r="I212" s="425"/>
      <c r="J212" s="425"/>
      <c r="K212" s="235"/>
      <c r="L212" s="425"/>
      <c r="M212" s="425"/>
      <c r="N212" s="425"/>
      <c r="O212" s="425"/>
      <c r="P212" s="425"/>
      <c r="Q212" s="235"/>
      <c r="R212" s="425"/>
      <c r="S212" s="425"/>
      <c r="T212" s="425"/>
      <c r="U212" s="425"/>
    </row>
    <row r="213" ht="15.75" customHeight="1">
      <c r="A213" s="425"/>
      <c r="B213" s="425"/>
      <c r="C213" s="425"/>
      <c r="D213" s="425"/>
      <c r="E213" s="235"/>
      <c r="F213" s="425"/>
      <c r="G213" s="425"/>
      <c r="H213" s="425"/>
      <c r="I213" s="425"/>
      <c r="J213" s="425"/>
      <c r="K213" s="235"/>
      <c r="L213" s="425"/>
      <c r="M213" s="425"/>
      <c r="N213" s="425"/>
      <c r="O213" s="425"/>
      <c r="P213" s="425"/>
      <c r="Q213" s="235"/>
      <c r="R213" s="425"/>
      <c r="S213" s="425"/>
      <c r="T213" s="425"/>
      <c r="U213" s="425"/>
    </row>
    <row r="214" ht="15.75" customHeight="1">
      <c r="A214" s="425"/>
      <c r="B214" s="425"/>
      <c r="C214" s="425"/>
      <c r="D214" s="425"/>
      <c r="E214" s="235"/>
      <c r="F214" s="425"/>
      <c r="G214" s="425"/>
      <c r="H214" s="425"/>
      <c r="I214" s="425"/>
      <c r="J214" s="425"/>
      <c r="K214" s="235"/>
      <c r="L214" s="425"/>
      <c r="M214" s="425"/>
      <c r="N214" s="425"/>
      <c r="O214" s="425"/>
      <c r="P214" s="425"/>
      <c r="Q214" s="235"/>
      <c r="R214" s="425"/>
      <c r="S214" s="425"/>
      <c r="T214" s="425"/>
      <c r="U214" s="425"/>
    </row>
    <row r="215" ht="15.75" customHeight="1">
      <c r="A215" s="425"/>
      <c r="B215" s="425"/>
      <c r="C215" s="425"/>
      <c r="D215" s="425"/>
      <c r="E215" s="235"/>
      <c r="F215" s="425"/>
      <c r="G215" s="425"/>
      <c r="H215" s="425"/>
      <c r="I215" s="425"/>
      <c r="J215" s="425"/>
      <c r="K215" s="235"/>
      <c r="L215" s="425"/>
      <c r="M215" s="425"/>
      <c r="N215" s="425"/>
      <c r="O215" s="425"/>
      <c r="P215" s="425"/>
      <c r="Q215" s="235"/>
      <c r="R215" s="425"/>
      <c r="S215" s="425"/>
      <c r="T215" s="425"/>
      <c r="U215" s="425"/>
    </row>
    <row r="216" ht="15.75" customHeight="1">
      <c r="A216" s="425"/>
      <c r="B216" s="425"/>
      <c r="C216" s="425"/>
      <c r="D216" s="425"/>
      <c r="E216" s="235"/>
      <c r="F216" s="425"/>
      <c r="G216" s="425"/>
      <c r="H216" s="425"/>
      <c r="I216" s="425"/>
      <c r="J216" s="425"/>
      <c r="K216" s="235"/>
      <c r="L216" s="425"/>
      <c r="M216" s="425"/>
      <c r="N216" s="425"/>
      <c r="O216" s="425"/>
      <c r="P216" s="425"/>
      <c r="Q216" s="235"/>
      <c r="R216" s="425"/>
      <c r="S216" s="425"/>
      <c r="T216" s="425"/>
      <c r="U216" s="425"/>
    </row>
    <row r="217" ht="15.75" customHeight="1">
      <c r="A217" s="425"/>
      <c r="B217" s="425"/>
      <c r="C217" s="425"/>
      <c r="D217" s="425"/>
      <c r="E217" s="235"/>
      <c r="F217" s="425"/>
      <c r="G217" s="425"/>
      <c r="H217" s="425"/>
      <c r="I217" s="425"/>
      <c r="J217" s="425"/>
      <c r="K217" s="235"/>
      <c r="L217" s="425"/>
      <c r="M217" s="425"/>
      <c r="N217" s="425"/>
      <c r="O217" s="425"/>
      <c r="P217" s="425"/>
      <c r="Q217" s="235"/>
      <c r="R217" s="425"/>
      <c r="S217" s="425"/>
      <c r="T217" s="425"/>
      <c r="U217" s="425"/>
    </row>
    <row r="218" ht="15.75" customHeight="1">
      <c r="A218" s="425"/>
      <c r="B218" s="425"/>
      <c r="C218" s="425"/>
      <c r="D218" s="425"/>
      <c r="E218" s="235"/>
      <c r="F218" s="425"/>
      <c r="G218" s="425"/>
      <c r="H218" s="425"/>
      <c r="I218" s="425"/>
      <c r="J218" s="425"/>
      <c r="K218" s="235"/>
      <c r="L218" s="425"/>
      <c r="M218" s="425"/>
      <c r="N218" s="425"/>
      <c r="O218" s="425"/>
      <c r="P218" s="425"/>
      <c r="Q218" s="235"/>
      <c r="R218" s="425"/>
      <c r="S218" s="425"/>
      <c r="T218" s="425"/>
      <c r="U218" s="425"/>
    </row>
    <row r="219" ht="15.75" customHeight="1">
      <c r="A219" s="425"/>
      <c r="B219" s="425"/>
      <c r="C219" s="425"/>
      <c r="D219" s="425"/>
      <c r="E219" s="235"/>
      <c r="F219" s="425"/>
      <c r="G219" s="425"/>
      <c r="H219" s="425"/>
      <c r="I219" s="425"/>
      <c r="J219" s="425"/>
      <c r="K219" s="235"/>
      <c r="L219" s="425"/>
      <c r="M219" s="425"/>
      <c r="N219" s="425"/>
      <c r="O219" s="425"/>
      <c r="P219" s="425"/>
      <c r="Q219" s="235"/>
      <c r="R219" s="425"/>
      <c r="S219" s="425"/>
      <c r="T219" s="425"/>
      <c r="U219" s="425"/>
    </row>
    <row r="220" ht="15.75" customHeight="1">
      <c r="A220" s="425"/>
      <c r="B220" s="425"/>
      <c r="C220" s="425"/>
      <c r="D220" s="425"/>
      <c r="E220" s="235"/>
      <c r="F220" s="425"/>
      <c r="G220" s="425"/>
      <c r="H220" s="425"/>
      <c r="I220" s="425"/>
      <c r="J220" s="425"/>
      <c r="K220" s="235"/>
      <c r="L220" s="425"/>
      <c r="M220" s="425"/>
      <c r="N220" s="425"/>
      <c r="O220" s="425"/>
      <c r="P220" s="425"/>
      <c r="Q220" s="235"/>
      <c r="R220" s="425"/>
      <c r="S220" s="425"/>
      <c r="T220" s="425"/>
      <c r="U220" s="425"/>
    </row>
    <row r="221" ht="15.75" customHeight="1">
      <c r="A221" s="425"/>
      <c r="B221" s="425"/>
      <c r="C221" s="425"/>
      <c r="D221" s="425"/>
      <c r="E221" s="235"/>
      <c r="F221" s="425"/>
      <c r="G221" s="425"/>
      <c r="H221" s="425"/>
      <c r="I221" s="425"/>
      <c r="J221" s="425"/>
      <c r="K221" s="235"/>
      <c r="L221" s="425"/>
      <c r="M221" s="425"/>
      <c r="N221" s="425"/>
      <c r="O221" s="425"/>
      <c r="P221" s="425"/>
      <c r="Q221" s="235"/>
      <c r="R221" s="425"/>
      <c r="S221" s="425"/>
      <c r="T221" s="425"/>
      <c r="U221" s="425"/>
    </row>
    <row r="222" ht="15.75" customHeight="1">
      <c r="A222" s="425"/>
      <c r="B222" s="425"/>
      <c r="C222" s="425"/>
      <c r="D222" s="425"/>
      <c r="E222" s="235"/>
      <c r="F222" s="425"/>
      <c r="G222" s="425"/>
      <c r="H222" s="425"/>
      <c r="I222" s="425"/>
      <c r="J222" s="425"/>
      <c r="K222" s="235"/>
      <c r="L222" s="425"/>
      <c r="M222" s="425"/>
      <c r="N222" s="425"/>
      <c r="O222" s="425"/>
      <c r="P222" s="425"/>
      <c r="Q222" s="235"/>
      <c r="R222" s="425"/>
      <c r="S222" s="425"/>
      <c r="T222" s="425"/>
      <c r="U222" s="425"/>
    </row>
    <row r="223" ht="15.75" customHeight="1">
      <c r="A223" s="425"/>
      <c r="B223" s="425"/>
      <c r="C223" s="425"/>
      <c r="D223" s="425"/>
      <c r="E223" s="235"/>
      <c r="F223" s="425"/>
      <c r="G223" s="425"/>
      <c r="H223" s="425"/>
      <c r="I223" s="425"/>
      <c r="J223" s="425"/>
      <c r="K223" s="235"/>
      <c r="L223" s="425"/>
      <c r="M223" s="425"/>
      <c r="N223" s="425"/>
      <c r="O223" s="425"/>
      <c r="P223" s="425"/>
      <c r="Q223" s="235"/>
      <c r="R223" s="425"/>
      <c r="S223" s="425"/>
      <c r="T223" s="425"/>
      <c r="U223" s="425"/>
    </row>
    <row r="224" ht="15.75" customHeight="1">
      <c r="A224" s="425"/>
      <c r="B224" s="425"/>
      <c r="C224" s="425"/>
      <c r="D224" s="425"/>
      <c r="E224" s="235"/>
      <c r="F224" s="425"/>
      <c r="G224" s="425"/>
      <c r="H224" s="425"/>
      <c r="I224" s="425"/>
      <c r="J224" s="425"/>
      <c r="K224" s="235"/>
      <c r="L224" s="425"/>
      <c r="M224" s="425"/>
      <c r="N224" s="425"/>
      <c r="O224" s="425"/>
      <c r="P224" s="425"/>
      <c r="Q224" s="235"/>
      <c r="R224" s="425"/>
      <c r="S224" s="425"/>
      <c r="T224" s="425"/>
      <c r="U224" s="425"/>
    </row>
    <row r="225" ht="15.75" customHeight="1">
      <c r="A225" s="425"/>
      <c r="B225" s="425"/>
      <c r="C225" s="425"/>
      <c r="D225" s="425"/>
      <c r="E225" s="235"/>
      <c r="F225" s="425"/>
      <c r="G225" s="425"/>
      <c r="H225" s="425"/>
      <c r="I225" s="425"/>
      <c r="J225" s="425"/>
      <c r="K225" s="235"/>
      <c r="L225" s="425"/>
      <c r="M225" s="425"/>
      <c r="N225" s="425"/>
      <c r="O225" s="425"/>
      <c r="P225" s="425"/>
      <c r="Q225" s="235"/>
      <c r="R225" s="425"/>
      <c r="S225" s="425"/>
      <c r="T225" s="425"/>
      <c r="U225" s="425"/>
    </row>
    <row r="226" ht="15.75" customHeight="1">
      <c r="A226" s="425"/>
      <c r="B226" s="425"/>
      <c r="C226" s="425"/>
      <c r="D226" s="425"/>
      <c r="E226" s="235"/>
      <c r="F226" s="425"/>
      <c r="G226" s="425"/>
      <c r="H226" s="425"/>
      <c r="I226" s="425"/>
      <c r="J226" s="425"/>
      <c r="K226" s="235"/>
      <c r="L226" s="425"/>
      <c r="M226" s="425"/>
      <c r="N226" s="425"/>
      <c r="O226" s="425"/>
      <c r="P226" s="425"/>
      <c r="Q226" s="235"/>
      <c r="R226" s="425"/>
      <c r="S226" s="425"/>
      <c r="T226" s="425"/>
      <c r="U226" s="425"/>
    </row>
    <row r="227" ht="15.75" customHeight="1">
      <c r="A227" s="425"/>
      <c r="B227" s="425"/>
      <c r="C227" s="425"/>
      <c r="D227" s="425"/>
      <c r="E227" s="235"/>
      <c r="F227" s="425"/>
      <c r="G227" s="425"/>
      <c r="H227" s="425"/>
      <c r="I227" s="425"/>
      <c r="J227" s="425"/>
      <c r="K227" s="235"/>
      <c r="L227" s="425"/>
      <c r="M227" s="425"/>
      <c r="N227" s="425"/>
      <c r="O227" s="425"/>
      <c r="P227" s="425"/>
      <c r="Q227" s="235"/>
      <c r="R227" s="425"/>
      <c r="S227" s="425"/>
      <c r="T227" s="425"/>
      <c r="U227" s="425"/>
    </row>
    <row r="228" ht="15.75" customHeight="1">
      <c r="A228" s="425"/>
      <c r="B228" s="425"/>
      <c r="C228" s="425"/>
      <c r="D228" s="425"/>
      <c r="E228" s="235"/>
      <c r="F228" s="425"/>
      <c r="G228" s="425"/>
      <c r="H228" s="425"/>
      <c r="I228" s="425"/>
      <c r="J228" s="425"/>
      <c r="K228" s="235"/>
      <c r="L228" s="425"/>
      <c r="M228" s="425"/>
      <c r="N228" s="425"/>
      <c r="O228" s="425"/>
      <c r="P228" s="425"/>
      <c r="Q228" s="235"/>
      <c r="R228" s="425"/>
      <c r="S228" s="425"/>
      <c r="T228" s="425"/>
      <c r="U228" s="425"/>
    </row>
    <row r="229" ht="15.75" customHeight="1">
      <c r="A229" s="425"/>
      <c r="B229" s="425"/>
      <c r="C229" s="425"/>
      <c r="D229" s="425"/>
      <c r="E229" s="235"/>
      <c r="F229" s="425"/>
      <c r="G229" s="425"/>
      <c r="H229" s="425"/>
      <c r="I229" s="425"/>
      <c r="J229" s="425"/>
      <c r="K229" s="235"/>
      <c r="L229" s="425"/>
      <c r="M229" s="425"/>
      <c r="N229" s="425"/>
      <c r="O229" s="425"/>
      <c r="P229" s="425"/>
      <c r="Q229" s="235"/>
      <c r="R229" s="425"/>
      <c r="S229" s="425"/>
      <c r="T229" s="425"/>
      <c r="U229" s="425"/>
    </row>
    <row r="230" ht="15.75" customHeight="1">
      <c r="A230" s="425"/>
      <c r="B230" s="425"/>
      <c r="C230" s="425"/>
      <c r="D230" s="425"/>
      <c r="E230" s="235"/>
      <c r="F230" s="425"/>
      <c r="G230" s="425"/>
      <c r="H230" s="425"/>
      <c r="I230" s="425"/>
      <c r="J230" s="425"/>
      <c r="K230" s="235"/>
      <c r="L230" s="425"/>
      <c r="M230" s="425"/>
      <c r="N230" s="425"/>
      <c r="O230" s="425"/>
      <c r="P230" s="425"/>
      <c r="Q230" s="235"/>
      <c r="R230" s="425"/>
      <c r="S230" s="425"/>
      <c r="T230" s="425"/>
      <c r="U230" s="425"/>
    </row>
    <row r="231" ht="15.75" customHeight="1">
      <c r="A231" s="425"/>
      <c r="B231" s="425"/>
      <c r="C231" s="425"/>
      <c r="D231" s="425"/>
      <c r="E231" s="235"/>
      <c r="F231" s="425"/>
      <c r="G231" s="425"/>
      <c r="H231" s="425"/>
      <c r="I231" s="425"/>
      <c r="J231" s="425"/>
      <c r="K231" s="235"/>
      <c r="L231" s="425"/>
      <c r="M231" s="425"/>
      <c r="N231" s="425"/>
      <c r="O231" s="425"/>
      <c r="P231" s="425"/>
      <c r="Q231" s="235"/>
      <c r="R231" s="425"/>
      <c r="S231" s="425"/>
      <c r="T231" s="425"/>
      <c r="U231" s="425"/>
    </row>
    <row r="232" ht="15.75" customHeight="1">
      <c r="A232" s="425"/>
      <c r="B232" s="425"/>
      <c r="C232" s="425"/>
      <c r="D232" s="425"/>
      <c r="E232" s="235"/>
      <c r="F232" s="425"/>
      <c r="G232" s="425"/>
      <c r="H232" s="425"/>
      <c r="I232" s="425"/>
      <c r="J232" s="425"/>
      <c r="K232" s="235"/>
      <c r="L232" s="425"/>
      <c r="M232" s="425"/>
      <c r="N232" s="425"/>
      <c r="O232" s="425"/>
      <c r="P232" s="425"/>
      <c r="Q232" s="235"/>
      <c r="R232" s="425"/>
      <c r="S232" s="425"/>
      <c r="T232" s="425"/>
      <c r="U232" s="425"/>
    </row>
    <row r="233" ht="15.75" customHeight="1">
      <c r="A233" s="425"/>
      <c r="B233" s="425"/>
      <c r="C233" s="425"/>
      <c r="D233" s="425"/>
      <c r="E233" s="235"/>
      <c r="F233" s="425"/>
      <c r="G233" s="425"/>
      <c r="H233" s="425"/>
      <c r="I233" s="425"/>
      <c r="J233" s="425"/>
      <c r="K233" s="235"/>
      <c r="L233" s="425"/>
      <c r="M233" s="425"/>
      <c r="N233" s="425"/>
      <c r="O233" s="425"/>
      <c r="P233" s="425"/>
      <c r="Q233" s="235"/>
      <c r="R233" s="425"/>
      <c r="S233" s="425"/>
      <c r="T233" s="425"/>
      <c r="U233" s="425"/>
    </row>
    <row r="234" ht="15.75" customHeight="1">
      <c r="A234" s="425"/>
      <c r="B234" s="425"/>
      <c r="C234" s="425"/>
      <c r="D234" s="425"/>
      <c r="E234" s="235"/>
      <c r="F234" s="425"/>
      <c r="G234" s="425"/>
      <c r="H234" s="425"/>
      <c r="I234" s="425"/>
      <c r="J234" s="425"/>
      <c r="K234" s="235"/>
      <c r="L234" s="425"/>
      <c r="M234" s="425"/>
      <c r="N234" s="425"/>
      <c r="O234" s="425"/>
      <c r="P234" s="425"/>
      <c r="Q234" s="235"/>
      <c r="R234" s="425"/>
      <c r="S234" s="425"/>
      <c r="T234" s="425"/>
      <c r="U234" s="425"/>
    </row>
    <row r="235" ht="15.75" customHeight="1">
      <c r="A235" s="425"/>
      <c r="B235" s="425"/>
      <c r="C235" s="425"/>
      <c r="D235" s="425"/>
      <c r="E235" s="235"/>
      <c r="F235" s="425"/>
      <c r="G235" s="425"/>
      <c r="H235" s="425"/>
      <c r="I235" s="425"/>
      <c r="J235" s="425"/>
      <c r="K235" s="235"/>
      <c r="L235" s="425"/>
      <c r="M235" s="425"/>
      <c r="N235" s="425"/>
      <c r="O235" s="425"/>
      <c r="P235" s="425"/>
      <c r="Q235" s="235"/>
      <c r="R235" s="425"/>
      <c r="S235" s="425"/>
      <c r="T235" s="425"/>
      <c r="U235" s="425"/>
    </row>
    <row r="236" ht="15.75" customHeight="1">
      <c r="A236" s="425"/>
      <c r="B236" s="425"/>
      <c r="C236" s="425"/>
      <c r="D236" s="425"/>
      <c r="E236" s="235"/>
      <c r="F236" s="425"/>
      <c r="G236" s="425"/>
      <c r="H236" s="425"/>
      <c r="I236" s="425"/>
      <c r="J236" s="425"/>
      <c r="K236" s="235"/>
      <c r="L236" s="425"/>
      <c r="M236" s="425"/>
      <c r="N236" s="425"/>
      <c r="O236" s="425"/>
      <c r="P236" s="425"/>
      <c r="Q236" s="235"/>
      <c r="R236" s="425"/>
      <c r="S236" s="425"/>
      <c r="T236" s="425"/>
      <c r="U236" s="425"/>
    </row>
    <row r="237" ht="15.75" customHeight="1">
      <c r="A237" s="425"/>
      <c r="B237" s="425"/>
      <c r="C237" s="425"/>
      <c r="D237" s="425"/>
      <c r="E237" s="235"/>
      <c r="F237" s="425"/>
      <c r="G237" s="425"/>
      <c r="H237" s="425"/>
      <c r="I237" s="425"/>
      <c r="J237" s="425"/>
      <c r="K237" s="235"/>
      <c r="L237" s="425"/>
      <c r="M237" s="425"/>
      <c r="N237" s="425"/>
      <c r="O237" s="425"/>
      <c r="P237" s="425"/>
      <c r="Q237" s="235"/>
      <c r="R237" s="425"/>
      <c r="S237" s="425"/>
      <c r="T237" s="425"/>
      <c r="U237" s="425"/>
    </row>
    <row r="238" ht="15.75" customHeight="1">
      <c r="A238" s="425"/>
      <c r="B238" s="425"/>
      <c r="C238" s="425"/>
      <c r="D238" s="425"/>
      <c r="E238" s="235"/>
      <c r="F238" s="425"/>
      <c r="G238" s="425"/>
      <c r="H238" s="425"/>
      <c r="I238" s="425"/>
      <c r="J238" s="425"/>
      <c r="K238" s="235"/>
      <c r="L238" s="425"/>
      <c r="M238" s="425"/>
      <c r="N238" s="425"/>
      <c r="O238" s="425"/>
      <c r="P238" s="425"/>
      <c r="Q238" s="235"/>
      <c r="R238" s="425"/>
      <c r="S238" s="425"/>
      <c r="T238" s="425"/>
      <c r="U238" s="425"/>
    </row>
    <row r="239" ht="15.75" customHeight="1">
      <c r="A239" s="425"/>
      <c r="B239" s="425"/>
      <c r="C239" s="425"/>
      <c r="D239" s="425"/>
      <c r="E239" s="235"/>
      <c r="F239" s="425"/>
      <c r="G239" s="425"/>
      <c r="H239" s="425"/>
      <c r="I239" s="425"/>
      <c r="J239" s="425"/>
      <c r="K239" s="235"/>
      <c r="L239" s="425"/>
      <c r="M239" s="425"/>
      <c r="N239" s="425"/>
      <c r="O239" s="425"/>
      <c r="P239" s="425"/>
      <c r="Q239" s="235"/>
      <c r="R239" s="425"/>
      <c r="S239" s="425"/>
      <c r="T239" s="425"/>
      <c r="U239" s="425"/>
    </row>
    <row r="240" ht="15.75" customHeight="1">
      <c r="A240" s="425"/>
      <c r="B240" s="425"/>
      <c r="C240" s="425"/>
      <c r="D240" s="425"/>
      <c r="E240" s="235"/>
      <c r="F240" s="425"/>
      <c r="G240" s="425"/>
      <c r="H240" s="425"/>
      <c r="I240" s="425"/>
      <c r="J240" s="425"/>
      <c r="K240" s="235"/>
      <c r="L240" s="425"/>
      <c r="M240" s="425"/>
      <c r="N240" s="425"/>
      <c r="O240" s="425"/>
      <c r="P240" s="425"/>
      <c r="Q240" s="235"/>
      <c r="R240" s="425"/>
      <c r="S240" s="425"/>
      <c r="T240" s="425"/>
      <c r="U240" s="425"/>
    </row>
    <row r="241" ht="15.75" customHeight="1">
      <c r="A241" s="425"/>
      <c r="B241" s="425"/>
      <c r="C241" s="425"/>
      <c r="D241" s="425"/>
      <c r="E241" s="235"/>
      <c r="F241" s="425"/>
      <c r="G241" s="425"/>
      <c r="H241" s="425"/>
      <c r="I241" s="425"/>
      <c r="J241" s="425"/>
      <c r="K241" s="235"/>
      <c r="L241" s="425"/>
      <c r="M241" s="425"/>
      <c r="N241" s="425"/>
      <c r="O241" s="425"/>
      <c r="P241" s="425"/>
      <c r="Q241" s="235"/>
      <c r="R241" s="425"/>
      <c r="S241" s="425"/>
      <c r="T241" s="425"/>
      <c r="U241" s="425"/>
    </row>
    <row r="242" ht="15.75" customHeight="1">
      <c r="A242" s="425"/>
      <c r="B242" s="425"/>
      <c r="C242" s="425"/>
      <c r="D242" s="425"/>
      <c r="E242" s="235"/>
      <c r="F242" s="425"/>
      <c r="G242" s="425"/>
      <c r="H242" s="425"/>
      <c r="I242" s="425"/>
      <c r="J242" s="425"/>
      <c r="K242" s="235"/>
      <c r="L242" s="425"/>
      <c r="M242" s="425"/>
      <c r="N242" s="425"/>
      <c r="O242" s="425"/>
      <c r="P242" s="425"/>
      <c r="Q242" s="235"/>
      <c r="R242" s="425"/>
      <c r="S242" s="425"/>
      <c r="T242" s="425"/>
      <c r="U242" s="425"/>
    </row>
    <row r="243" ht="15.75" customHeight="1">
      <c r="A243" s="425"/>
      <c r="B243" s="425"/>
      <c r="C243" s="425"/>
      <c r="D243" s="425"/>
      <c r="E243" s="235"/>
      <c r="F243" s="425"/>
      <c r="G243" s="425"/>
      <c r="H243" s="425"/>
      <c r="I243" s="425"/>
      <c r="J243" s="425"/>
      <c r="K243" s="235"/>
      <c r="L243" s="425"/>
      <c r="M243" s="425"/>
      <c r="N243" s="425"/>
      <c r="O243" s="425"/>
      <c r="P243" s="425"/>
      <c r="Q243" s="235"/>
      <c r="R243" s="425"/>
      <c r="S243" s="425"/>
      <c r="T243" s="425"/>
      <c r="U243" s="425"/>
    </row>
    <row r="244" ht="15.75" customHeight="1">
      <c r="A244" s="425"/>
      <c r="B244" s="425"/>
      <c r="C244" s="425"/>
      <c r="D244" s="425"/>
      <c r="E244" s="235"/>
      <c r="F244" s="425"/>
      <c r="G244" s="425"/>
      <c r="H244" s="425"/>
      <c r="I244" s="425"/>
      <c r="J244" s="425"/>
      <c r="K244" s="235"/>
      <c r="L244" s="425"/>
      <c r="M244" s="425"/>
      <c r="N244" s="425"/>
      <c r="O244" s="425"/>
      <c r="P244" s="425"/>
      <c r="Q244" s="235"/>
      <c r="R244" s="425"/>
      <c r="S244" s="425"/>
      <c r="T244" s="425"/>
      <c r="U244" s="425"/>
    </row>
    <row r="245" ht="15.75" customHeight="1">
      <c r="A245" s="425"/>
      <c r="B245" s="425"/>
      <c r="C245" s="425"/>
      <c r="D245" s="425"/>
      <c r="E245" s="235"/>
      <c r="F245" s="425"/>
      <c r="G245" s="425"/>
      <c r="H245" s="425"/>
      <c r="I245" s="425"/>
      <c r="J245" s="425"/>
      <c r="K245" s="235"/>
      <c r="L245" s="425"/>
      <c r="M245" s="425"/>
      <c r="N245" s="425"/>
      <c r="O245" s="425"/>
      <c r="P245" s="425"/>
      <c r="Q245" s="235"/>
      <c r="R245" s="425"/>
      <c r="S245" s="425"/>
      <c r="T245" s="425"/>
      <c r="U245" s="425"/>
    </row>
    <row r="246" ht="15.75" customHeight="1">
      <c r="A246" s="425"/>
      <c r="B246" s="425"/>
      <c r="C246" s="425"/>
      <c r="D246" s="425"/>
      <c r="E246" s="235"/>
      <c r="F246" s="425"/>
      <c r="G246" s="425"/>
      <c r="H246" s="425"/>
      <c r="I246" s="425"/>
      <c r="J246" s="425"/>
      <c r="K246" s="235"/>
      <c r="L246" s="425"/>
      <c r="M246" s="425"/>
      <c r="N246" s="425"/>
      <c r="O246" s="425"/>
      <c r="P246" s="425"/>
      <c r="Q246" s="235"/>
      <c r="R246" s="425"/>
      <c r="S246" s="425"/>
      <c r="T246" s="425"/>
      <c r="U246" s="425"/>
    </row>
    <row r="247" ht="15.75" customHeight="1">
      <c r="A247" s="425"/>
      <c r="B247" s="425"/>
      <c r="C247" s="425"/>
      <c r="D247" s="425"/>
      <c r="E247" s="235"/>
      <c r="F247" s="425"/>
      <c r="G247" s="425"/>
      <c r="H247" s="425"/>
      <c r="I247" s="425"/>
      <c r="J247" s="425"/>
      <c r="K247" s="235"/>
      <c r="L247" s="425"/>
      <c r="M247" s="425"/>
      <c r="N247" s="425"/>
      <c r="O247" s="425"/>
      <c r="P247" s="425"/>
      <c r="Q247" s="235"/>
      <c r="R247" s="425"/>
      <c r="S247" s="425"/>
      <c r="T247" s="425"/>
      <c r="U247" s="425"/>
    </row>
    <row r="248" ht="15.75" customHeight="1">
      <c r="A248" s="425"/>
      <c r="B248" s="425"/>
      <c r="C248" s="425"/>
      <c r="D248" s="425"/>
      <c r="E248" s="235"/>
      <c r="F248" s="425"/>
      <c r="G248" s="425"/>
      <c r="H248" s="425"/>
      <c r="I248" s="425"/>
      <c r="J248" s="425"/>
      <c r="K248" s="235"/>
      <c r="L248" s="425"/>
      <c r="M248" s="425"/>
      <c r="N248" s="425"/>
      <c r="O248" s="425"/>
      <c r="P248" s="425"/>
      <c r="Q248" s="235"/>
      <c r="R248" s="425"/>
      <c r="S248" s="425"/>
      <c r="T248" s="425"/>
      <c r="U248" s="425"/>
    </row>
    <row r="249" ht="15.75" customHeight="1">
      <c r="A249" s="425"/>
      <c r="B249" s="425"/>
      <c r="C249" s="425"/>
      <c r="D249" s="425"/>
      <c r="E249" s="235"/>
      <c r="F249" s="425"/>
      <c r="G249" s="425"/>
      <c r="H249" s="425"/>
      <c r="I249" s="425"/>
      <c r="J249" s="425"/>
      <c r="K249" s="235"/>
      <c r="L249" s="425"/>
      <c r="M249" s="425"/>
      <c r="N249" s="425"/>
      <c r="O249" s="425"/>
      <c r="P249" s="425"/>
      <c r="Q249" s="235"/>
      <c r="R249" s="425"/>
      <c r="S249" s="425"/>
      <c r="T249" s="425"/>
      <c r="U249" s="425"/>
    </row>
    <row r="250" ht="15.75" customHeight="1">
      <c r="A250" s="425"/>
      <c r="B250" s="425"/>
      <c r="C250" s="425"/>
      <c r="D250" s="425"/>
      <c r="E250" s="235"/>
      <c r="F250" s="425"/>
      <c r="G250" s="425"/>
      <c r="H250" s="425"/>
      <c r="I250" s="425"/>
      <c r="J250" s="425"/>
      <c r="K250" s="235"/>
      <c r="L250" s="425"/>
      <c r="M250" s="425"/>
      <c r="N250" s="425"/>
      <c r="O250" s="425"/>
      <c r="P250" s="425"/>
      <c r="Q250" s="235"/>
      <c r="R250" s="425"/>
      <c r="S250" s="425"/>
      <c r="T250" s="425"/>
      <c r="U250" s="425"/>
    </row>
    <row r="251" ht="15.75" customHeight="1">
      <c r="A251" s="425"/>
      <c r="B251" s="425"/>
      <c r="C251" s="425"/>
      <c r="D251" s="425"/>
      <c r="E251" s="235"/>
      <c r="F251" s="425"/>
      <c r="G251" s="425"/>
      <c r="H251" s="425"/>
      <c r="I251" s="425"/>
      <c r="J251" s="425"/>
      <c r="K251" s="235"/>
      <c r="L251" s="425"/>
      <c r="M251" s="425"/>
      <c r="N251" s="425"/>
      <c r="O251" s="425"/>
      <c r="P251" s="425"/>
      <c r="Q251" s="235"/>
      <c r="R251" s="425"/>
      <c r="S251" s="425"/>
      <c r="T251" s="425"/>
      <c r="U251" s="425"/>
    </row>
    <row r="252" ht="15.75" customHeight="1">
      <c r="A252" s="425"/>
      <c r="B252" s="425"/>
      <c r="C252" s="425"/>
      <c r="D252" s="425"/>
      <c r="E252" s="235"/>
      <c r="F252" s="425"/>
      <c r="G252" s="425"/>
      <c r="H252" s="425"/>
      <c r="I252" s="425"/>
      <c r="J252" s="425"/>
      <c r="K252" s="235"/>
      <c r="L252" s="425"/>
      <c r="M252" s="425"/>
      <c r="N252" s="425"/>
      <c r="O252" s="425"/>
      <c r="P252" s="425"/>
      <c r="Q252" s="235"/>
      <c r="R252" s="425"/>
      <c r="S252" s="425"/>
      <c r="T252" s="425"/>
      <c r="U252" s="425"/>
    </row>
    <row r="253" ht="15.75" customHeight="1">
      <c r="A253" s="425"/>
      <c r="B253" s="425"/>
      <c r="C253" s="425"/>
      <c r="D253" s="425"/>
      <c r="E253" s="235"/>
      <c r="F253" s="425"/>
      <c r="G253" s="425"/>
      <c r="H253" s="425"/>
      <c r="I253" s="425"/>
      <c r="J253" s="425"/>
      <c r="K253" s="235"/>
      <c r="L253" s="425"/>
      <c r="M253" s="425"/>
      <c r="N253" s="425"/>
      <c r="O253" s="425"/>
      <c r="P253" s="425"/>
      <c r="Q253" s="235"/>
      <c r="R253" s="425"/>
      <c r="S253" s="425"/>
      <c r="T253" s="425"/>
      <c r="U253" s="425"/>
    </row>
    <row r="254" ht="15.75" customHeight="1">
      <c r="A254" s="425"/>
      <c r="B254" s="425"/>
      <c r="C254" s="425"/>
      <c r="D254" s="425"/>
      <c r="E254" s="235"/>
      <c r="F254" s="425"/>
      <c r="G254" s="425"/>
      <c r="H254" s="425"/>
      <c r="I254" s="425"/>
      <c r="J254" s="425"/>
      <c r="K254" s="235"/>
      <c r="L254" s="425"/>
      <c r="M254" s="425"/>
      <c r="N254" s="425"/>
      <c r="O254" s="425"/>
      <c r="P254" s="425"/>
      <c r="Q254" s="235"/>
      <c r="R254" s="425"/>
      <c r="S254" s="425"/>
      <c r="T254" s="425"/>
      <c r="U254" s="425"/>
    </row>
    <row r="255" ht="15.75" customHeight="1">
      <c r="A255" s="425"/>
      <c r="B255" s="425"/>
      <c r="C255" s="425"/>
      <c r="D255" s="425"/>
      <c r="E255" s="235"/>
      <c r="F255" s="425"/>
      <c r="G255" s="425"/>
      <c r="H255" s="425"/>
      <c r="I255" s="425"/>
      <c r="J255" s="425"/>
      <c r="K255" s="235"/>
      <c r="L255" s="425"/>
      <c r="M255" s="425"/>
      <c r="N255" s="425"/>
      <c r="O255" s="425"/>
      <c r="P255" s="425"/>
      <c r="Q255" s="235"/>
      <c r="R255" s="425"/>
      <c r="S255" s="425"/>
      <c r="T255" s="425"/>
      <c r="U255" s="425"/>
    </row>
    <row r="256" ht="15.75" customHeight="1">
      <c r="A256" s="425"/>
      <c r="B256" s="425"/>
      <c r="C256" s="425"/>
      <c r="D256" s="425"/>
      <c r="E256" s="235"/>
      <c r="F256" s="425"/>
      <c r="G256" s="425"/>
      <c r="H256" s="425"/>
      <c r="I256" s="425"/>
      <c r="J256" s="425"/>
      <c r="K256" s="235"/>
      <c r="L256" s="425"/>
      <c r="M256" s="425"/>
      <c r="N256" s="425"/>
      <c r="O256" s="425"/>
      <c r="P256" s="425"/>
      <c r="Q256" s="235"/>
      <c r="R256" s="425"/>
      <c r="S256" s="425"/>
      <c r="T256" s="425"/>
      <c r="U256" s="425"/>
    </row>
    <row r="257" ht="15.75" customHeight="1">
      <c r="A257" s="425"/>
      <c r="B257" s="425"/>
      <c r="C257" s="425"/>
      <c r="D257" s="425"/>
      <c r="E257" s="235"/>
      <c r="F257" s="425"/>
      <c r="G257" s="425"/>
      <c r="H257" s="425"/>
      <c r="I257" s="425"/>
      <c r="J257" s="425"/>
      <c r="K257" s="235"/>
      <c r="L257" s="425"/>
      <c r="M257" s="425"/>
      <c r="N257" s="425"/>
      <c r="O257" s="425"/>
      <c r="P257" s="425"/>
      <c r="Q257" s="235"/>
      <c r="R257" s="425"/>
      <c r="S257" s="425"/>
      <c r="T257" s="425"/>
      <c r="U257" s="425"/>
    </row>
    <row r="258" ht="15.75" customHeight="1">
      <c r="A258" s="425"/>
      <c r="B258" s="425"/>
      <c r="C258" s="425"/>
      <c r="D258" s="425"/>
      <c r="E258" s="235"/>
      <c r="F258" s="425"/>
      <c r="G258" s="425"/>
      <c r="H258" s="425"/>
      <c r="I258" s="425"/>
      <c r="J258" s="425"/>
      <c r="K258" s="235"/>
      <c r="L258" s="425"/>
      <c r="M258" s="425"/>
      <c r="N258" s="425"/>
      <c r="O258" s="425"/>
      <c r="P258" s="425"/>
      <c r="Q258" s="235"/>
      <c r="R258" s="425"/>
      <c r="S258" s="425"/>
      <c r="T258" s="425"/>
      <c r="U258" s="425"/>
    </row>
    <row r="259" ht="15.75" customHeight="1">
      <c r="A259" s="425"/>
      <c r="B259" s="425"/>
      <c r="C259" s="425"/>
      <c r="D259" s="425"/>
      <c r="E259" s="235"/>
      <c r="F259" s="425"/>
      <c r="G259" s="425"/>
      <c r="H259" s="425"/>
      <c r="I259" s="425"/>
      <c r="J259" s="425"/>
      <c r="K259" s="235"/>
      <c r="L259" s="425"/>
      <c r="M259" s="425"/>
      <c r="N259" s="425"/>
      <c r="O259" s="425"/>
      <c r="P259" s="425"/>
      <c r="Q259" s="235"/>
      <c r="R259" s="425"/>
      <c r="S259" s="425"/>
      <c r="T259" s="425"/>
      <c r="U259" s="425"/>
    </row>
    <row r="260" ht="15.75" customHeight="1">
      <c r="A260" s="425"/>
      <c r="B260" s="425"/>
      <c r="C260" s="425"/>
      <c r="D260" s="425"/>
      <c r="E260" s="235"/>
      <c r="F260" s="425"/>
      <c r="G260" s="425"/>
      <c r="H260" s="425"/>
      <c r="I260" s="425"/>
      <c r="J260" s="425"/>
      <c r="K260" s="235"/>
      <c r="L260" s="425"/>
      <c r="M260" s="425"/>
      <c r="N260" s="425"/>
      <c r="O260" s="425"/>
      <c r="P260" s="425"/>
      <c r="Q260" s="235"/>
      <c r="R260" s="425"/>
      <c r="S260" s="425"/>
      <c r="T260" s="425"/>
      <c r="U260" s="425"/>
    </row>
    <row r="261" ht="15.75" customHeight="1">
      <c r="A261" s="425"/>
      <c r="B261" s="425"/>
      <c r="C261" s="425"/>
      <c r="D261" s="425"/>
      <c r="E261" s="235"/>
      <c r="F261" s="425"/>
      <c r="G261" s="425"/>
      <c r="H261" s="425"/>
      <c r="I261" s="425"/>
      <c r="J261" s="425"/>
      <c r="K261" s="235"/>
      <c r="L261" s="425"/>
      <c r="M261" s="425"/>
      <c r="N261" s="425"/>
      <c r="O261" s="425"/>
      <c r="P261" s="425"/>
      <c r="Q261" s="235"/>
      <c r="R261" s="425"/>
      <c r="S261" s="425"/>
      <c r="T261" s="425"/>
      <c r="U261" s="425"/>
    </row>
    <row r="262" ht="15.75" customHeight="1">
      <c r="A262" s="425"/>
      <c r="B262" s="425"/>
      <c r="C262" s="425"/>
      <c r="D262" s="425"/>
      <c r="E262" s="235"/>
      <c r="F262" s="425"/>
      <c r="G262" s="425"/>
      <c r="H262" s="425"/>
      <c r="I262" s="425"/>
      <c r="J262" s="425"/>
      <c r="K262" s="235"/>
      <c r="L262" s="425"/>
      <c r="M262" s="425"/>
      <c r="N262" s="425"/>
      <c r="O262" s="425"/>
      <c r="P262" s="425"/>
      <c r="Q262" s="235"/>
      <c r="R262" s="425"/>
      <c r="S262" s="425"/>
      <c r="T262" s="425"/>
      <c r="U262" s="425"/>
    </row>
    <row r="263" ht="15.75" customHeight="1">
      <c r="A263" s="425"/>
      <c r="B263" s="425"/>
      <c r="C263" s="425"/>
      <c r="D263" s="425"/>
      <c r="E263" s="235"/>
      <c r="F263" s="425"/>
      <c r="G263" s="425"/>
      <c r="H263" s="425"/>
      <c r="I263" s="425"/>
      <c r="J263" s="425"/>
      <c r="K263" s="235"/>
      <c r="L263" s="425"/>
      <c r="M263" s="425"/>
      <c r="N263" s="425"/>
      <c r="O263" s="425"/>
      <c r="P263" s="425"/>
      <c r="Q263" s="235"/>
      <c r="R263" s="425"/>
      <c r="S263" s="425"/>
      <c r="T263" s="425"/>
      <c r="U263" s="425"/>
    </row>
    <row r="264" ht="15.75" customHeight="1">
      <c r="A264" s="425"/>
      <c r="B264" s="425"/>
      <c r="C264" s="425"/>
      <c r="D264" s="425"/>
      <c r="E264" s="235"/>
      <c r="F264" s="425"/>
      <c r="G264" s="425"/>
      <c r="H264" s="425"/>
      <c r="I264" s="425"/>
      <c r="J264" s="425"/>
      <c r="K264" s="235"/>
      <c r="L264" s="425"/>
      <c r="M264" s="425"/>
      <c r="N264" s="425"/>
      <c r="O264" s="425"/>
      <c r="P264" s="425"/>
      <c r="Q264" s="235"/>
      <c r="R264" s="425"/>
      <c r="S264" s="425"/>
      <c r="T264" s="425"/>
      <c r="U264" s="425"/>
    </row>
    <row r="265" ht="15.75" customHeight="1">
      <c r="A265" s="425"/>
      <c r="B265" s="425"/>
      <c r="C265" s="425"/>
      <c r="D265" s="425"/>
      <c r="E265" s="235"/>
      <c r="F265" s="425"/>
      <c r="G265" s="425"/>
      <c r="H265" s="425"/>
      <c r="I265" s="425"/>
      <c r="J265" s="425"/>
      <c r="K265" s="235"/>
      <c r="L265" s="425"/>
      <c r="M265" s="425"/>
      <c r="N265" s="425"/>
      <c r="O265" s="425"/>
      <c r="P265" s="425"/>
      <c r="Q265" s="235"/>
      <c r="R265" s="425"/>
      <c r="S265" s="425"/>
      <c r="T265" s="425"/>
      <c r="U265" s="425"/>
    </row>
    <row r="266" ht="15.75" customHeight="1">
      <c r="A266" s="425"/>
      <c r="B266" s="425"/>
      <c r="C266" s="425"/>
      <c r="D266" s="425"/>
      <c r="E266" s="235"/>
      <c r="F266" s="425"/>
      <c r="G266" s="425"/>
      <c r="H266" s="425"/>
      <c r="I266" s="425"/>
      <c r="J266" s="425"/>
      <c r="K266" s="235"/>
      <c r="L266" s="425"/>
      <c r="M266" s="425"/>
      <c r="N266" s="425"/>
      <c r="O266" s="425"/>
      <c r="P266" s="425"/>
      <c r="Q266" s="235"/>
      <c r="R266" s="425"/>
      <c r="S266" s="425"/>
      <c r="T266" s="425"/>
      <c r="U266" s="425"/>
    </row>
    <row r="267" ht="15.75" customHeight="1">
      <c r="A267" s="425"/>
      <c r="B267" s="425"/>
      <c r="C267" s="425"/>
      <c r="D267" s="425"/>
      <c r="E267" s="235"/>
      <c r="F267" s="425"/>
      <c r="G267" s="425"/>
      <c r="H267" s="425"/>
      <c r="I267" s="425"/>
      <c r="J267" s="425"/>
      <c r="K267" s="235"/>
      <c r="L267" s="425"/>
      <c r="M267" s="425"/>
      <c r="N267" s="425"/>
      <c r="O267" s="425"/>
      <c r="P267" s="425"/>
      <c r="Q267" s="235"/>
      <c r="R267" s="425"/>
      <c r="S267" s="425"/>
      <c r="T267" s="425"/>
      <c r="U267" s="425"/>
    </row>
    <row r="268" ht="15.75" customHeight="1">
      <c r="A268" s="425"/>
      <c r="B268" s="425"/>
      <c r="C268" s="425"/>
      <c r="D268" s="425"/>
      <c r="E268" s="235"/>
      <c r="F268" s="425"/>
      <c r="G268" s="425"/>
      <c r="H268" s="425"/>
      <c r="I268" s="425"/>
      <c r="J268" s="425"/>
      <c r="K268" s="235"/>
      <c r="L268" s="425"/>
      <c r="M268" s="425"/>
      <c r="N268" s="425"/>
      <c r="O268" s="425"/>
      <c r="P268" s="425"/>
      <c r="Q268" s="235"/>
      <c r="R268" s="425"/>
      <c r="S268" s="425"/>
      <c r="T268" s="425"/>
      <c r="U268" s="425"/>
    </row>
    <row r="269" ht="15.75" customHeight="1">
      <c r="A269" s="425"/>
      <c r="B269" s="425"/>
      <c r="C269" s="425"/>
      <c r="D269" s="425"/>
      <c r="E269" s="235"/>
      <c r="F269" s="425"/>
      <c r="G269" s="425"/>
      <c r="H269" s="425"/>
      <c r="I269" s="425"/>
      <c r="J269" s="425"/>
      <c r="K269" s="235"/>
      <c r="L269" s="425"/>
      <c r="M269" s="425"/>
      <c r="N269" s="425"/>
      <c r="O269" s="425"/>
      <c r="P269" s="425"/>
      <c r="Q269" s="235"/>
      <c r="R269" s="425"/>
      <c r="S269" s="425"/>
      <c r="T269" s="425"/>
      <c r="U269" s="425"/>
    </row>
    <row r="270" ht="15.75" customHeight="1">
      <c r="A270" s="425"/>
      <c r="B270" s="425"/>
      <c r="C270" s="425"/>
      <c r="D270" s="425"/>
      <c r="E270" s="235"/>
      <c r="F270" s="425"/>
      <c r="G270" s="425"/>
      <c r="H270" s="425"/>
      <c r="I270" s="425"/>
      <c r="J270" s="425"/>
      <c r="K270" s="235"/>
      <c r="L270" s="425"/>
      <c r="M270" s="425"/>
      <c r="N270" s="425"/>
      <c r="O270" s="425"/>
      <c r="P270" s="425"/>
      <c r="Q270" s="235"/>
      <c r="R270" s="425"/>
      <c r="S270" s="425"/>
      <c r="T270" s="425"/>
      <c r="U270" s="425"/>
    </row>
    <row r="271" ht="15.75" customHeight="1">
      <c r="A271" s="425"/>
      <c r="B271" s="425"/>
      <c r="C271" s="425"/>
      <c r="D271" s="425"/>
      <c r="E271" s="235"/>
      <c r="F271" s="425"/>
      <c r="G271" s="425"/>
      <c r="H271" s="425"/>
      <c r="I271" s="425"/>
      <c r="J271" s="425"/>
      <c r="K271" s="235"/>
      <c r="L271" s="425"/>
      <c r="M271" s="425"/>
      <c r="N271" s="425"/>
      <c r="O271" s="425"/>
      <c r="P271" s="425"/>
      <c r="Q271" s="235"/>
      <c r="R271" s="425"/>
      <c r="S271" s="425"/>
      <c r="T271" s="425"/>
      <c r="U271" s="425"/>
    </row>
    <row r="272" ht="15.75" customHeight="1">
      <c r="A272" s="425"/>
      <c r="B272" s="425"/>
      <c r="C272" s="425"/>
      <c r="D272" s="425"/>
      <c r="E272" s="235"/>
      <c r="F272" s="425"/>
      <c r="G272" s="425"/>
      <c r="H272" s="425"/>
      <c r="I272" s="425"/>
      <c r="J272" s="425"/>
      <c r="K272" s="235"/>
      <c r="L272" s="425"/>
      <c r="M272" s="425"/>
      <c r="N272" s="425"/>
      <c r="O272" s="425"/>
      <c r="P272" s="425"/>
      <c r="Q272" s="235"/>
      <c r="R272" s="425"/>
      <c r="S272" s="425"/>
      <c r="T272" s="425"/>
      <c r="U272" s="425"/>
    </row>
    <row r="273" ht="15.75" customHeight="1">
      <c r="A273" s="425"/>
      <c r="B273" s="425"/>
      <c r="C273" s="425"/>
      <c r="D273" s="425"/>
      <c r="E273" s="235"/>
      <c r="F273" s="425"/>
      <c r="G273" s="425"/>
      <c r="H273" s="425"/>
      <c r="I273" s="425"/>
      <c r="J273" s="425"/>
      <c r="K273" s="235"/>
      <c r="L273" s="425"/>
      <c r="M273" s="425"/>
      <c r="N273" s="425"/>
      <c r="O273" s="425"/>
      <c r="P273" s="425"/>
      <c r="Q273" s="235"/>
      <c r="R273" s="425"/>
      <c r="S273" s="425"/>
      <c r="T273" s="425"/>
      <c r="U273" s="425"/>
    </row>
    <row r="274" ht="15.75" customHeight="1">
      <c r="A274" s="425"/>
      <c r="B274" s="425"/>
      <c r="C274" s="425"/>
      <c r="D274" s="425"/>
      <c r="E274" s="235"/>
      <c r="F274" s="425"/>
      <c r="G274" s="425"/>
      <c r="H274" s="425"/>
      <c r="I274" s="425"/>
      <c r="J274" s="425"/>
      <c r="K274" s="235"/>
      <c r="L274" s="425"/>
      <c r="M274" s="425"/>
      <c r="N274" s="425"/>
      <c r="O274" s="425"/>
      <c r="P274" s="425"/>
      <c r="Q274" s="235"/>
      <c r="R274" s="425"/>
      <c r="S274" s="425"/>
      <c r="T274" s="425"/>
      <c r="U274" s="425"/>
    </row>
    <row r="275" ht="15.75" customHeight="1">
      <c r="A275" s="425"/>
      <c r="B275" s="425"/>
      <c r="C275" s="425"/>
      <c r="D275" s="425"/>
      <c r="E275" s="235"/>
      <c r="F275" s="425"/>
      <c r="G275" s="425"/>
      <c r="H275" s="425"/>
      <c r="I275" s="425"/>
      <c r="J275" s="425"/>
      <c r="K275" s="235"/>
      <c r="L275" s="425"/>
      <c r="M275" s="425"/>
      <c r="N275" s="425"/>
      <c r="O275" s="425"/>
      <c r="P275" s="425"/>
      <c r="Q275" s="235"/>
      <c r="R275" s="425"/>
      <c r="S275" s="425"/>
      <c r="T275" s="425"/>
      <c r="U275" s="425"/>
    </row>
    <row r="276" ht="15.75" customHeight="1">
      <c r="A276" s="425"/>
      <c r="B276" s="425"/>
      <c r="C276" s="425"/>
      <c r="D276" s="425"/>
      <c r="E276" s="235"/>
      <c r="F276" s="425"/>
      <c r="G276" s="425"/>
      <c r="H276" s="425"/>
      <c r="I276" s="425"/>
      <c r="J276" s="425"/>
      <c r="K276" s="235"/>
      <c r="L276" s="425"/>
      <c r="M276" s="425"/>
      <c r="N276" s="425"/>
      <c r="O276" s="425"/>
      <c r="P276" s="425"/>
      <c r="Q276" s="235"/>
      <c r="R276" s="425"/>
      <c r="S276" s="425"/>
      <c r="T276" s="425"/>
      <c r="U276" s="425"/>
    </row>
    <row r="277" ht="15.75" customHeight="1">
      <c r="A277" s="425"/>
      <c r="B277" s="425"/>
      <c r="C277" s="425"/>
      <c r="D277" s="425"/>
      <c r="E277" s="235"/>
      <c r="F277" s="425"/>
      <c r="G277" s="425"/>
      <c r="H277" s="425"/>
      <c r="I277" s="425"/>
      <c r="J277" s="425"/>
      <c r="K277" s="235"/>
      <c r="L277" s="425"/>
      <c r="M277" s="425"/>
      <c r="N277" s="425"/>
      <c r="O277" s="425"/>
      <c r="P277" s="425"/>
      <c r="Q277" s="235"/>
      <c r="R277" s="425"/>
      <c r="S277" s="425"/>
      <c r="T277" s="425"/>
      <c r="U277" s="425"/>
    </row>
    <row r="278" ht="15.75" customHeight="1">
      <c r="A278" s="425"/>
      <c r="B278" s="425"/>
      <c r="C278" s="425"/>
      <c r="D278" s="425"/>
      <c r="E278" s="235"/>
      <c r="F278" s="425"/>
      <c r="G278" s="425"/>
      <c r="H278" s="425"/>
      <c r="I278" s="425"/>
      <c r="J278" s="425"/>
      <c r="K278" s="235"/>
      <c r="L278" s="425"/>
      <c r="M278" s="425"/>
      <c r="N278" s="425"/>
      <c r="O278" s="425"/>
      <c r="P278" s="425"/>
      <c r="Q278" s="235"/>
      <c r="R278" s="425"/>
      <c r="S278" s="425"/>
      <c r="T278" s="425"/>
      <c r="U278" s="425"/>
    </row>
    <row r="279" ht="15.75" customHeight="1">
      <c r="A279" s="425"/>
      <c r="B279" s="425"/>
      <c r="C279" s="425"/>
      <c r="D279" s="425"/>
      <c r="E279" s="235"/>
      <c r="F279" s="425"/>
      <c r="G279" s="425"/>
      <c r="H279" s="425"/>
      <c r="I279" s="425"/>
      <c r="J279" s="425"/>
      <c r="K279" s="235"/>
      <c r="L279" s="425"/>
      <c r="M279" s="425"/>
      <c r="N279" s="425"/>
      <c r="O279" s="425"/>
      <c r="P279" s="425"/>
      <c r="Q279" s="235"/>
      <c r="R279" s="425"/>
      <c r="S279" s="425"/>
      <c r="T279" s="425"/>
      <c r="U279" s="425"/>
    </row>
    <row r="280" ht="15.75" customHeight="1">
      <c r="A280" s="425"/>
      <c r="B280" s="425"/>
      <c r="C280" s="425"/>
      <c r="D280" s="425"/>
      <c r="E280" s="235"/>
      <c r="F280" s="425"/>
      <c r="G280" s="425"/>
      <c r="H280" s="425"/>
      <c r="I280" s="425"/>
      <c r="J280" s="425"/>
      <c r="K280" s="235"/>
      <c r="L280" s="425"/>
      <c r="M280" s="425"/>
      <c r="N280" s="425"/>
      <c r="O280" s="425"/>
      <c r="P280" s="425"/>
      <c r="Q280" s="235"/>
      <c r="R280" s="425"/>
      <c r="S280" s="425"/>
      <c r="T280" s="425"/>
      <c r="U280" s="425"/>
    </row>
    <row r="281" ht="15.75" customHeight="1">
      <c r="A281" s="425"/>
      <c r="B281" s="425"/>
      <c r="C281" s="425"/>
      <c r="D281" s="425"/>
      <c r="E281" s="235"/>
      <c r="F281" s="425"/>
      <c r="G281" s="425"/>
      <c r="H281" s="425"/>
      <c r="I281" s="425"/>
      <c r="J281" s="425"/>
      <c r="K281" s="235"/>
      <c r="L281" s="425"/>
      <c r="M281" s="425"/>
      <c r="N281" s="425"/>
      <c r="O281" s="425"/>
      <c r="P281" s="425"/>
      <c r="Q281" s="235"/>
      <c r="R281" s="425"/>
      <c r="S281" s="425"/>
      <c r="T281" s="425"/>
      <c r="U281" s="425"/>
    </row>
    <row r="282" ht="15.75" customHeight="1">
      <c r="A282" s="425"/>
      <c r="B282" s="425"/>
      <c r="C282" s="425"/>
      <c r="D282" s="425"/>
      <c r="E282" s="235"/>
      <c r="F282" s="425"/>
      <c r="G282" s="425"/>
      <c r="H282" s="425"/>
      <c r="I282" s="425"/>
      <c r="J282" s="425"/>
      <c r="K282" s="235"/>
      <c r="L282" s="425"/>
      <c r="M282" s="425"/>
      <c r="N282" s="425"/>
      <c r="O282" s="425"/>
      <c r="P282" s="425"/>
      <c r="Q282" s="235"/>
      <c r="R282" s="425"/>
      <c r="S282" s="425"/>
      <c r="T282" s="425"/>
      <c r="U282" s="425"/>
    </row>
    <row r="283" ht="15.75" customHeight="1">
      <c r="A283" s="425"/>
      <c r="B283" s="425"/>
      <c r="C283" s="425"/>
      <c r="D283" s="425"/>
      <c r="E283" s="235"/>
      <c r="F283" s="425"/>
      <c r="G283" s="425"/>
      <c r="H283" s="425"/>
      <c r="I283" s="425"/>
      <c r="J283" s="425"/>
      <c r="K283" s="235"/>
      <c r="L283" s="425"/>
      <c r="M283" s="425"/>
      <c r="N283" s="425"/>
      <c r="O283" s="425"/>
      <c r="P283" s="425"/>
      <c r="Q283" s="235"/>
      <c r="R283" s="425"/>
      <c r="S283" s="425"/>
      <c r="T283" s="425"/>
      <c r="U283" s="425"/>
    </row>
    <row r="284" ht="15.75" customHeight="1">
      <c r="A284" s="425"/>
      <c r="B284" s="425"/>
      <c r="C284" s="425"/>
      <c r="D284" s="425"/>
      <c r="E284" s="235"/>
      <c r="F284" s="425"/>
      <c r="G284" s="425"/>
      <c r="H284" s="425"/>
      <c r="I284" s="425"/>
      <c r="J284" s="425"/>
      <c r="K284" s="235"/>
      <c r="L284" s="425"/>
      <c r="M284" s="425"/>
      <c r="N284" s="425"/>
      <c r="O284" s="425"/>
      <c r="P284" s="425"/>
      <c r="Q284" s="235"/>
      <c r="R284" s="425"/>
      <c r="S284" s="425"/>
      <c r="T284" s="425"/>
      <c r="U284" s="425"/>
    </row>
    <row r="285" ht="15.75" customHeight="1">
      <c r="A285" s="425"/>
      <c r="B285" s="425"/>
      <c r="C285" s="425"/>
      <c r="D285" s="425"/>
      <c r="E285" s="235"/>
      <c r="F285" s="425"/>
      <c r="G285" s="425"/>
      <c r="H285" s="425"/>
      <c r="I285" s="425"/>
      <c r="J285" s="425"/>
      <c r="K285" s="235"/>
      <c r="L285" s="425"/>
      <c r="M285" s="425"/>
      <c r="N285" s="425"/>
      <c r="O285" s="425"/>
      <c r="P285" s="425"/>
      <c r="Q285" s="235"/>
      <c r="R285" s="425"/>
      <c r="S285" s="425"/>
      <c r="T285" s="425"/>
      <c r="U285" s="425"/>
    </row>
    <row r="286" ht="15.75" customHeight="1">
      <c r="A286" s="425"/>
      <c r="B286" s="425"/>
      <c r="C286" s="425"/>
      <c r="D286" s="425"/>
      <c r="E286" s="235"/>
      <c r="F286" s="425"/>
      <c r="G286" s="425"/>
      <c r="H286" s="425"/>
      <c r="I286" s="425"/>
      <c r="J286" s="425"/>
      <c r="K286" s="235"/>
      <c r="L286" s="425"/>
      <c r="M286" s="425"/>
      <c r="N286" s="425"/>
      <c r="O286" s="425"/>
      <c r="P286" s="425"/>
      <c r="Q286" s="235"/>
      <c r="R286" s="425"/>
      <c r="S286" s="425"/>
      <c r="T286" s="425"/>
      <c r="U286" s="425"/>
    </row>
    <row r="287" ht="15.75" customHeight="1">
      <c r="A287" s="425"/>
      <c r="B287" s="425"/>
      <c r="C287" s="425"/>
      <c r="D287" s="425"/>
      <c r="E287" s="235"/>
      <c r="F287" s="425"/>
      <c r="G287" s="425"/>
      <c r="H287" s="425"/>
      <c r="I287" s="425"/>
      <c r="J287" s="425"/>
      <c r="K287" s="235"/>
      <c r="L287" s="425"/>
      <c r="M287" s="425"/>
      <c r="N287" s="425"/>
      <c r="O287" s="425"/>
      <c r="P287" s="425"/>
      <c r="Q287" s="235"/>
      <c r="R287" s="425"/>
      <c r="S287" s="425"/>
      <c r="T287" s="425"/>
      <c r="U287" s="425"/>
    </row>
    <row r="288" ht="15.75" customHeight="1">
      <c r="A288" s="425"/>
      <c r="B288" s="425"/>
      <c r="C288" s="425"/>
      <c r="D288" s="425"/>
      <c r="E288" s="235"/>
      <c r="F288" s="425"/>
      <c r="G288" s="425"/>
      <c r="H288" s="425"/>
      <c r="I288" s="425"/>
      <c r="J288" s="425"/>
      <c r="K288" s="235"/>
      <c r="L288" s="425"/>
      <c r="M288" s="425"/>
      <c r="N288" s="425"/>
      <c r="O288" s="425"/>
      <c r="P288" s="425"/>
      <c r="Q288" s="235"/>
      <c r="R288" s="425"/>
      <c r="S288" s="425"/>
      <c r="T288" s="425"/>
      <c r="U288" s="425"/>
    </row>
    <row r="289" ht="15.75" customHeight="1">
      <c r="A289" s="425"/>
      <c r="B289" s="425"/>
      <c r="C289" s="425"/>
      <c r="D289" s="425"/>
      <c r="E289" s="235"/>
      <c r="F289" s="425"/>
      <c r="G289" s="425"/>
      <c r="H289" s="425"/>
      <c r="I289" s="425"/>
      <c r="J289" s="425"/>
      <c r="K289" s="235"/>
      <c r="L289" s="425"/>
      <c r="M289" s="425"/>
      <c r="N289" s="425"/>
      <c r="O289" s="425"/>
      <c r="P289" s="425"/>
      <c r="Q289" s="235"/>
      <c r="R289" s="425"/>
      <c r="S289" s="425"/>
      <c r="T289" s="425"/>
      <c r="U289" s="425"/>
    </row>
    <row r="290" ht="15.75" customHeight="1">
      <c r="A290" s="425"/>
      <c r="B290" s="425"/>
      <c r="C290" s="425"/>
      <c r="D290" s="425"/>
      <c r="E290" s="235"/>
      <c r="F290" s="425"/>
      <c r="G290" s="425"/>
      <c r="H290" s="425"/>
      <c r="I290" s="425"/>
      <c r="J290" s="425"/>
      <c r="K290" s="235"/>
      <c r="L290" s="425"/>
      <c r="M290" s="425"/>
      <c r="N290" s="425"/>
      <c r="O290" s="425"/>
      <c r="P290" s="425"/>
      <c r="Q290" s="235"/>
      <c r="R290" s="425"/>
      <c r="S290" s="425"/>
      <c r="T290" s="425"/>
      <c r="U290" s="425"/>
    </row>
    <row r="291" ht="15.75" customHeight="1">
      <c r="A291" s="425"/>
      <c r="B291" s="425"/>
      <c r="C291" s="425"/>
      <c r="D291" s="425"/>
      <c r="E291" s="235"/>
      <c r="F291" s="425"/>
      <c r="G291" s="425"/>
      <c r="H291" s="425"/>
      <c r="I291" s="425"/>
      <c r="J291" s="425"/>
      <c r="K291" s="235"/>
      <c r="L291" s="425"/>
      <c r="M291" s="425"/>
      <c r="N291" s="425"/>
      <c r="O291" s="425"/>
      <c r="P291" s="425"/>
      <c r="Q291" s="235"/>
      <c r="R291" s="425"/>
      <c r="S291" s="425"/>
      <c r="T291" s="425"/>
      <c r="U291" s="425"/>
    </row>
    <row r="292" ht="15.75" customHeight="1">
      <c r="A292" s="425"/>
      <c r="B292" s="425"/>
      <c r="C292" s="425"/>
      <c r="D292" s="425"/>
      <c r="E292" s="235"/>
      <c r="F292" s="425"/>
      <c r="G292" s="425"/>
      <c r="H292" s="425"/>
      <c r="I292" s="425"/>
      <c r="J292" s="425"/>
      <c r="K292" s="235"/>
      <c r="L292" s="425"/>
      <c r="M292" s="425"/>
      <c r="N292" s="425"/>
      <c r="O292" s="425"/>
      <c r="P292" s="425"/>
      <c r="Q292" s="235"/>
      <c r="R292" s="425"/>
      <c r="S292" s="425"/>
      <c r="T292" s="425"/>
      <c r="U292" s="425"/>
    </row>
    <row r="293" ht="15.75" customHeight="1">
      <c r="A293" s="425"/>
      <c r="B293" s="425"/>
      <c r="C293" s="425"/>
      <c r="D293" s="425"/>
      <c r="E293" s="235"/>
      <c r="F293" s="425"/>
      <c r="G293" s="425"/>
      <c r="H293" s="425"/>
      <c r="I293" s="425"/>
      <c r="J293" s="425"/>
      <c r="K293" s="235"/>
      <c r="L293" s="425"/>
      <c r="M293" s="425"/>
      <c r="N293" s="425"/>
      <c r="O293" s="425"/>
      <c r="P293" s="425"/>
      <c r="Q293" s="235"/>
      <c r="R293" s="425"/>
      <c r="S293" s="425"/>
      <c r="T293" s="425"/>
      <c r="U293" s="425"/>
    </row>
    <row r="294" ht="15.75" customHeight="1">
      <c r="A294" s="425"/>
      <c r="B294" s="425"/>
      <c r="C294" s="425"/>
      <c r="D294" s="425"/>
      <c r="E294" s="235"/>
      <c r="F294" s="425"/>
      <c r="G294" s="425"/>
      <c r="H294" s="425"/>
      <c r="I294" s="425"/>
      <c r="J294" s="425"/>
      <c r="K294" s="235"/>
      <c r="L294" s="425"/>
      <c r="M294" s="425"/>
      <c r="N294" s="425"/>
      <c r="O294" s="425"/>
      <c r="P294" s="425"/>
      <c r="Q294" s="235"/>
      <c r="R294" s="425"/>
      <c r="S294" s="425"/>
      <c r="T294" s="425"/>
      <c r="U294" s="425"/>
    </row>
    <row r="295" ht="15.75" customHeight="1">
      <c r="A295" s="425"/>
      <c r="B295" s="425"/>
      <c r="C295" s="425"/>
      <c r="D295" s="425"/>
      <c r="E295" s="235"/>
      <c r="F295" s="425"/>
      <c r="G295" s="425"/>
      <c r="H295" s="425"/>
      <c r="I295" s="425"/>
      <c r="J295" s="425"/>
      <c r="K295" s="235"/>
      <c r="L295" s="425"/>
      <c r="M295" s="425"/>
      <c r="N295" s="425"/>
      <c r="O295" s="425"/>
      <c r="P295" s="425"/>
      <c r="Q295" s="235"/>
      <c r="R295" s="425"/>
      <c r="S295" s="425"/>
      <c r="T295" s="425"/>
      <c r="U295" s="425"/>
    </row>
    <row r="296" ht="15.75" customHeight="1">
      <c r="A296" s="425"/>
      <c r="B296" s="425"/>
      <c r="C296" s="425"/>
      <c r="D296" s="425"/>
      <c r="E296" s="235"/>
      <c r="F296" s="425"/>
      <c r="G296" s="425"/>
      <c r="H296" s="425"/>
      <c r="I296" s="425"/>
      <c r="J296" s="425"/>
      <c r="K296" s="235"/>
      <c r="L296" s="425"/>
      <c r="M296" s="425"/>
      <c r="N296" s="425"/>
      <c r="O296" s="425"/>
      <c r="P296" s="425"/>
      <c r="Q296" s="235"/>
      <c r="R296" s="425"/>
      <c r="S296" s="425"/>
      <c r="T296" s="425"/>
      <c r="U296" s="425"/>
    </row>
    <row r="297" ht="15.75" customHeight="1">
      <c r="A297" s="425"/>
      <c r="B297" s="425"/>
      <c r="C297" s="425"/>
      <c r="D297" s="425"/>
      <c r="E297" s="235"/>
      <c r="F297" s="425"/>
      <c r="G297" s="425"/>
      <c r="H297" s="425"/>
      <c r="I297" s="425"/>
      <c r="J297" s="425"/>
      <c r="K297" s="235"/>
      <c r="L297" s="425"/>
      <c r="M297" s="425"/>
      <c r="N297" s="425"/>
      <c r="O297" s="425"/>
      <c r="P297" s="425"/>
      <c r="Q297" s="235"/>
      <c r="R297" s="425"/>
      <c r="S297" s="425"/>
      <c r="T297" s="425"/>
      <c r="U297" s="425"/>
    </row>
    <row r="298" ht="15.75" customHeight="1">
      <c r="A298" s="425"/>
      <c r="B298" s="425"/>
      <c r="C298" s="425"/>
      <c r="D298" s="425"/>
      <c r="E298" s="235"/>
      <c r="F298" s="425"/>
      <c r="G298" s="425"/>
      <c r="H298" s="425"/>
      <c r="I298" s="425"/>
      <c r="J298" s="425"/>
      <c r="K298" s="235"/>
      <c r="L298" s="425"/>
      <c r="M298" s="425"/>
      <c r="N298" s="425"/>
      <c r="O298" s="425"/>
      <c r="P298" s="425"/>
      <c r="Q298" s="235"/>
      <c r="R298" s="425"/>
      <c r="S298" s="425"/>
      <c r="T298" s="425"/>
      <c r="U298" s="425"/>
    </row>
    <row r="299" ht="15.75" customHeight="1">
      <c r="A299" s="425"/>
      <c r="B299" s="425"/>
      <c r="C299" s="425"/>
      <c r="D299" s="425"/>
      <c r="E299" s="235"/>
      <c r="F299" s="425"/>
      <c r="G299" s="425"/>
      <c r="H299" s="425"/>
      <c r="I299" s="425"/>
      <c r="J299" s="425"/>
      <c r="K299" s="235"/>
      <c r="L299" s="425"/>
      <c r="M299" s="425"/>
      <c r="N299" s="425"/>
      <c r="O299" s="425"/>
      <c r="P299" s="425"/>
      <c r="Q299" s="235"/>
      <c r="R299" s="425"/>
      <c r="S299" s="425"/>
      <c r="T299" s="425"/>
      <c r="U299" s="425"/>
    </row>
    <row r="300" ht="15.75" customHeight="1">
      <c r="A300" s="425"/>
      <c r="B300" s="425"/>
      <c r="C300" s="425"/>
      <c r="D300" s="425"/>
      <c r="E300" s="235"/>
      <c r="F300" s="425"/>
      <c r="G300" s="425"/>
      <c r="H300" s="425"/>
      <c r="I300" s="425"/>
      <c r="J300" s="425"/>
      <c r="K300" s="235"/>
      <c r="L300" s="425"/>
      <c r="M300" s="425"/>
      <c r="N300" s="425"/>
      <c r="O300" s="425"/>
      <c r="P300" s="425"/>
      <c r="Q300" s="235"/>
      <c r="R300" s="425"/>
      <c r="S300" s="425"/>
      <c r="T300" s="425"/>
      <c r="U300" s="425"/>
    </row>
    <row r="301" ht="15.75" customHeight="1">
      <c r="A301" s="425"/>
      <c r="B301" s="425"/>
      <c r="C301" s="425"/>
      <c r="D301" s="425"/>
      <c r="E301" s="235"/>
      <c r="F301" s="425"/>
      <c r="G301" s="425"/>
      <c r="H301" s="425"/>
      <c r="I301" s="425"/>
      <c r="J301" s="425"/>
      <c r="K301" s="235"/>
      <c r="L301" s="425"/>
      <c r="M301" s="425"/>
      <c r="N301" s="425"/>
      <c r="O301" s="425"/>
      <c r="P301" s="425"/>
      <c r="Q301" s="235"/>
      <c r="R301" s="425"/>
      <c r="S301" s="425"/>
      <c r="T301" s="425"/>
      <c r="U301" s="425"/>
    </row>
    <row r="302" ht="15.75" customHeight="1">
      <c r="A302" s="425"/>
      <c r="B302" s="425"/>
      <c r="C302" s="425"/>
      <c r="D302" s="425"/>
      <c r="E302" s="235"/>
      <c r="F302" s="425"/>
      <c r="G302" s="425"/>
      <c r="H302" s="425"/>
      <c r="I302" s="425"/>
      <c r="J302" s="425"/>
      <c r="K302" s="235"/>
      <c r="L302" s="425"/>
      <c r="M302" s="425"/>
      <c r="N302" s="425"/>
      <c r="O302" s="425"/>
      <c r="P302" s="425"/>
      <c r="Q302" s="235"/>
      <c r="R302" s="425"/>
      <c r="S302" s="425"/>
      <c r="T302" s="425"/>
      <c r="U302" s="425"/>
    </row>
    <row r="303" ht="15.75" customHeight="1">
      <c r="A303" s="425"/>
      <c r="B303" s="425"/>
      <c r="C303" s="425"/>
      <c r="D303" s="425"/>
      <c r="E303" s="235"/>
      <c r="F303" s="425"/>
      <c r="G303" s="425"/>
      <c r="H303" s="425"/>
      <c r="I303" s="425"/>
      <c r="J303" s="425"/>
      <c r="K303" s="235"/>
      <c r="L303" s="425"/>
      <c r="M303" s="425"/>
      <c r="N303" s="425"/>
      <c r="O303" s="425"/>
      <c r="P303" s="425"/>
      <c r="Q303" s="235"/>
      <c r="R303" s="425"/>
      <c r="S303" s="425"/>
      <c r="T303" s="425"/>
      <c r="U303" s="425"/>
    </row>
    <row r="304" ht="15.75" customHeight="1">
      <c r="A304" s="425"/>
      <c r="B304" s="425"/>
      <c r="C304" s="425"/>
      <c r="D304" s="425"/>
      <c r="E304" s="235"/>
      <c r="F304" s="425"/>
      <c r="G304" s="425"/>
      <c r="H304" s="425"/>
      <c r="I304" s="425"/>
      <c r="J304" s="425"/>
      <c r="K304" s="235"/>
      <c r="L304" s="425"/>
      <c r="M304" s="425"/>
      <c r="N304" s="425"/>
      <c r="O304" s="425"/>
      <c r="P304" s="425"/>
      <c r="Q304" s="235"/>
      <c r="R304" s="425"/>
      <c r="S304" s="425"/>
      <c r="T304" s="425"/>
      <c r="U304" s="425"/>
    </row>
    <row r="305" ht="15.75" customHeight="1">
      <c r="A305" s="425"/>
      <c r="B305" s="425"/>
      <c r="C305" s="425"/>
      <c r="D305" s="425"/>
      <c r="E305" s="235"/>
      <c r="F305" s="425"/>
      <c r="G305" s="425"/>
      <c r="H305" s="425"/>
      <c r="I305" s="425"/>
      <c r="J305" s="425"/>
      <c r="K305" s="235"/>
      <c r="L305" s="425"/>
      <c r="M305" s="425"/>
      <c r="N305" s="425"/>
      <c r="O305" s="425"/>
      <c r="P305" s="425"/>
      <c r="Q305" s="235"/>
      <c r="R305" s="425"/>
      <c r="S305" s="425"/>
      <c r="T305" s="425"/>
      <c r="U305" s="425"/>
    </row>
    <row r="306" ht="15.75" customHeight="1">
      <c r="A306" s="425"/>
      <c r="B306" s="425"/>
      <c r="C306" s="425"/>
      <c r="D306" s="425"/>
      <c r="E306" s="235"/>
      <c r="F306" s="425"/>
      <c r="G306" s="425"/>
      <c r="H306" s="425"/>
      <c r="I306" s="425"/>
      <c r="J306" s="425"/>
      <c r="K306" s="235"/>
      <c r="L306" s="425"/>
      <c r="M306" s="425"/>
      <c r="N306" s="425"/>
      <c r="O306" s="425"/>
      <c r="P306" s="425"/>
      <c r="Q306" s="235"/>
      <c r="R306" s="425"/>
      <c r="S306" s="425"/>
      <c r="T306" s="425"/>
      <c r="U306" s="425"/>
    </row>
    <row r="307" ht="15.75" customHeight="1">
      <c r="A307" s="425"/>
      <c r="B307" s="425"/>
      <c r="C307" s="425"/>
      <c r="D307" s="425"/>
      <c r="E307" s="235"/>
      <c r="F307" s="425"/>
      <c r="G307" s="425"/>
      <c r="H307" s="425"/>
      <c r="I307" s="425"/>
      <c r="J307" s="425"/>
      <c r="K307" s="235"/>
      <c r="L307" s="425"/>
      <c r="M307" s="425"/>
      <c r="N307" s="425"/>
      <c r="O307" s="425"/>
      <c r="P307" s="425"/>
      <c r="Q307" s="235"/>
      <c r="R307" s="425"/>
      <c r="S307" s="425"/>
      <c r="T307" s="425"/>
      <c r="U307" s="425"/>
    </row>
    <row r="308" ht="15.75" customHeight="1">
      <c r="A308" s="425"/>
      <c r="B308" s="425"/>
      <c r="C308" s="425"/>
      <c r="D308" s="425"/>
      <c r="E308" s="235"/>
      <c r="F308" s="425"/>
      <c r="G308" s="425"/>
      <c r="H308" s="425"/>
      <c r="I308" s="425"/>
      <c r="J308" s="425"/>
      <c r="K308" s="235"/>
      <c r="L308" s="425"/>
      <c r="M308" s="425"/>
      <c r="N308" s="425"/>
      <c r="O308" s="425"/>
      <c r="P308" s="425"/>
      <c r="Q308" s="235"/>
      <c r="R308" s="425"/>
      <c r="S308" s="425"/>
      <c r="T308" s="425"/>
      <c r="U308" s="425"/>
    </row>
    <row r="309" ht="15.75" customHeight="1">
      <c r="A309" s="425"/>
      <c r="B309" s="425"/>
      <c r="C309" s="425"/>
      <c r="D309" s="425"/>
      <c r="E309" s="235"/>
      <c r="F309" s="425"/>
      <c r="G309" s="425"/>
      <c r="H309" s="425"/>
      <c r="I309" s="425"/>
      <c r="J309" s="425"/>
      <c r="K309" s="235"/>
      <c r="L309" s="425"/>
      <c r="M309" s="425"/>
      <c r="N309" s="425"/>
      <c r="O309" s="425"/>
      <c r="P309" s="425"/>
      <c r="Q309" s="235"/>
      <c r="R309" s="425"/>
      <c r="S309" s="425"/>
      <c r="T309" s="425"/>
      <c r="U309" s="425"/>
    </row>
    <row r="310" ht="15.75" customHeight="1">
      <c r="A310" s="425"/>
      <c r="B310" s="425"/>
      <c r="C310" s="425"/>
      <c r="D310" s="425"/>
      <c r="E310" s="235"/>
      <c r="F310" s="425"/>
      <c r="G310" s="425"/>
      <c r="H310" s="425"/>
      <c r="I310" s="425"/>
      <c r="J310" s="425"/>
      <c r="K310" s="235"/>
      <c r="L310" s="425"/>
      <c r="M310" s="425"/>
      <c r="N310" s="425"/>
      <c r="O310" s="425"/>
      <c r="P310" s="425"/>
      <c r="Q310" s="235"/>
      <c r="R310" s="425"/>
      <c r="S310" s="425"/>
      <c r="T310" s="425"/>
      <c r="U310" s="425"/>
    </row>
    <row r="311" ht="15.75" customHeight="1">
      <c r="A311" s="425"/>
      <c r="B311" s="425"/>
      <c r="C311" s="425"/>
      <c r="D311" s="425"/>
      <c r="E311" s="235"/>
      <c r="F311" s="425"/>
      <c r="G311" s="425"/>
      <c r="H311" s="425"/>
      <c r="I311" s="425"/>
      <c r="J311" s="425"/>
      <c r="K311" s="235"/>
      <c r="L311" s="425"/>
      <c r="M311" s="425"/>
      <c r="N311" s="425"/>
      <c r="O311" s="425"/>
      <c r="P311" s="425"/>
      <c r="Q311" s="235"/>
      <c r="R311" s="425"/>
      <c r="S311" s="425"/>
      <c r="T311" s="425"/>
      <c r="U311" s="425"/>
    </row>
    <row r="312" ht="15.75" customHeight="1">
      <c r="A312" s="425"/>
      <c r="B312" s="425"/>
      <c r="C312" s="425"/>
      <c r="D312" s="425"/>
      <c r="E312" s="235"/>
      <c r="F312" s="425"/>
      <c r="G312" s="425"/>
      <c r="H312" s="425"/>
      <c r="I312" s="425"/>
      <c r="J312" s="425"/>
      <c r="K312" s="235"/>
      <c r="L312" s="425"/>
      <c r="M312" s="425"/>
      <c r="N312" s="425"/>
      <c r="O312" s="425"/>
      <c r="P312" s="425"/>
      <c r="Q312" s="235"/>
      <c r="R312" s="425"/>
      <c r="S312" s="425"/>
      <c r="T312" s="425"/>
      <c r="U312" s="425"/>
    </row>
    <row r="313" ht="15.75" customHeight="1">
      <c r="A313" s="425"/>
      <c r="B313" s="425"/>
      <c r="C313" s="425"/>
      <c r="D313" s="425"/>
      <c r="E313" s="235"/>
      <c r="F313" s="425"/>
      <c r="G313" s="425"/>
      <c r="H313" s="425"/>
      <c r="I313" s="425"/>
      <c r="J313" s="425"/>
      <c r="K313" s="235"/>
      <c r="L313" s="425"/>
      <c r="M313" s="425"/>
      <c r="N313" s="425"/>
      <c r="O313" s="425"/>
      <c r="P313" s="425"/>
      <c r="Q313" s="235"/>
      <c r="R313" s="425"/>
      <c r="S313" s="425"/>
      <c r="T313" s="425"/>
      <c r="U313" s="425"/>
    </row>
    <row r="314" ht="15.75" customHeight="1">
      <c r="A314" s="425"/>
      <c r="B314" s="425"/>
      <c r="C314" s="425"/>
      <c r="D314" s="425"/>
      <c r="E314" s="235"/>
      <c r="F314" s="425"/>
      <c r="G314" s="425"/>
      <c r="H314" s="425"/>
      <c r="I314" s="425"/>
      <c r="J314" s="425"/>
      <c r="K314" s="235"/>
      <c r="L314" s="425"/>
      <c r="M314" s="425"/>
      <c r="N314" s="425"/>
      <c r="O314" s="425"/>
      <c r="P314" s="425"/>
      <c r="Q314" s="235"/>
      <c r="R314" s="425"/>
      <c r="S314" s="425"/>
      <c r="T314" s="425"/>
      <c r="U314" s="425"/>
    </row>
    <row r="315" ht="15.75" customHeight="1">
      <c r="A315" s="425"/>
      <c r="B315" s="425"/>
      <c r="C315" s="425"/>
      <c r="D315" s="425"/>
      <c r="E315" s="235"/>
      <c r="F315" s="425"/>
      <c r="G315" s="425"/>
      <c r="H315" s="425"/>
      <c r="I315" s="425"/>
      <c r="J315" s="425"/>
      <c r="K315" s="235"/>
      <c r="L315" s="425"/>
      <c r="M315" s="425"/>
      <c r="N315" s="425"/>
      <c r="O315" s="425"/>
      <c r="P315" s="425"/>
      <c r="Q315" s="235"/>
      <c r="R315" s="425"/>
      <c r="S315" s="425"/>
      <c r="T315" s="425"/>
      <c r="U315" s="425"/>
    </row>
    <row r="316" ht="15.75" customHeight="1">
      <c r="A316" s="425"/>
      <c r="B316" s="425"/>
      <c r="C316" s="425"/>
      <c r="D316" s="425"/>
      <c r="E316" s="235"/>
      <c r="F316" s="425"/>
      <c r="G316" s="425"/>
      <c r="H316" s="425"/>
      <c r="I316" s="425"/>
      <c r="J316" s="425"/>
      <c r="K316" s="235"/>
      <c r="L316" s="425"/>
      <c r="M316" s="425"/>
      <c r="N316" s="425"/>
      <c r="O316" s="425"/>
      <c r="P316" s="425"/>
      <c r="Q316" s="235"/>
      <c r="R316" s="425"/>
      <c r="S316" s="425"/>
      <c r="T316" s="425"/>
      <c r="U316" s="425"/>
    </row>
    <row r="317" ht="15.75" customHeight="1">
      <c r="A317" s="425"/>
      <c r="B317" s="425"/>
      <c r="C317" s="425"/>
      <c r="D317" s="425"/>
      <c r="E317" s="235"/>
      <c r="F317" s="425"/>
      <c r="G317" s="425"/>
      <c r="H317" s="425"/>
      <c r="I317" s="425"/>
      <c r="J317" s="425"/>
      <c r="K317" s="235"/>
      <c r="L317" s="425"/>
      <c r="M317" s="425"/>
      <c r="N317" s="425"/>
      <c r="O317" s="425"/>
      <c r="P317" s="425"/>
      <c r="Q317" s="235"/>
      <c r="R317" s="425"/>
      <c r="S317" s="425"/>
      <c r="T317" s="425"/>
      <c r="U317" s="425"/>
    </row>
    <row r="318" ht="15.75" customHeight="1">
      <c r="A318" s="425"/>
      <c r="B318" s="425"/>
      <c r="C318" s="425"/>
      <c r="D318" s="425"/>
      <c r="E318" s="235"/>
      <c r="F318" s="425"/>
      <c r="G318" s="425"/>
      <c r="H318" s="425"/>
      <c r="I318" s="425"/>
      <c r="J318" s="425"/>
      <c r="K318" s="235"/>
      <c r="L318" s="425"/>
      <c r="M318" s="425"/>
      <c r="N318" s="425"/>
      <c r="O318" s="425"/>
      <c r="P318" s="425"/>
      <c r="Q318" s="235"/>
      <c r="R318" s="425"/>
      <c r="S318" s="425"/>
      <c r="T318" s="425"/>
      <c r="U318" s="425"/>
    </row>
    <row r="319" ht="15.75" customHeight="1">
      <c r="A319" s="425"/>
      <c r="B319" s="425"/>
      <c r="C319" s="425"/>
      <c r="D319" s="425"/>
      <c r="E319" s="235"/>
      <c r="F319" s="425"/>
      <c r="G319" s="425"/>
      <c r="H319" s="425"/>
      <c r="I319" s="425"/>
      <c r="J319" s="425"/>
      <c r="K319" s="235"/>
      <c r="L319" s="425"/>
      <c r="M319" s="425"/>
      <c r="N319" s="425"/>
      <c r="O319" s="425"/>
      <c r="P319" s="425"/>
      <c r="Q319" s="235"/>
      <c r="R319" s="425"/>
      <c r="S319" s="425"/>
      <c r="T319" s="425"/>
      <c r="U319" s="425"/>
    </row>
    <row r="320" ht="15.75" customHeight="1">
      <c r="A320" s="425"/>
      <c r="B320" s="425"/>
      <c r="C320" s="425"/>
      <c r="D320" s="425"/>
      <c r="E320" s="235"/>
      <c r="F320" s="425"/>
      <c r="G320" s="425"/>
      <c r="H320" s="425"/>
      <c r="I320" s="425"/>
      <c r="J320" s="425"/>
      <c r="K320" s="235"/>
      <c r="L320" s="425"/>
      <c r="M320" s="425"/>
      <c r="N320" s="425"/>
      <c r="O320" s="425"/>
      <c r="P320" s="425"/>
      <c r="Q320" s="235"/>
      <c r="R320" s="425"/>
      <c r="S320" s="425"/>
      <c r="T320" s="425"/>
      <c r="U320" s="425"/>
    </row>
    <row r="321" ht="15.75" customHeight="1">
      <c r="A321" s="425"/>
      <c r="B321" s="425"/>
      <c r="C321" s="425"/>
      <c r="D321" s="425"/>
      <c r="E321" s="235"/>
      <c r="F321" s="425"/>
      <c r="G321" s="425"/>
      <c r="H321" s="425"/>
      <c r="I321" s="425"/>
      <c r="J321" s="425"/>
      <c r="K321" s="235"/>
      <c r="L321" s="425"/>
      <c r="M321" s="425"/>
      <c r="N321" s="425"/>
      <c r="O321" s="425"/>
      <c r="P321" s="425"/>
      <c r="Q321" s="235"/>
      <c r="R321" s="425"/>
      <c r="S321" s="425"/>
      <c r="T321" s="425"/>
      <c r="U321" s="425"/>
    </row>
    <row r="322" ht="15.75" customHeight="1">
      <c r="A322" s="425"/>
      <c r="B322" s="425"/>
      <c r="C322" s="425"/>
      <c r="D322" s="425"/>
      <c r="E322" s="235"/>
      <c r="F322" s="425"/>
      <c r="G322" s="425"/>
      <c r="H322" s="425"/>
      <c r="I322" s="425"/>
      <c r="J322" s="425"/>
      <c r="K322" s="235"/>
      <c r="L322" s="425"/>
      <c r="M322" s="425"/>
      <c r="N322" s="425"/>
      <c r="O322" s="425"/>
      <c r="P322" s="425"/>
      <c r="Q322" s="235"/>
      <c r="R322" s="425"/>
      <c r="S322" s="425"/>
      <c r="T322" s="425"/>
      <c r="U322" s="425"/>
    </row>
    <row r="323" ht="15.75" customHeight="1">
      <c r="A323" s="425"/>
      <c r="B323" s="425"/>
      <c r="C323" s="425"/>
      <c r="D323" s="425"/>
      <c r="E323" s="235"/>
      <c r="F323" s="425"/>
      <c r="G323" s="425"/>
      <c r="H323" s="425"/>
      <c r="I323" s="425"/>
      <c r="J323" s="425"/>
      <c r="K323" s="235"/>
      <c r="L323" s="425"/>
      <c r="M323" s="425"/>
      <c r="N323" s="425"/>
      <c r="O323" s="425"/>
      <c r="P323" s="425"/>
      <c r="Q323" s="235"/>
      <c r="R323" s="425"/>
      <c r="S323" s="425"/>
      <c r="T323" s="425"/>
      <c r="U323" s="425"/>
    </row>
    <row r="324" ht="15.75" customHeight="1">
      <c r="A324" s="425"/>
      <c r="B324" s="425"/>
      <c r="C324" s="425"/>
      <c r="D324" s="425"/>
      <c r="E324" s="235"/>
      <c r="F324" s="425"/>
      <c r="G324" s="425"/>
      <c r="H324" s="425"/>
      <c r="I324" s="425"/>
      <c r="J324" s="425"/>
      <c r="K324" s="235"/>
      <c r="L324" s="425"/>
      <c r="M324" s="425"/>
      <c r="N324" s="425"/>
      <c r="O324" s="425"/>
      <c r="P324" s="425"/>
      <c r="Q324" s="235"/>
      <c r="R324" s="425"/>
      <c r="S324" s="425"/>
      <c r="T324" s="425"/>
      <c r="U324" s="425"/>
    </row>
    <row r="325" ht="15.75" customHeight="1">
      <c r="A325" s="425"/>
      <c r="B325" s="425"/>
      <c r="C325" s="425"/>
      <c r="D325" s="425"/>
      <c r="E325" s="235"/>
      <c r="F325" s="425"/>
      <c r="G325" s="425"/>
      <c r="H325" s="425"/>
      <c r="I325" s="425"/>
      <c r="J325" s="425"/>
      <c r="K325" s="235"/>
      <c r="L325" s="425"/>
      <c r="M325" s="425"/>
      <c r="N325" s="425"/>
      <c r="O325" s="425"/>
      <c r="P325" s="425"/>
      <c r="Q325" s="235"/>
      <c r="R325" s="425"/>
      <c r="S325" s="425"/>
      <c r="T325" s="425"/>
      <c r="U325" s="425"/>
    </row>
    <row r="326" ht="15.75" customHeight="1">
      <c r="A326" s="425"/>
      <c r="B326" s="425"/>
      <c r="C326" s="425"/>
      <c r="D326" s="425"/>
      <c r="E326" s="235"/>
      <c r="F326" s="425"/>
      <c r="G326" s="425"/>
      <c r="H326" s="425"/>
      <c r="I326" s="425"/>
      <c r="J326" s="425"/>
      <c r="K326" s="235"/>
      <c r="L326" s="425"/>
      <c r="M326" s="425"/>
      <c r="N326" s="425"/>
      <c r="O326" s="425"/>
      <c r="P326" s="425"/>
      <c r="Q326" s="235"/>
      <c r="R326" s="425"/>
      <c r="S326" s="425"/>
      <c r="T326" s="425"/>
      <c r="U326" s="425"/>
    </row>
    <row r="327" ht="15.75" customHeight="1">
      <c r="A327" s="425"/>
      <c r="B327" s="425"/>
      <c r="C327" s="425"/>
      <c r="D327" s="425"/>
      <c r="E327" s="235"/>
      <c r="F327" s="425"/>
      <c r="G327" s="425"/>
      <c r="H327" s="425"/>
      <c r="I327" s="425"/>
      <c r="J327" s="425"/>
      <c r="K327" s="235"/>
      <c r="L327" s="425"/>
      <c r="M327" s="425"/>
      <c r="N327" s="425"/>
      <c r="O327" s="425"/>
      <c r="P327" s="425"/>
      <c r="Q327" s="235"/>
      <c r="R327" s="425"/>
      <c r="S327" s="425"/>
      <c r="T327" s="425"/>
      <c r="U327" s="425"/>
    </row>
    <row r="328" ht="15.75" customHeight="1">
      <c r="A328" s="425"/>
      <c r="B328" s="425"/>
      <c r="C328" s="425"/>
      <c r="D328" s="425"/>
      <c r="E328" s="235"/>
      <c r="F328" s="425"/>
      <c r="G328" s="425"/>
      <c r="H328" s="425"/>
      <c r="I328" s="425"/>
      <c r="J328" s="425"/>
      <c r="K328" s="235"/>
      <c r="L328" s="425"/>
      <c r="M328" s="425"/>
      <c r="N328" s="425"/>
      <c r="O328" s="425"/>
      <c r="P328" s="425"/>
      <c r="Q328" s="235"/>
      <c r="R328" s="425"/>
      <c r="S328" s="425"/>
      <c r="T328" s="425"/>
      <c r="U328" s="425"/>
    </row>
    <row r="329" ht="15.75" customHeight="1">
      <c r="A329" s="425"/>
      <c r="B329" s="425"/>
      <c r="C329" s="425"/>
      <c r="D329" s="425"/>
      <c r="E329" s="235"/>
      <c r="F329" s="425"/>
      <c r="G329" s="425"/>
      <c r="H329" s="425"/>
      <c r="I329" s="425"/>
      <c r="J329" s="425"/>
      <c r="K329" s="235"/>
      <c r="L329" s="425"/>
      <c r="M329" s="425"/>
      <c r="N329" s="425"/>
      <c r="O329" s="425"/>
      <c r="P329" s="425"/>
      <c r="Q329" s="235"/>
      <c r="R329" s="425"/>
      <c r="S329" s="425"/>
      <c r="T329" s="425"/>
      <c r="U329" s="425"/>
    </row>
    <row r="330" ht="15.75" customHeight="1">
      <c r="A330" s="425"/>
      <c r="B330" s="425"/>
      <c r="C330" s="425"/>
      <c r="D330" s="425"/>
      <c r="E330" s="235"/>
      <c r="F330" s="425"/>
      <c r="G330" s="425"/>
      <c r="H330" s="425"/>
      <c r="I330" s="425"/>
      <c r="J330" s="425"/>
      <c r="K330" s="235"/>
      <c r="L330" s="425"/>
      <c r="M330" s="425"/>
      <c r="N330" s="425"/>
      <c r="O330" s="425"/>
      <c r="P330" s="425"/>
      <c r="Q330" s="235"/>
      <c r="R330" s="425"/>
      <c r="S330" s="425"/>
      <c r="T330" s="425"/>
      <c r="U330" s="425"/>
    </row>
    <row r="331" ht="15.75" customHeight="1">
      <c r="A331" s="425"/>
      <c r="B331" s="425"/>
      <c r="C331" s="425"/>
      <c r="D331" s="425"/>
      <c r="E331" s="235"/>
      <c r="F331" s="425"/>
      <c r="G331" s="425"/>
      <c r="H331" s="425"/>
      <c r="I331" s="425"/>
      <c r="J331" s="425"/>
      <c r="K331" s="235"/>
      <c r="L331" s="425"/>
      <c r="M331" s="425"/>
      <c r="N331" s="425"/>
      <c r="O331" s="425"/>
      <c r="P331" s="425"/>
      <c r="Q331" s="235"/>
      <c r="R331" s="425"/>
      <c r="S331" s="425"/>
      <c r="T331" s="425"/>
      <c r="U331" s="425"/>
    </row>
    <row r="332" ht="15.75" customHeight="1">
      <c r="A332" s="425"/>
      <c r="B332" s="425"/>
      <c r="C332" s="425"/>
      <c r="D332" s="425"/>
      <c r="E332" s="235"/>
      <c r="F332" s="425"/>
      <c r="G332" s="425"/>
      <c r="H332" s="425"/>
      <c r="I332" s="425"/>
      <c r="J332" s="425"/>
      <c r="K332" s="235"/>
      <c r="L332" s="425"/>
      <c r="M332" s="425"/>
      <c r="N332" s="425"/>
      <c r="O332" s="425"/>
      <c r="P332" s="425"/>
      <c r="Q332" s="235"/>
      <c r="R332" s="425"/>
      <c r="S332" s="425"/>
      <c r="T332" s="425"/>
      <c r="U332" s="425"/>
    </row>
    <row r="333" ht="15.75" customHeight="1">
      <c r="A333" s="425"/>
      <c r="B333" s="425"/>
      <c r="C333" s="425"/>
      <c r="D333" s="425"/>
      <c r="E333" s="235"/>
      <c r="F333" s="425"/>
      <c r="G333" s="425"/>
      <c r="H333" s="425"/>
      <c r="I333" s="425"/>
      <c r="J333" s="425"/>
      <c r="K333" s="235"/>
      <c r="L333" s="425"/>
      <c r="M333" s="425"/>
      <c r="N333" s="425"/>
      <c r="O333" s="425"/>
      <c r="P333" s="425"/>
      <c r="Q333" s="235"/>
      <c r="R333" s="425"/>
      <c r="S333" s="425"/>
      <c r="T333" s="425"/>
      <c r="U333" s="425"/>
    </row>
    <row r="334" ht="15.75" customHeight="1">
      <c r="A334" s="425"/>
      <c r="B334" s="425"/>
      <c r="C334" s="425"/>
      <c r="D334" s="425"/>
      <c r="E334" s="235"/>
      <c r="F334" s="425"/>
      <c r="G334" s="425"/>
      <c r="H334" s="425"/>
      <c r="I334" s="425"/>
      <c r="J334" s="425"/>
      <c r="K334" s="235"/>
      <c r="L334" s="425"/>
      <c r="M334" s="425"/>
      <c r="N334" s="425"/>
      <c r="O334" s="425"/>
      <c r="P334" s="425"/>
      <c r="Q334" s="235"/>
      <c r="R334" s="425"/>
      <c r="S334" s="425"/>
      <c r="T334" s="425"/>
      <c r="U334" s="425"/>
    </row>
    <row r="335" ht="15.75" customHeight="1">
      <c r="A335" s="425"/>
      <c r="B335" s="425"/>
      <c r="C335" s="425"/>
      <c r="D335" s="425"/>
      <c r="E335" s="235"/>
      <c r="F335" s="425"/>
      <c r="G335" s="425"/>
      <c r="H335" s="425"/>
      <c r="I335" s="425"/>
      <c r="J335" s="425"/>
      <c r="K335" s="235"/>
      <c r="L335" s="425"/>
      <c r="M335" s="425"/>
      <c r="N335" s="425"/>
      <c r="O335" s="425"/>
      <c r="P335" s="425"/>
      <c r="Q335" s="235"/>
      <c r="R335" s="425"/>
      <c r="S335" s="425"/>
      <c r="T335" s="425"/>
      <c r="U335" s="425"/>
    </row>
    <row r="336" ht="15.75" customHeight="1">
      <c r="A336" s="425"/>
      <c r="B336" s="425"/>
      <c r="C336" s="425"/>
      <c r="D336" s="425"/>
      <c r="E336" s="235"/>
      <c r="F336" s="425"/>
      <c r="G336" s="425"/>
      <c r="H336" s="425"/>
      <c r="I336" s="425"/>
      <c r="J336" s="425"/>
      <c r="K336" s="235"/>
      <c r="L336" s="425"/>
      <c r="M336" s="425"/>
      <c r="N336" s="425"/>
      <c r="O336" s="425"/>
      <c r="P336" s="425"/>
      <c r="Q336" s="235"/>
      <c r="R336" s="425"/>
      <c r="S336" s="425"/>
      <c r="T336" s="425"/>
      <c r="U336" s="425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69:C69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7.5"/>
    <col customWidth="1" min="4" max="4" width="12.63"/>
    <col customWidth="1" hidden="1" min="5" max="9" width="12.63"/>
    <col customWidth="1" min="10" max="10" width="12.63"/>
    <col customWidth="1" hidden="1" min="11" max="15" width="12.63"/>
    <col customWidth="1" min="16" max="16" width="12.63"/>
    <col customWidth="1" hidden="1" min="17" max="21" width="12.63"/>
    <col customWidth="1" min="22" max="29" width="12.63"/>
  </cols>
  <sheetData>
    <row r="1" ht="15.75" customHeight="1">
      <c r="A1" s="425"/>
      <c r="B1" s="426" t="s">
        <v>0</v>
      </c>
      <c r="C1" s="425"/>
      <c r="D1" s="425"/>
      <c r="E1" s="235"/>
      <c r="F1" s="425"/>
      <c r="G1" s="425"/>
      <c r="H1" s="425"/>
      <c r="I1" s="425"/>
      <c r="J1" s="425"/>
      <c r="K1" s="235"/>
      <c r="L1" s="425"/>
      <c r="M1" s="425"/>
      <c r="N1" s="425"/>
      <c r="O1" s="425"/>
      <c r="P1" s="425"/>
      <c r="Q1" s="23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</row>
    <row r="2" ht="15.75" customHeight="1">
      <c r="A2" s="425"/>
      <c r="B2" s="427" t="s">
        <v>350</v>
      </c>
      <c r="C2" s="425"/>
      <c r="D2" s="425"/>
      <c r="E2" s="235"/>
      <c r="F2" s="425"/>
      <c r="G2" s="425"/>
      <c r="H2" s="425"/>
      <c r="I2" s="425"/>
      <c r="J2" s="425"/>
      <c r="K2" s="235"/>
      <c r="L2" s="425"/>
      <c r="M2" s="425"/>
      <c r="N2" s="425"/>
      <c r="O2" s="425"/>
      <c r="P2" s="425"/>
      <c r="Q2" s="23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</row>
    <row r="3" ht="15.75" customHeight="1">
      <c r="A3" s="425"/>
      <c r="B3" s="425"/>
      <c r="C3" s="425"/>
      <c r="D3" s="425"/>
      <c r="E3" s="235"/>
      <c r="F3" s="425"/>
      <c r="G3" s="425"/>
      <c r="H3" s="425"/>
      <c r="I3" s="425"/>
      <c r="J3" s="425"/>
      <c r="K3" s="235"/>
      <c r="L3" s="425"/>
      <c r="M3" s="425"/>
      <c r="N3" s="425"/>
      <c r="O3" s="425"/>
      <c r="P3" s="425"/>
      <c r="Q3" s="23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</row>
    <row r="4" ht="15.75" customHeight="1">
      <c r="A4" s="425"/>
      <c r="B4" s="428" t="s">
        <v>165</v>
      </c>
      <c r="C4" s="428" t="s">
        <v>166</v>
      </c>
      <c r="D4" s="652" t="s">
        <v>167</v>
      </c>
      <c r="E4" s="10"/>
      <c r="F4" s="10"/>
      <c r="G4" s="10"/>
      <c r="H4" s="10"/>
      <c r="I4" s="12"/>
      <c r="J4" s="652" t="s">
        <v>168</v>
      </c>
      <c r="K4" s="10"/>
      <c r="L4" s="10"/>
      <c r="M4" s="10"/>
      <c r="N4" s="10"/>
      <c r="O4" s="12"/>
      <c r="P4" s="653" t="s">
        <v>169</v>
      </c>
      <c r="Q4" s="10"/>
      <c r="R4" s="10"/>
      <c r="S4" s="10"/>
      <c r="T4" s="10"/>
      <c r="U4" s="12"/>
      <c r="V4" s="654"/>
      <c r="W4" s="654"/>
      <c r="X4" s="654"/>
      <c r="Y4" s="654"/>
      <c r="Z4" s="654"/>
      <c r="AA4" s="654"/>
      <c r="AB4" s="654"/>
      <c r="AC4" s="654"/>
    </row>
    <row r="5">
      <c r="A5" s="514"/>
      <c r="B5" s="515"/>
      <c r="C5" s="515"/>
      <c r="D5" s="1057" t="s">
        <v>170</v>
      </c>
      <c r="E5" s="1058" t="s">
        <v>18</v>
      </c>
      <c r="F5" s="1058" t="s">
        <v>171</v>
      </c>
      <c r="G5" s="1058" t="s">
        <v>18</v>
      </c>
      <c r="H5" s="1058" t="s">
        <v>172</v>
      </c>
      <c r="I5" s="1059" t="s">
        <v>260</v>
      </c>
      <c r="J5" s="753" t="s">
        <v>170</v>
      </c>
      <c r="K5" s="1060" t="s">
        <v>18</v>
      </c>
      <c r="L5" s="1058" t="s">
        <v>171</v>
      </c>
      <c r="M5" s="1058" t="s">
        <v>18</v>
      </c>
      <c r="N5" s="1058" t="s">
        <v>172</v>
      </c>
      <c r="O5" s="1059" t="s">
        <v>260</v>
      </c>
      <c r="P5" s="753" t="s">
        <v>170</v>
      </c>
      <c r="Q5" s="753" t="s">
        <v>18</v>
      </c>
      <c r="R5" s="753" t="s">
        <v>171</v>
      </c>
      <c r="S5" s="753" t="s">
        <v>18</v>
      </c>
      <c r="T5" s="753" t="s">
        <v>172</v>
      </c>
      <c r="U5" s="753" t="s">
        <v>260</v>
      </c>
      <c r="V5" s="755"/>
      <c r="W5" s="755"/>
      <c r="X5" s="755"/>
      <c r="Y5" s="755"/>
      <c r="Z5" s="755"/>
      <c r="AA5" s="755"/>
      <c r="AB5" s="755"/>
      <c r="AC5" s="755"/>
    </row>
    <row r="6" hidden="1">
      <c r="A6" s="425"/>
      <c r="B6" s="454"/>
      <c r="C6" s="454" t="s">
        <v>76</v>
      </c>
      <c r="D6" s="661">
        <v>0.0</v>
      </c>
      <c r="E6" s="522"/>
      <c r="F6" s="610"/>
      <c r="G6" s="522"/>
      <c r="H6" s="610"/>
      <c r="I6" s="524"/>
      <c r="J6" s="661">
        <v>0.0</v>
      </c>
      <c r="K6" s="522"/>
      <c r="L6" s="610"/>
      <c r="M6" s="522"/>
      <c r="N6" s="610"/>
      <c r="O6" s="524"/>
      <c r="P6" s="686">
        <v>0.0</v>
      </c>
      <c r="Q6" s="446"/>
      <c r="R6" s="686"/>
      <c r="S6" s="446"/>
      <c r="T6" s="686"/>
      <c r="U6" s="446"/>
      <c r="V6" s="425"/>
      <c r="W6" s="425"/>
      <c r="X6" s="425"/>
      <c r="Y6" s="425"/>
      <c r="Z6" s="425"/>
      <c r="AA6" s="425"/>
      <c r="AB6" s="425"/>
      <c r="AC6" s="425"/>
    </row>
    <row r="7" hidden="1">
      <c r="A7" s="425"/>
      <c r="B7" s="454"/>
      <c r="C7" s="454" t="s">
        <v>83</v>
      </c>
      <c r="D7" s="662">
        <v>0.0</v>
      </c>
      <c r="E7" s="521"/>
      <c r="F7" s="612"/>
      <c r="G7" s="521"/>
      <c r="H7" s="612"/>
      <c r="I7" s="464"/>
      <c r="J7" s="662">
        <v>0.0</v>
      </c>
      <c r="K7" s="521"/>
      <c r="L7" s="612"/>
      <c r="M7" s="521"/>
      <c r="N7" s="612"/>
      <c r="O7" s="464"/>
      <c r="P7" s="685">
        <v>0.0</v>
      </c>
      <c r="Q7" s="454"/>
      <c r="R7" s="685"/>
      <c r="S7" s="454"/>
      <c r="T7" s="685"/>
      <c r="U7" s="454"/>
      <c r="V7" s="425"/>
      <c r="W7" s="425"/>
      <c r="X7" s="425"/>
      <c r="Y7" s="425"/>
      <c r="Z7" s="425"/>
      <c r="AA7" s="425"/>
      <c r="AB7" s="425"/>
      <c r="AC7" s="425"/>
    </row>
    <row r="8" hidden="1">
      <c r="A8" s="425"/>
      <c r="B8" s="454"/>
      <c r="C8" s="454" t="s">
        <v>90</v>
      </c>
      <c r="D8" s="662">
        <v>0.0</v>
      </c>
      <c r="E8" s="521"/>
      <c r="F8" s="612"/>
      <c r="G8" s="521"/>
      <c r="H8" s="612"/>
      <c r="I8" s="464"/>
      <c r="J8" s="662">
        <v>0.0</v>
      </c>
      <c r="K8" s="521"/>
      <c r="L8" s="612"/>
      <c r="M8" s="521"/>
      <c r="N8" s="612"/>
      <c r="O8" s="464"/>
      <c r="P8" s="685">
        <v>0.0</v>
      </c>
      <c r="Q8" s="454"/>
      <c r="R8" s="685"/>
      <c r="S8" s="454"/>
      <c r="T8" s="685"/>
      <c r="U8" s="454"/>
      <c r="V8" s="425"/>
      <c r="W8" s="425"/>
      <c r="X8" s="425"/>
      <c r="Y8" s="425"/>
      <c r="Z8" s="425"/>
      <c r="AA8" s="425"/>
      <c r="AB8" s="425"/>
      <c r="AC8" s="425"/>
    </row>
    <row r="9" hidden="1">
      <c r="A9" s="425"/>
      <c r="B9" s="454"/>
      <c r="C9" s="454" t="s">
        <v>97</v>
      </c>
      <c r="D9" s="662">
        <v>0.0</v>
      </c>
      <c r="E9" s="521"/>
      <c r="F9" s="612"/>
      <c r="G9" s="521"/>
      <c r="H9" s="612"/>
      <c r="I9" s="464"/>
      <c r="J9" s="662">
        <v>0.0</v>
      </c>
      <c r="K9" s="521"/>
      <c r="L9" s="612"/>
      <c r="M9" s="521"/>
      <c r="N9" s="612"/>
      <c r="O9" s="464"/>
      <c r="P9" s="685">
        <v>0.0</v>
      </c>
      <c r="Q9" s="454"/>
      <c r="R9" s="685"/>
      <c r="S9" s="454"/>
      <c r="T9" s="685"/>
      <c r="U9" s="454"/>
      <c r="V9" s="425"/>
      <c r="W9" s="425"/>
      <c r="X9" s="425"/>
      <c r="Y9" s="425"/>
      <c r="Z9" s="425"/>
      <c r="AA9" s="425"/>
      <c r="AB9" s="425"/>
      <c r="AC9" s="425"/>
    </row>
    <row r="10" hidden="1">
      <c r="A10" s="425"/>
      <c r="B10" s="454"/>
      <c r="C10" s="454" t="s">
        <v>104</v>
      </c>
      <c r="D10" s="662">
        <f>SUM(D8:D9)-D27</f>
        <v>-124708.89</v>
      </c>
      <c r="E10" s="521"/>
      <c r="F10" s="612"/>
      <c r="G10" s="521"/>
      <c r="H10" s="612"/>
      <c r="I10" s="464"/>
      <c r="J10" s="662">
        <f>SUM(J8:J9)-J27</f>
        <v>-103369</v>
      </c>
      <c r="K10" s="521"/>
      <c r="L10" s="612"/>
      <c r="M10" s="521"/>
      <c r="N10" s="612"/>
      <c r="O10" s="464"/>
      <c r="P10" s="685">
        <f>SUM(P8:P9)-P27</f>
        <v>0</v>
      </c>
      <c r="Q10" s="454"/>
      <c r="R10" s="685"/>
      <c r="S10" s="454"/>
      <c r="T10" s="685"/>
      <c r="U10" s="454"/>
      <c r="V10" s="425"/>
      <c r="W10" s="425"/>
      <c r="X10" s="425"/>
      <c r="Y10" s="425"/>
      <c r="Z10" s="425"/>
      <c r="AA10" s="425"/>
      <c r="AB10" s="425"/>
      <c r="AC10" s="425"/>
    </row>
    <row r="11" hidden="1">
      <c r="A11" s="425"/>
      <c r="B11" s="454"/>
      <c r="C11" s="454" t="s">
        <v>111</v>
      </c>
      <c r="D11" s="662"/>
      <c r="E11" s="521"/>
      <c r="F11" s="612"/>
      <c r="G11" s="521"/>
      <c r="H11" s="612"/>
      <c r="I11" s="464"/>
      <c r="J11" s="662"/>
      <c r="K11" s="521"/>
      <c r="L11" s="612"/>
      <c r="M11" s="521"/>
      <c r="N11" s="612"/>
      <c r="O11" s="464"/>
      <c r="P11" s="685"/>
      <c r="Q11" s="454"/>
      <c r="R11" s="685"/>
      <c r="S11" s="454"/>
      <c r="T11" s="685"/>
      <c r="U11" s="454"/>
      <c r="V11" s="425"/>
      <c r="W11" s="425"/>
      <c r="X11" s="425"/>
      <c r="Y11" s="425"/>
      <c r="Z11" s="425"/>
      <c r="AA11" s="425"/>
      <c r="AB11" s="425"/>
      <c r="AC11" s="425"/>
    </row>
    <row r="12" hidden="1">
      <c r="A12" s="425"/>
      <c r="B12" s="454"/>
      <c r="C12" s="454" t="s">
        <v>118</v>
      </c>
      <c r="D12" s="662"/>
      <c r="E12" s="521"/>
      <c r="F12" s="612"/>
      <c r="G12" s="521"/>
      <c r="H12" s="612"/>
      <c r="I12" s="464"/>
      <c r="J12" s="662"/>
      <c r="K12" s="521"/>
      <c r="L12" s="612"/>
      <c r="M12" s="521"/>
      <c r="N12" s="612"/>
      <c r="O12" s="464"/>
      <c r="P12" s="685"/>
      <c r="Q12" s="454"/>
      <c r="R12" s="685"/>
      <c r="S12" s="454"/>
      <c r="T12" s="685"/>
      <c r="U12" s="454"/>
      <c r="V12" s="425"/>
      <c r="W12" s="425"/>
      <c r="X12" s="425"/>
      <c r="Y12" s="425"/>
      <c r="Z12" s="425"/>
      <c r="AA12" s="425"/>
      <c r="AB12" s="425"/>
      <c r="AC12" s="425"/>
    </row>
    <row r="13" hidden="1">
      <c r="A13" s="425"/>
      <c r="B13" s="454"/>
      <c r="C13" s="450"/>
      <c r="D13" s="662"/>
      <c r="E13" s="521"/>
      <c r="F13" s="612"/>
      <c r="G13" s="242"/>
      <c r="H13" s="612"/>
      <c r="I13" s="633"/>
      <c r="J13" s="662"/>
      <c r="K13" s="521"/>
      <c r="L13" s="612"/>
      <c r="M13" s="242"/>
      <c r="N13" s="612"/>
      <c r="O13" s="633"/>
      <c r="P13" s="685"/>
      <c r="Q13" s="454"/>
      <c r="R13" s="685"/>
      <c r="S13" s="450"/>
      <c r="T13" s="685"/>
      <c r="U13" s="450"/>
      <c r="V13" s="425"/>
      <c r="W13" s="425"/>
      <c r="X13" s="425"/>
      <c r="Y13" s="425"/>
      <c r="Z13" s="425"/>
      <c r="AA13" s="425"/>
      <c r="AB13" s="425"/>
      <c r="AC13" s="425"/>
    </row>
    <row r="14" hidden="1">
      <c r="A14" s="425"/>
      <c r="B14" s="525"/>
      <c r="C14" s="468"/>
      <c r="D14" s="663"/>
      <c r="E14" s="526"/>
      <c r="F14" s="664"/>
      <c r="G14" s="636"/>
      <c r="H14" s="664"/>
      <c r="I14" s="638"/>
      <c r="J14" s="663"/>
      <c r="K14" s="526"/>
      <c r="L14" s="664"/>
      <c r="M14" s="636"/>
      <c r="N14" s="664"/>
      <c r="O14" s="638"/>
      <c r="P14" s="687"/>
      <c r="Q14" s="525"/>
      <c r="R14" s="687"/>
      <c r="S14" s="468"/>
      <c r="T14" s="687"/>
      <c r="U14" s="468"/>
      <c r="V14" s="425"/>
      <c r="W14" s="425"/>
      <c r="X14" s="425"/>
      <c r="Y14" s="425"/>
      <c r="Z14" s="425"/>
      <c r="AA14" s="425"/>
      <c r="AB14" s="425"/>
      <c r="AC14" s="425"/>
    </row>
    <row r="15" ht="15.75" customHeight="1">
      <c r="A15" s="425"/>
      <c r="B15" s="442" t="s">
        <v>173</v>
      </c>
      <c r="C15" s="474" t="s">
        <v>322</v>
      </c>
      <c r="D15" s="627">
        <f>SUM(D16:D20)</f>
        <v>124708.89</v>
      </c>
      <c r="E15" s="442"/>
      <c r="F15" s="627"/>
      <c r="G15" s="474"/>
      <c r="H15" s="627">
        <f>SUM(H16:H19)</f>
        <v>48936.42</v>
      </c>
      <c r="I15" s="474"/>
      <c r="J15" s="627">
        <f>SUM(J16:J20)</f>
        <v>103369</v>
      </c>
      <c r="K15" s="629"/>
      <c r="L15" s="705"/>
      <c r="M15" s="477"/>
      <c r="N15" s="705">
        <f>SUM(N16:N19)</f>
        <v>53228</v>
      </c>
      <c r="O15" s="477"/>
      <c r="P15" s="627">
        <f>SUM(P16:P20)</f>
        <v>0</v>
      </c>
      <c r="Q15" s="629"/>
      <c r="R15" s="705"/>
      <c r="S15" s="477"/>
      <c r="T15" s="705">
        <f>SUM(T16:T19)</f>
        <v>0</v>
      </c>
      <c r="U15" s="477"/>
      <c r="V15" s="427"/>
      <c r="W15" s="427"/>
      <c r="X15" s="427"/>
      <c r="Y15" s="427"/>
      <c r="Z15" s="427"/>
      <c r="AA15" s="427"/>
      <c r="AB15" s="427"/>
      <c r="AC15" s="427"/>
    </row>
    <row r="16" ht="15.75" customHeight="1">
      <c r="A16" s="425"/>
      <c r="B16" s="446"/>
      <c r="C16" s="481"/>
      <c r="D16" s="661"/>
      <c r="E16" s="522"/>
      <c r="F16" s="610"/>
      <c r="G16" s="630"/>
      <c r="H16" s="610"/>
      <c r="I16" s="631"/>
      <c r="J16" s="661"/>
      <c r="K16" s="522"/>
      <c r="L16" s="610"/>
      <c r="M16" s="630"/>
      <c r="N16" s="610"/>
      <c r="O16" s="631"/>
      <c r="P16" s="686"/>
      <c r="Q16" s="446"/>
      <c r="R16" s="686"/>
      <c r="S16" s="481"/>
      <c r="T16" s="686"/>
      <c r="U16" s="481"/>
      <c r="V16" s="425"/>
      <c r="W16" s="425"/>
      <c r="X16" s="425"/>
      <c r="Y16" s="425"/>
      <c r="Z16" s="425"/>
      <c r="AA16" s="425"/>
      <c r="AB16" s="425"/>
      <c r="AC16" s="425"/>
    </row>
    <row r="17" ht="15.75" customHeight="1">
      <c r="A17" s="425"/>
      <c r="B17" s="454" t="s">
        <v>23</v>
      </c>
      <c r="C17" s="450" t="s">
        <v>351</v>
      </c>
      <c r="D17" s="662">
        <v>48936.42</v>
      </c>
      <c r="E17" s="538">
        <f t="shared" ref="E17:E18" si="1">D17/D$27</f>
        <v>0.3924052247</v>
      </c>
      <c r="F17" s="612"/>
      <c r="G17" s="242"/>
      <c r="H17" s="612">
        <f>D17-F17</f>
        <v>48936.42</v>
      </c>
      <c r="I17" s="633"/>
      <c r="J17" s="662">
        <v>53228.0</v>
      </c>
      <c r="K17" s="538">
        <f t="shared" ref="K17:K18" si="2">J17/J$27</f>
        <v>0.5149319428</v>
      </c>
      <c r="L17" s="612"/>
      <c r="M17" s="242"/>
      <c r="N17" s="612">
        <f>J17-L17</f>
        <v>53228</v>
      </c>
      <c r="O17" s="633"/>
      <c r="P17" s="685"/>
      <c r="Q17" s="716" t="str">
        <f t="shared" ref="Q17:Q18" si="3">P17/P$27</f>
        <v>#DIV/0!</v>
      </c>
      <c r="R17" s="685"/>
      <c r="S17" s="450"/>
      <c r="T17" s="685">
        <f>P17-R17</f>
        <v>0</v>
      </c>
      <c r="U17" s="450"/>
      <c r="V17" s="425"/>
      <c r="W17" s="425"/>
      <c r="X17" s="425"/>
      <c r="Y17" s="425"/>
      <c r="Z17" s="425"/>
      <c r="AA17" s="425"/>
      <c r="AB17" s="425"/>
      <c r="AC17" s="425"/>
    </row>
    <row r="18" ht="15.75" customHeight="1">
      <c r="A18" s="425"/>
      <c r="B18" s="450"/>
      <c r="C18" s="450" t="s">
        <v>352</v>
      </c>
      <c r="D18" s="662">
        <v>69393.25</v>
      </c>
      <c r="E18" s="538">
        <f t="shared" si="1"/>
        <v>0.5564418864</v>
      </c>
      <c r="F18" s="612"/>
      <c r="G18" s="242"/>
      <c r="H18" s="612"/>
      <c r="I18" s="633"/>
      <c r="J18" s="662">
        <v>50141.0</v>
      </c>
      <c r="K18" s="538">
        <f t="shared" si="2"/>
        <v>0.4850680572</v>
      </c>
      <c r="L18" s="612"/>
      <c r="M18" s="242"/>
      <c r="N18" s="612"/>
      <c r="O18" s="633"/>
      <c r="P18" s="685"/>
      <c r="Q18" s="716" t="str">
        <f t="shared" si="3"/>
        <v>#DIV/0!</v>
      </c>
      <c r="R18" s="685"/>
      <c r="S18" s="450"/>
      <c r="T18" s="685"/>
      <c r="U18" s="450"/>
      <c r="V18" s="425"/>
      <c r="W18" s="425"/>
      <c r="X18" s="425"/>
      <c r="Y18" s="425"/>
      <c r="Z18" s="425"/>
      <c r="AA18" s="425"/>
      <c r="AB18" s="425"/>
      <c r="AC18" s="425"/>
    </row>
    <row r="19" ht="15.75" customHeight="1">
      <c r="A19" s="425"/>
      <c r="B19" s="450"/>
      <c r="C19" s="450" t="s">
        <v>179</v>
      </c>
      <c r="D19" s="662">
        <f>2909.5+3469.72</f>
        <v>6379.22</v>
      </c>
      <c r="E19" s="242"/>
      <c r="F19" s="612"/>
      <c r="G19" s="242"/>
      <c r="H19" s="612"/>
      <c r="I19" s="633"/>
      <c r="J19" s="662"/>
      <c r="K19" s="242"/>
      <c r="L19" s="612"/>
      <c r="M19" s="242"/>
      <c r="N19" s="612"/>
      <c r="O19" s="633"/>
      <c r="P19" s="685"/>
      <c r="Q19" s="450"/>
      <c r="R19" s="685"/>
      <c r="S19" s="450"/>
      <c r="T19" s="685"/>
      <c r="U19" s="450"/>
      <c r="V19" s="425"/>
      <c r="W19" s="425"/>
      <c r="X19" s="425"/>
      <c r="Y19" s="425"/>
      <c r="Z19" s="425"/>
      <c r="AA19" s="425"/>
      <c r="AB19" s="425"/>
      <c r="AC19" s="425"/>
    </row>
    <row r="20" ht="15.75" customHeight="1">
      <c r="A20" s="425"/>
      <c r="B20" s="450"/>
      <c r="C20" s="450" t="s">
        <v>263</v>
      </c>
      <c r="D20" s="662"/>
      <c r="E20" s="521"/>
      <c r="F20" s="612"/>
      <c r="G20" s="242"/>
      <c r="H20" s="612"/>
      <c r="I20" s="633"/>
      <c r="J20" s="662"/>
      <c r="K20" s="521"/>
      <c r="L20" s="612"/>
      <c r="M20" s="242"/>
      <c r="N20" s="612"/>
      <c r="O20" s="633"/>
      <c r="P20" s="685"/>
      <c r="Q20" s="454"/>
      <c r="R20" s="685"/>
      <c r="S20" s="450"/>
      <c r="T20" s="685"/>
      <c r="U20" s="450"/>
      <c r="V20" s="425"/>
      <c r="W20" s="425"/>
      <c r="X20" s="425"/>
      <c r="Y20" s="425"/>
      <c r="Z20" s="425"/>
      <c r="AA20" s="425"/>
      <c r="AB20" s="425"/>
      <c r="AC20" s="425"/>
    </row>
    <row r="21" ht="15.75" customHeight="1">
      <c r="A21" s="425"/>
      <c r="B21" s="454"/>
      <c r="C21" s="450"/>
      <c r="D21" s="662"/>
      <c r="E21" s="521"/>
      <c r="F21" s="612"/>
      <c r="G21" s="242"/>
      <c r="H21" s="612"/>
      <c r="I21" s="633"/>
      <c r="J21" s="662"/>
      <c r="K21" s="521"/>
      <c r="L21" s="612"/>
      <c r="M21" s="242"/>
      <c r="N21" s="612"/>
      <c r="O21" s="633"/>
      <c r="P21" s="685"/>
      <c r="Q21" s="454"/>
      <c r="R21" s="685"/>
      <c r="S21" s="450"/>
      <c r="T21" s="685"/>
      <c r="U21" s="450"/>
      <c r="V21" s="425"/>
      <c r="W21" s="425"/>
      <c r="X21" s="425"/>
      <c r="Y21" s="425"/>
      <c r="Z21" s="425"/>
      <c r="AA21" s="425"/>
      <c r="AB21" s="425"/>
      <c r="AC21" s="425"/>
    </row>
    <row r="22" ht="15.75" customHeight="1">
      <c r="A22" s="425"/>
      <c r="B22" s="454" t="s">
        <v>21</v>
      </c>
      <c r="C22" s="450" t="s">
        <v>21</v>
      </c>
      <c r="D22" s="699">
        <v>0.0</v>
      </c>
      <c r="E22" s="732"/>
      <c r="F22" s="732"/>
      <c r="G22" s="1061"/>
      <c r="H22" s="732">
        <v>0.0</v>
      </c>
      <c r="I22" s="1062"/>
      <c r="J22" s="699">
        <v>0.0</v>
      </c>
      <c r="K22" s="521"/>
      <c r="L22" s="612"/>
      <c r="M22" s="242"/>
      <c r="N22" s="612">
        <v>0.0</v>
      </c>
      <c r="O22" s="633"/>
      <c r="P22" s="700"/>
      <c r="Q22" s="454"/>
      <c r="R22" s="685"/>
      <c r="S22" s="450"/>
      <c r="T22" s="685">
        <v>0.0</v>
      </c>
      <c r="U22" s="450"/>
      <c r="V22" s="425"/>
      <c r="W22" s="425"/>
      <c r="X22" s="425"/>
      <c r="Y22" s="425"/>
      <c r="Z22" s="425"/>
      <c r="AA22" s="425"/>
      <c r="AB22" s="425"/>
      <c r="AC22" s="425"/>
    </row>
    <row r="23" ht="15.75" customHeight="1">
      <c r="A23" s="425"/>
      <c r="B23" s="454" t="s">
        <v>22</v>
      </c>
      <c r="C23" s="450" t="s">
        <v>22</v>
      </c>
      <c r="D23" s="699">
        <v>0.0</v>
      </c>
      <c r="E23" s="732"/>
      <c r="F23" s="732"/>
      <c r="G23" s="1061"/>
      <c r="H23" s="732">
        <v>0.0</v>
      </c>
      <c r="I23" s="1062"/>
      <c r="J23" s="699">
        <v>0.0</v>
      </c>
      <c r="K23" s="521"/>
      <c r="L23" s="612"/>
      <c r="M23" s="242"/>
      <c r="N23" s="612">
        <v>0.0</v>
      </c>
      <c r="O23" s="633"/>
      <c r="P23" s="700"/>
      <c r="Q23" s="454"/>
      <c r="R23" s="685"/>
      <c r="S23" s="450"/>
      <c r="T23" s="685">
        <v>0.0</v>
      </c>
      <c r="U23" s="450"/>
      <c r="V23" s="425"/>
      <c r="W23" s="425"/>
      <c r="X23" s="425"/>
      <c r="Y23" s="425"/>
      <c r="Z23" s="425"/>
      <c r="AA23" s="425"/>
      <c r="AB23" s="425"/>
      <c r="AC23" s="425"/>
    </row>
    <row r="24" ht="15.75" customHeight="1">
      <c r="A24" s="425"/>
      <c r="B24" s="454" t="s">
        <v>23</v>
      </c>
      <c r="C24" s="450" t="s">
        <v>180</v>
      </c>
      <c r="D24" s="1040">
        <f>SUM(D16:D19)</f>
        <v>124708.89</v>
      </c>
      <c r="E24" s="521"/>
      <c r="F24" s="616"/>
      <c r="G24" s="242"/>
      <c r="H24" s="616">
        <f>SUM(H16:H19)</f>
        <v>48936.42</v>
      </c>
      <c r="I24" s="633"/>
      <c r="J24" s="1040">
        <f>SUM(J16:J19)</f>
        <v>103369</v>
      </c>
      <c r="K24" s="521"/>
      <c r="L24" s="616"/>
      <c r="M24" s="242"/>
      <c r="N24" s="616">
        <f>SUM(N16:N19)</f>
        <v>53228</v>
      </c>
      <c r="O24" s="633"/>
      <c r="P24" s="1041"/>
      <c r="Q24" s="454"/>
      <c r="R24" s="1041"/>
      <c r="S24" s="450"/>
      <c r="T24" s="1041">
        <f>SUM(T16:T19)</f>
        <v>0</v>
      </c>
      <c r="U24" s="450"/>
      <c r="V24" s="425"/>
      <c r="W24" s="425"/>
      <c r="X24" s="425"/>
      <c r="Y24" s="425"/>
      <c r="Z24" s="425"/>
      <c r="AA24" s="425"/>
      <c r="AB24" s="425"/>
      <c r="AC24" s="425"/>
    </row>
    <row r="25" ht="15.75" customHeight="1">
      <c r="A25" s="425"/>
      <c r="B25" s="450"/>
      <c r="C25" s="450"/>
      <c r="D25" s="662"/>
      <c r="E25" s="521"/>
      <c r="F25" s="521"/>
      <c r="G25" s="242"/>
      <c r="H25" s="242"/>
      <c r="I25" s="633"/>
      <c r="J25" s="662"/>
      <c r="K25" s="521"/>
      <c r="L25" s="521"/>
      <c r="M25" s="242"/>
      <c r="N25" s="242"/>
      <c r="O25" s="633"/>
      <c r="P25" s="685"/>
      <c r="Q25" s="454"/>
      <c r="R25" s="454"/>
      <c r="S25" s="450"/>
      <c r="T25" s="450"/>
      <c r="U25" s="450"/>
      <c r="V25" s="425"/>
      <c r="W25" s="425"/>
      <c r="X25" s="425"/>
      <c r="Y25" s="425"/>
      <c r="Z25" s="425"/>
      <c r="AA25" s="425"/>
      <c r="AB25" s="425"/>
      <c r="AC25" s="425"/>
    </row>
    <row r="26" ht="15.75" hidden="1" customHeight="1">
      <c r="A26" s="425"/>
      <c r="B26" s="468"/>
      <c r="C26" s="468" t="s">
        <v>181</v>
      </c>
      <c r="D26" s="663"/>
      <c r="E26" s="526"/>
      <c r="F26" s="526"/>
      <c r="G26" s="636"/>
      <c r="H26" s="636"/>
      <c r="I26" s="638"/>
      <c r="J26" s="663"/>
      <c r="K26" s="526"/>
      <c r="L26" s="526"/>
      <c r="M26" s="636"/>
      <c r="N26" s="636"/>
      <c r="O26" s="638"/>
      <c r="P26" s="687"/>
      <c r="Q26" s="525"/>
      <c r="R26" s="525"/>
      <c r="S26" s="468"/>
      <c r="T26" s="468"/>
      <c r="U26" s="468"/>
      <c r="V26" s="425"/>
      <c r="W26" s="425"/>
      <c r="X26" s="425"/>
      <c r="Y26" s="425"/>
      <c r="Z26" s="425"/>
      <c r="AA26" s="425"/>
      <c r="AB26" s="425"/>
      <c r="AC26" s="425"/>
    </row>
    <row r="27" ht="15.75" customHeight="1">
      <c r="A27" s="425"/>
      <c r="B27" s="474"/>
      <c r="C27" s="474" t="s">
        <v>182</v>
      </c>
      <c r="D27" s="692">
        <f>D22+D23+D24+D26</f>
        <v>124708.89</v>
      </c>
      <c r="E27" s="555"/>
      <c r="F27" s="609">
        <f>F22+F23+F24+F26</f>
        <v>0</v>
      </c>
      <c r="G27" s="649"/>
      <c r="H27" s="609">
        <f>H22+H23+H24+H26</f>
        <v>48936.42</v>
      </c>
      <c r="I27" s="650"/>
      <c r="J27" s="692">
        <f>J22+J23+J24+J26</f>
        <v>103369</v>
      </c>
      <c r="K27" s="555"/>
      <c r="L27" s="609">
        <f>L22+L23+L24+L26</f>
        <v>0</v>
      </c>
      <c r="M27" s="649"/>
      <c r="N27" s="609">
        <f>N22+N23+N24+N26</f>
        <v>53228</v>
      </c>
      <c r="O27" s="650"/>
      <c r="P27" s="627">
        <f>P22+P23+P24+P26</f>
        <v>0</v>
      </c>
      <c r="Q27" s="442"/>
      <c r="R27" s="627">
        <f>R22+R23+R24+R26</f>
        <v>0</v>
      </c>
      <c r="S27" s="474"/>
      <c r="T27" s="627">
        <f>T22+T23+T24+T26</f>
        <v>0</v>
      </c>
      <c r="U27" s="474"/>
      <c r="V27" s="427"/>
      <c r="W27" s="427"/>
      <c r="X27" s="427"/>
      <c r="Y27" s="427"/>
      <c r="Z27" s="427"/>
      <c r="AA27" s="427"/>
      <c r="AB27" s="427"/>
      <c r="AC27" s="427"/>
    </row>
    <row r="28" ht="15.75" hidden="1" customHeight="1">
      <c r="A28" s="425"/>
      <c r="B28" s="446"/>
      <c r="C28" s="481"/>
      <c r="D28" s="1063"/>
      <c r="E28" s="522"/>
      <c r="F28" s="522"/>
      <c r="G28" s="522"/>
      <c r="H28" s="522"/>
      <c r="I28" s="524"/>
      <c r="J28" s="1063"/>
      <c r="K28" s="522"/>
      <c r="L28" s="522"/>
      <c r="M28" s="522"/>
      <c r="N28" s="522"/>
      <c r="O28" s="524"/>
      <c r="P28" s="446"/>
      <c r="Q28" s="446"/>
      <c r="R28" s="446"/>
      <c r="S28" s="446"/>
      <c r="T28" s="446"/>
      <c r="U28" s="446"/>
      <c r="V28" s="425"/>
      <c r="W28" s="425"/>
      <c r="X28" s="425"/>
      <c r="Y28" s="425"/>
      <c r="Z28" s="425"/>
      <c r="AA28" s="425"/>
      <c r="AB28" s="425"/>
      <c r="AC28" s="425"/>
    </row>
    <row r="29" ht="15.75" hidden="1" customHeight="1">
      <c r="A29" s="425"/>
      <c r="B29" s="450"/>
      <c r="C29" s="450"/>
      <c r="D29" s="662"/>
      <c r="E29" s="538"/>
      <c r="F29" s="612"/>
      <c r="G29" s="612"/>
      <c r="H29" s="612"/>
      <c r="I29" s="693"/>
      <c r="J29" s="662"/>
      <c r="K29" s="538"/>
      <c r="L29" s="612"/>
      <c r="M29" s="612"/>
      <c r="N29" s="612"/>
      <c r="O29" s="693"/>
      <c r="P29" s="685"/>
      <c r="Q29" s="716"/>
      <c r="R29" s="685"/>
      <c r="S29" s="685"/>
      <c r="T29" s="685"/>
      <c r="U29" s="685"/>
      <c r="V29" s="425"/>
      <c r="W29" s="425"/>
      <c r="X29" s="425"/>
      <c r="Y29" s="425"/>
      <c r="Z29" s="425"/>
      <c r="AA29" s="425"/>
      <c r="AB29" s="425"/>
      <c r="AC29" s="425"/>
    </row>
    <row r="30" ht="15.75" hidden="1" customHeight="1">
      <c r="A30" s="425"/>
      <c r="B30" s="450"/>
      <c r="C30" s="450"/>
      <c r="D30" s="662"/>
      <c r="E30" s="538"/>
      <c r="F30" s="612"/>
      <c r="G30" s="612"/>
      <c r="H30" s="612"/>
      <c r="I30" s="693"/>
      <c r="J30" s="662"/>
      <c r="K30" s="538"/>
      <c r="L30" s="612"/>
      <c r="M30" s="612"/>
      <c r="N30" s="612"/>
      <c r="O30" s="693"/>
      <c r="P30" s="685"/>
      <c r="Q30" s="716"/>
      <c r="R30" s="685"/>
      <c r="S30" s="685"/>
      <c r="T30" s="685"/>
      <c r="U30" s="685"/>
      <c r="V30" s="425"/>
      <c r="W30" s="425"/>
      <c r="X30" s="425"/>
      <c r="Y30" s="425"/>
      <c r="Z30" s="425"/>
      <c r="AA30" s="425"/>
      <c r="AB30" s="425"/>
      <c r="AC30" s="425"/>
    </row>
    <row r="31" ht="15.75" hidden="1" customHeight="1">
      <c r="A31" s="425"/>
      <c r="B31" s="450"/>
      <c r="C31" s="450"/>
      <c r="D31" s="662"/>
      <c r="E31" s="538"/>
      <c r="F31" s="612"/>
      <c r="G31" s="612"/>
      <c r="H31" s="612"/>
      <c r="I31" s="693"/>
      <c r="J31" s="662"/>
      <c r="K31" s="538"/>
      <c r="L31" s="612"/>
      <c r="M31" s="612"/>
      <c r="N31" s="612"/>
      <c r="O31" s="693"/>
      <c r="P31" s="685"/>
      <c r="Q31" s="716"/>
      <c r="R31" s="685"/>
      <c r="S31" s="685"/>
      <c r="T31" s="685"/>
      <c r="U31" s="685"/>
      <c r="V31" s="425"/>
      <c r="W31" s="425"/>
      <c r="X31" s="425"/>
      <c r="Y31" s="425"/>
      <c r="Z31" s="425"/>
      <c r="AA31" s="425"/>
      <c r="AB31" s="425"/>
      <c r="AC31" s="425"/>
    </row>
    <row r="32" ht="15.75" hidden="1" customHeight="1">
      <c r="A32" s="425"/>
      <c r="B32" s="450"/>
      <c r="C32" s="450"/>
      <c r="D32" s="662"/>
      <c r="E32" s="538"/>
      <c r="F32" s="612"/>
      <c r="G32" s="612"/>
      <c r="H32" s="612"/>
      <c r="I32" s="693"/>
      <c r="J32" s="662"/>
      <c r="K32" s="538"/>
      <c r="L32" s="612"/>
      <c r="M32" s="612"/>
      <c r="N32" s="612"/>
      <c r="O32" s="693"/>
      <c r="P32" s="685"/>
      <c r="Q32" s="716"/>
      <c r="R32" s="685"/>
      <c r="S32" s="685"/>
      <c r="T32" s="685"/>
      <c r="U32" s="685"/>
      <c r="V32" s="425"/>
      <c r="W32" s="425"/>
      <c r="X32" s="425"/>
      <c r="Y32" s="425"/>
      <c r="Z32" s="425"/>
      <c r="AA32" s="425"/>
      <c r="AB32" s="425"/>
      <c r="AC32" s="425"/>
    </row>
    <row r="33" ht="15.75" hidden="1" customHeight="1">
      <c r="A33" s="425"/>
      <c r="B33" s="450"/>
      <c r="C33" s="450"/>
      <c r="D33" s="662"/>
      <c r="E33" s="538"/>
      <c r="F33" s="612"/>
      <c r="G33" s="612"/>
      <c r="H33" s="612"/>
      <c r="I33" s="693"/>
      <c r="J33" s="662"/>
      <c r="K33" s="538"/>
      <c r="L33" s="612"/>
      <c r="M33" s="612"/>
      <c r="N33" s="612"/>
      <c r="O33" s="693"/>
      <c r="P33" s="685"/>
      <c r="Q33" s="716"/>
      <c r="R33" s="685"/>
      <c r="S33" s="685"/>
      <c r="T33" s="685"/>
      <c r="U33" s="685"/>
      <c r="V33" s="425"/>
      <c r="W33" s="425"/>
      <c r="X33" s="425"/>
      <c r="Y33" s="425"/>
      <c r="Z33" s="425"/>
      <c r="AA33" s="425"/>
      <c r="AB33" s="425"/>
      <c r="AC33" s="425"/>
    </row>
    <row r="34" ht="15.75" hidden="1" customHeight="1">
      <c r="A34" s="425"/>
      <c r="B34" s="450"/>
      <c r="C34" s="450"/>
      <c r="D34" s="662"/>
      <c r="E34" s="538"/>
      <c r="F34" s="612"/>
      <c r="G34" s="612"/>
      <c r="H34" s="612"/>
      <c r="I34" s="693"/>
      <c r="J34" s="662"/>
      <c r="K34" s="538"/>
      <c r="L34" s="612"/>
      <c r="M34" s="612"/>
      <c r="N34" s="612"/>
      <c r="O34" s="693"/>
      <c r="P34" s="685"/>
      <c r="Q34" s="716"/>
      <c r="R34" s="685"/>
      <c r="S34" s="685"/>
      <c r="T34" s="685"/>
      <c r="U34" s="685"/>
      <c r="V34" s="425"/>
      <c r="W34" s="425"/>
      <c r="X34" s="425"/>
      <c r="Y34" s="425"/>
      <c r="Z34" s="425"/>
      <c r="AA34" s="425"/>
      <c r="AB34" s="425"/>
      <c r="AC34" s="425"/>
    </row>
    <row r="35" ht="15.75" hidden="1" customHeight="1">
      <c r="A35" s="425"/>
      <c r="B35" s="450"/>
      <c r="C35" s="450"/>
      <c r="D35" s="662"/>
      <c r="E35" s="538"/>
      <c r="F35" s="612"/>
      <c r="G35" s="612"/>
      <c r="H35" s="612"/>
      <c r="I35" s="693"/>
      <c r="J35" s="662"/>
      <c r="K35" s="538"/>
      <c r="L35" s="612"/>
      <c r="M35" s="612"/>
      <c r="N35" s="612"/>
      <c r="O35" s="693"/>
      <c r="P35" s="685"/>
      <c r="Q35" s="716"/>
      <c r="R35" s="685"/>
      <c r="S35" s="685"/>
      <c r="T35" s="685"/>
      <c r="U35" s="685"/>
      <c r="V35" s="427"/>
      <c r="W35" s="427"/>
      <c r="X35" s="427"/>
      <c r="Y35" s="427"/>
      <c r="Z35" s="427"/>
      <c r="AA35" s="427"/>
      <c r="AB35" s="427"/>
      <c r="AC35" s="427"/>
    </row>
    <row r="36" ht="15.75" customHeight="1">
      <c r="A36" s="425"/>
      <c r="B36" s="454"/>
      <c r="C36" s="454"/>
      <c r="D36" s="662"/>
      <c r="E36" s="521"/>
      <c r="F36" s="242"/>
      <c r="G36" s="242"/>
      <c r="H36" s="242"/>
      <c r="I36" s="633"/>
      <c r="J36" s="662"/>
      <c r="K36" s="521"/>
      <c r="L36" s="242"/>
      <c r="M36" s="242"/>
      <c r="N36" s="242"/>
      <c r="O36" s="633"/>
      <c r="P36" s="685"/>
      <c r="Q36" s="454"/>
      <c r="R36" s="450"/>
      <c r="S36" s="450"/>
      <c r="T36" s="450"/>
      <c r="U36" s="450"/>
      <c r="V36" s="425"/>
      <c r="W36" s="425"/>
      <c r="X36" s="425"/>
      <c r="Y36" s="425"/>
      <c r="Z36" s="425"/>
      <c r="AA36" s="425"/>
      <c r="AB36" s="425"/>
      <c r="AC36" s="425"/>
    </row>
    <row r="37" ht="15.75" customHeight="1">
      <c r="A37" s="425"/>
      <c r="B37" s="1064" t="s">
        <v>186</v>
      </c>
      <c r="C37" s="1065"/>
      <c r="D37" s="662"/>
      <c r="E37" s="521"/>
      <c r="F37" s="242"/>
      <c r="G37" s="242"/>
      <c r="H37" s="242"/>
      <c r="I37" s="633"/>
      <c r="J37" s="662"/>
      <c r="K37" s="521"/>
      <c r="L37" s="242"/>
      <c r="M37" s="242"/>
      <c r="N37" s="242"/>
      <c r="O37" s="633"/>
      <c r="P37" s="685"/>
      <c r="Q37" s="454"/>
      <c r="R37" s="450"/>
      <c r="S37" s="450"/>
      <c r="T37" s="450"/>
      <c r="U37" s="450"/>
      <c r="V37" s="425"/>
      <c r="W37" s="425"/>
      <c r="X37" s="425"/>
      <c r="Y37" s="425"/>
      <c r="Z37" s="425"/>
      <c r="AA37" s="425"/>
      <c r="AB37" s="425"/>
      <c r="AC37" s="425"/>
    </row>
    <row r="38" ht="15.75" customHeight="1">
      <c r="A38" s="425"/>
      <c r="B38" s="454" t="s">
        <v>28</v>
      </c>
      <c r="C38" s="450"/>
      <c r="D38" s="662"/>
      <c r="E38" s="521"/>
      <c r="F38" s="242"/>
      <c r="G38" s="242"/>
      <c r="H38" s="242"/>
      <c r="I38" s="633"/>
      <c r="J38" s="662"/>
      <c r="K38" s="521"/>
      <c r="L38" s="242"/>
      <c r="M38" s="242"/>
      <c r="N38" s="242"/>
      <c r="O38" s="633"/>
      <c r="P38" s="685"/>
      <c r="Q38" s="454"/>
      <c r="R38" s="450"/>
      <c r="S38" s="450"/>
      <c r="T38" s="450"/>
      <c r="U38" s="450"/>
      <c r="V38" s="425"/>
      <c r="W38" s="425"/>
      <c r="X38" s="425"/>
      <c r="Y38" s="425"/>
      <c r="Z38" s="425"/>
      <c r="AA38" s="425"/>
      <c r="AB38" s="425"/>
      <c r="AC38" s="425"/>
    </row>
    <row r="39" ht="15.75" customHeight="1">
      <c r="A39" s="425"/>
      <c r="B39" s="450"/>
      <c r="C39" s="558" t="s">
        <v>187</v>
      </c>
      <c r="D39" s="662"/>
      <c r="E39" s="521"/>
      <c r="F39" s="242"/>
      <c r="G39" s="242"/>
      <c r="H39" s="242"/>
      <c r="I39" s="633"/>
      <c r="J39" s="662"/>
      <c r="K39" s="521"/>
      <c r="L39" s="242"/>
      <c r="M39" s="242"/>
      <c r="N39" s="242"/>
      <c r="O39" s="633"/>
      <c r="P39" s="685"/>
      <c r="Q39" s="454"/>
      <c r="R39" s="450"/>
      <c r="S39" s="450"/>
      <c r="T39" s="450"/>
      <c r="U39" s="450"/>
      <c r="V39" s="425"/>
      <c r="W39" s="425"/>
      <c r="X39" s="425"/>
      <c r="Y39" s="425"/>
      <c r="Z39" s="425"/>
      <c r="AA39" s="425"/>
      <c r="AB39" s="425"/>
      <c r="AC39" s="425"/>
    </row>
    <row r="40" ht="15.75" customHeight="1">
      <c r="A40" s="425"/>
      <c r="B40" s="450"/>
      <c r="C40" s="450" t="s">
        <v>188</v>
      </c>
      <c r="D40" s="662">
        <f>'MSBC CK Allocation'!C37</f>
        <v>89732.44042</v>
      </c>
      <c r="E40" s="662">
        <f>'MSBC CK Allocation'!D37</f>
        <v>121783.144</v>
      </c>
      <c r="F40" s="662" t="str">
        <f>'MSBC CK Allocation'!E37</f>
        <v/>
      </c>
      <c r="G40" s="662" t="str">
        <f>'MSBC CK Allocation'!F37</f>
        <v/>
      </c>
      <c r="H40" s="662" t="str">
        <f>'MSBC CK Allocation'!G37</f>
        <v/>
      </c>
      <c r="I40" s="662" t="str">
        <f>'MSBC CK Allocation'!H37</f>
        <v/>
      </c>
      <c r="J40" s="662">
        <f>'MSBC CK Allocation'!D37</f>
        <v>121783.144</v>
      </c>
      <c r="K40" s="538"/>
      <c r="L40" s="242"/>
      <c r="M40" s="242"/>
      <c r="N40" s="612"/>
      <c r="O40" s="633"/>
      <c r="P40" s="685"/>
      <c r="Q40" s="716"/>
      <c r="R40" s="450"/>
      <c r="S40" s="450"/>
      <c r="T40" s="685"/>
      <c r="U40" s="450"/>
      <c r="V40" s="425"/>
      <c r="W40" s="425"/>
      <c r="X40" s="425"/>
      <c r="Y40" s="425"/>
      <c r="Z40" s="425"/>
      <c r="AA40" s="425"/>
      <c r="AB40" s="425"/>
      <c r="AC40" s="425"/>
    </row>
    <row r="41" ht="15.75" customHeight="1">
      <c r="A41" s="425"/>
      <c r="B41" s="450"/>
      <c r="C41" s="450" t="s">
        <v>189</v>
      </c>
      <c r="D41" s="662">
        <v>64451.783199843565</v>
      </c>
      <c r="E41" s="521"/>
      <c r="F41" s="242"/>
      <c r="G41" s="242"/>
      <c r="H41" s="612"/>
      <c r="I41" s="633"/>
      <c r="J41" s="662">
        <v>58135.18</v>
      </c>
      <c r="K41" s="521"/>
      <c r="L41" s="242"/>
      <c r="M41" s="242"/>
      <c r="N41" s="612"/>
      <c r="O41" s="633"/>
      <c r="P41" s="685"/>
      <c r="Q41" s="454"/>
      <c r="R41" s="450"/>
      <c r="S41" s="450"/>
      <c r="T41" s="685"/>
      <c r="U41" s="450"/>
      <c r="V41" s="425"/>
      <c r="W41" s="425"/>
      <c r="X41" s="425"/>
      <c r="Y41" s="425"/>
      <c r="Z41" s="425"/>
      <c r="AA41" s="425"/>
      <c r="AB41" s="425"/>
      <c r="AC41" s="425"/>
    </row>
    <row r="42" ht="15.75" customHeight="1">
      <c r="A42" s="425"/>
      <c r="B42" s="450"/>
      <c r="C42" s="450" t="s">
        <v>22</v>
      </c>
      <c r="D42" s="662"/>
      <c r="E42" s="521"/>
      <c r="F42" s="242"/>
      <c r="G42" s="242"/>
      <c r="H42" s="612"/>
      <c r="I42" s="633"/>
      <c r="J42" s="662"/>
      <c r="K42" s="521"/>
      <c r="L42" s="242"/>
      <c r="M42" s="242"/>
      <c r="N42" s="612"/>
      <c r="O42" s="633"/>
      <c r="P42" s="685"/>
      <c r="Q42" s="454"/>
      <c r="R42" s="450"/>
      <c r="S42" s="450"/>
      <c r="T42" s="685"/>
      <c r="U42" s="450"/>
      <c r="V42" s="425"/>
      <c r="W42" s="425"/>
      <c r="X42" s="425"/>
      <c r="Y42" s="425"/>
      <c r="Z42" s="425"/>
      <c r="AA42" s="425"/>
      <c r="AB42" s="425"/>
      <c r="AC42" s="425"/>
    </row>
    <row r="43" ht="15.75" customHeight="1">
      <c r="A43" s="425"/>
      <c r="B43" s="450"/>
      <c r="C43" s="450" t="s">
        <v>190</v>
      </c>
      <c r="D43" s="662">
        <f>'Calculation Sheet for GST on Pu'!C29</f>
        <v>2709.394906</v>
      </c>
      <c r="E43" s="662">
        <f>'Calculation Sheet for GST on Pu'!D29</f>
        <v>2391.062817</v>
      </c>
      <c r="F43" s="662" t="str">
        <f>'Calculation Sheet for GST on Pu'!E29</f>
        <v/>
      </c>
      <c r="G43" s="662" t="str">
        <f>'Calculation Sheet for GST on Pu'!F29</f>
        <v/>
      </c>
      <c r="H43" s="662" t="str">
        <f>'Calculation Sheet for GST on Pu'!G29</f>
        <v/>
      </c>
      <c r="I43" s="662" t="str">
        <f>'Calculation Sheet for GST on Pu'!H29</f>
        <v/>
      </c>
      <c r="J43" s="662">
        <f>'Calculation Sheet for GST on Pu'!D29</f>
        <v>2391.062817</v>
      </c>
      <c r="K43" s="521"/>
      <c r="L43" s="242"/>
      <c r="M43" s="242"/>
      <c r="N43" s="612"/>
      <c r="O43" s="633"/>
      <c r="P43" s="685"/>
      <c r="Q43" s="454"/>
      <c r="R43" s="450"/>
      <c r="S43" s="450"/>
      <c r="T43" s="685"/>
      <c r="U43" s="450"/>
      <c r="V43" s="425"/>
      <c r="W43" s="425"/>
      <c r="X43" s="425"/>
      <c r="Y43" s="425"/>
      <c r="Z43" s="425"/>
      <c r="AA43" s="425"/>
      <c r="AB43" s="425"/>
      <c r="AC43" s="425"/>
    </row>
    <row r="44" ht="15.75" customHeight="1">
      <c r="A44" s="425"/>
      <c r="B44" s="450"/>
      <c r="C44" s="450" t="s">
        <v>191</v>
      </c>
      <c r="D44" s="662">
        <f>SUM(D40:D43)</f>
        <v>156893.6185</v>
      </c>
      <c r="E44" s="538">
        <f>D44/D$27</f>
        <v>1.258078863</v>
      </c>
      <c r="F44" s="1032">
        <f>SUM(F40:F43)</f>
        <v>0</v>
      </c>
      <c r="G44" s="242"/>
      <c r="H44" s="1032">
        <f>SUM(H40:H43)</f>
        <v>0</v>
      </c>
      <c r="I44" s="633"/>
      <c r="J44" s="662">
        <f>SUM(J40:J43)</f>
        <v>182309.3869</v>
      </c>
      <c r="K44" s="538">
        <f>J44/J$27</f>
        <v>1.763675636</v>
      </c>
      <c r="L44" s="242">
        <f>SUM(L40:L43)</f>
        <v>0</v>
      </c>
      <c r="M44" s="242"/>
      <c r="N44" s="1032">
        <f>SUM(N40:N43)</f>
        <v>0</v>
      </c>
      <c r="O44" s="633"/>
      <c r="P44" s="685"/>
      <c r="Q44" s="716" t="str">
        <f>P44/P$27</f>
        <v>#DIV/0!</v>
      </c>
      <c r="R44" s="450">
        <f>SUM(R40:R43)</f>
        <v>0</v>
      </c>
      <c r="S44" s="450"/>
      <c r="T44" s="1033">
        <f>SUM(T40:T43)</f>
        <v>0</v>
      </c>
      <c r="U44" s="450"/>
      <c r="V44" s="427"/>
      <c r="W44" s="427"/>
      <c r="X44" s="427"/>
      <c r="Y44" s="427"/>
      <c r="Z44" s="427"/>
      <c r="AA44" s="427"/>
      <c r="AB44" s="427"/>
      <c r="AC44" s="427"/>
    </row>
    <row r="45" ht="15.75" customHeight="1">
      <c r="A45" s="425"/>
      <c r="B45" s="468"/>
      <c r="C45" s="468" t="s">
        <v>192</v>
      </c>
      <c r="D45" s="663">
        <v>8754.0</v>
      </c>
      <c r="E45" s="526"/>
      <c r="F45" s="636"/>
      <c r="G45" s="636"/>
      <c r="H45" s="636"/>
      <c r="I45" s="638"/>
      <c r="J45" s="663">
        <v>668.0</v>
      </c>
      <c r="K45" s="526"/>
      <c r="L45" s="636"/>
      <c r="M45" s="636"/>
      <c r="N45" s="636"/>
      <c r="O45" s="638"/>
      <c r="P45" s="687"/>
      <c r="Q45" s="525"/>
      <c r="R45" s="468"/>
      <c r="S45" s="468"/>
      <c r="T45" s="468"/>
      <c r="U45" s="468"/>
      <c r="V45" s="425"/>
      <c r="W45" s="425"/>
      <c r="X45" s="425"/>
      <c r="Y45" s="425"/>
      <c r="Z45" s="425"/>
      <c r="AA45" s="425"/>
      <c r="AB45" s="425"/>
      <c r="AC45" s="425"/>
    </row>
    <row r="46" ht="15.75" customHeight="1">
      <c r="A46" s="425"/>
      <c r="B46" s="644"/>
      <c r="C46" s="644" t="s">
        <v>193</v>
      </c>
      <c r="D46" s="444">
        <f>D44+D45</f>
        <v>165647.6185</v>
      </c>
      <c r="E46" s="530">
        <f>D46/D$27</f>
        <v>1.32827434</v>
      </c>
      <c r="F46" s="758">
        <f>F44+F45</f>
        <v>0</v>
      </c>
      <c r="G46" s="758"/>
      <c r="H46" s="758">
        <f>H44+H45</f>
        <v>0</v>
      </c>
      <c r="I46" s="759"/>
      <c r="J46" s="444">
        <f>J44+J45</f>
        <v>182977.3869</v>
      </c>
      <c r="K46" s="530">
        <f>J46/J$27</f>
        <v>1.770137922</v>
      </c>
      <c r="L46" s="758">
        <f>L44+L45</f>
        <v>0</v>
      </c>
      <c r="M46" s="758"/>
      <c r="N46" s="758">
        <f>N44+N45</f>
        <v>0</v>
      </c>
      <c r="O46" s="759"/>
      <c r="P46" s="475">
        <f>P44+P45</f>
        <v>0</v>
      </c>
      <c r="Q46" s="475" t="str">
        <f>P46/P$27</f>
        <v>#DIV/0!</v>
      </c>
      <c r="R46" s="644">
        <f>R44+R45</f>
        <v>0</v>
      </c>
      <c r="S46" s="644"/>
      <c r="T46" s="644">
        <f>T44+T45</f>
        <v>0</v>
      </c>
      <c r="U46" s="644"/>
      <c r="V46" s="427"/>
      <c r="W46" s="427"/>
      <c r="X46" s="427"/>
      <c r="Y46" s="427"/>
      <c r="Z46" s="427"/>
      <c r="AA46" s="427"/>
      <c r="AB46" s="427"/>
      <c r="AC46" s="427"/>
    </row>
    <row r="47" ht="15.75" customHeight="1">
      <c r="A47" s="425"/>
      <c r="B47" s="644"/>
      <c r="C47" s="644" t="s">
        <v>32</v>
      </c>
      <c r="D47" s="475">
        <f>D27-D46</f>
        <v>-40938.72853</v>
      </c>
      <c r="E47" s="475"/>
      <c r="F47" s="644"/>
      <c r="G47" s="644"/>
      <c r="H47" s="644"/>
      <c r="I47" s="644"/>
      <c r="J47" s="475">
        <f>J27-J46</f>
        <v>-79608.38685</v>
      </c>
      <c r="K47" s="1066"/>
      <c r="L47" s="1067"/>
      <c r="M47" s="1067"/>
      <c r="N47" s="1067"/>
      <c r="O47" s="1068"/>
      <c r="P47" s="475">
        <f>P27-P46</f>
        <v>0</v>
      </c>
      <c r="Q47" s="1069"/>
      <c r="R47" s="1070"/>
      <c r="S47" s="1070"/>
      <c r="T47" s="1070"/>
      <c r="U47" s="1070"/>
      <c r="V47" s="427"/>
      <c r="W47" s="427"/>
      <c r="X47" s="427"/>
      <c r="Y47" s="427"/>
      <c r="Z47" s="427"/>
      <c r="AA47" s="427"/>
      <c r="AB47" s="427"/>
      <c r="AC47" s="427"/>
    </row>
    <row r="48" ht="15.75" customHeight="1">
      <c r="A48" s="425"/>
      <c r="B48" s="481"/>
      <c r="C48" s="573" t="s">
        <v>194</v>
      </c>
      <c r="D48" s="661"/>
      <c r="E48" s="522"/>
      <c r="F48" s="630"/>
      <c r="G48" s="630"/>
      <c r="H48" s="610">
        <f t="shared" ref="H48:H54" si="4">D48-F48</f>
        <v>0</v>
      </c>
      <c r="I48" s="631"/>
      <c r="J48" s="661"/>
      <c r="K48" s="521"/>
      <c r="L48" s="242"/>
      <c r="M48" s="242"/>
      <c r="N48" s="612">
        <f t="shared" ref="N48:N54" si="5">J48-L48</f>
        <v>0</v>
      </c>
      <c r="O48" s="633"/>
      <c r="P48" s="686"/>
      <c r="Q48" s="454"/>
      <c r="R48" s="450"/>
      <c r="S48" s="450"/>
      <c r="T48" s="685">
        <f t="shared" ref="T48:T54" si="6">P48-R48</f>
        <v>0</v>
      </c>
      <c r="U48" s="450"/>
      <c r="V48" s="425"/>
      <c r="W48" s="425"/>
      <c r="X48" s="425"/>
      <c r="Y48" s="425"/>
      <c r="Z48" s="425"/>
      <c r="AA48" s="425"/>
      <c r="AB48" s="425"/>
      <c r="AC48" s="425"/>
    </row>
    <row r="49" ht="15.75" customHeight="1">
      <c r="A49" s="425"/>
      <c r="B49" s="450"/>
      <c r="C49" s="450" t="s">
        <v>195</v>
      </c>
      <c r="D49" s="662"/>
      <c r="E49" s="521"/>
      <c r="F49" s="1032"/>
      <c r="G49" s="242"/>
      <c r="H49" s="612">
        <f t="shared" si="4"/>
        <v>0</v>
      </c>
      <c r="I49" s="633"/>
      <c r="J49" s="662"/>
      <c r="K49" s="521"/>
      <c r="L49" s="1032"/>
      <c r="M49" s="242"/>
      <c r="N49" s="612">
        <f t="shared" si="5"/>
        <v>0</v>
      </c>
      <c r="O49" s="633"/>
      <c r="P49" s="685"/>
      <c r="Q49" s="454"/>
      <c r="R49" s="1033"/>
      <c r="S49" s="450"/>
      <c r="T49" s="685">
        <f t="shared" si="6"/>
        <v>0</v>
      </c>
      <c r="U49" s="450"/>
      <c r="V49" s="425"/>
      <c r="W49" s="425"/>
      <c r="X49" s="425"/>
      <c r="Y49" s="425"/>
      <c r="Z49" s="425"/>
      <c r="AA49" s="425"/>
      <c r="AB49" s="425"/>
      <c r="AC49" s="425"/>
    </row>
    <row r="50" ht="15.75" customHeight="1">
      <c r="A50" s="425"/>
      <c r="B50" s="450"/>
      <c r="C50" s="450" t="s">
        <v>196</v>
      </c>
      <c r="D50" s="662"/>
      <c r="E50" s="521"/>
      <c r="F50" s="242"/>
      <c r="G50" s="242"/>
      <c r="H50" s="612">
        <f t="shared" si="4"/>
        <v>0</v>
      </c>
      <c r="I50" s="633"/>
      <c r="J50" s="662"/>
      <c r="K50" s="521"/>
      <c r="L50" s="242"/>
      <c r="M50" s="242"/>
      <c r="N50" s="612">
        <f t="shared" si="5"/>
        <v>0</v>
      </c>
      <c r="O50" s="633"/>
      <c r="P50" s="685"/>
      <c r="Q50" s="454"/>
      <c r="R50" s="450"/>
      <c r="S50" s="450"/>
      <c r="T50" s="685">
        <f t="shared" si="6"/>
        <v>0</v>
      </c>
      <c r="U50" s="450"/>
      <c r="V50" s="425"/>
      <c r="W50" s="425"/>
      <c r="X50" s="425"/>
      <c r="Y50" s="425"/>
      <c r="Z50" s="425"/>
      <c r="AA50" s="425"/>
      <c r="AB50" s="425"/>
      <c r="AC50" s="425"/>
    </row>
    <row r="51" ht="15.75" customHeight="1">
      <c r="A51" s="425"/>
      <c r="B51" s="450"/>
      <c r="C51" s="450" t="s">
        <v>266</v>
      </c>
      <c r="D51" s="662"/>
      <c r="E51" s="521"/>
      <c r="F51" s="242"/>
      <c r="G51" s="242"/>
      <c r="H51" s="612">
        <f t="shared" si="4"/>
        <v>0</v>
      </c>
      <c r="I51" s="633"/>
      <c r="J51" s="662"/>
      <c r="K51" s="521"/>
      <c r="L51" s="242"/>
      <c r="M51" s="242"/>
      <c r="N51" s="612">
        <f t="shared" si="5"/>
        <v>0</v>
      </c>
      <c r="O51" s="633"/>
      <c r="P51" s="685"/>
      <c r="Q51" s="454"/>
      <c r="R51" s="450"/>
      <c r="S51" s="450"/>
      <c r="T51" s="685">
        <f t="shared" si="6"/>
        <v>0</v>
      </c>
      <c r="U51" s="450"/>
      <c r="V51" s="425"/>
      <c r="W51" s="425"/>
      <c r="X51" s="425"/>
      <c r="Y51" s="425"/>
      <c r="Z51" s="425"/>
      <c r="AA51" s="425"/>
      <c r="AB51" s="425"/>
      <c r="AC51" s="425"/>
    </row>
    <row r="52" ht="15.75" customHeight="1">
      <c r="A52" s="425"/>
      <c r="B52" s="450"/>
      <c r="C52" s="450" t="s">
        <v>197</v>
      </c>
      <c r="D52" s="662"/>
      <c r="E52" s="521"/>
      <c r="F52" s="242"/>
      <c r="G52" s="242"/>
      <c r="H52" s="612">
        <f t="shared" si="4"/>
        <v>0</v>
      </c>
      <c r="I52" s="633"/>
      <c r="J52" s="662"/>
      <c r="K52" s="521"/>
      <c r="L52" s="242"/>
      <c r="M52" s="242"/>
      <c r="N52" s="612">
        <f t="shared" si="5"/>
        <v>0</v>
      </c>
      <c r="O52" s="633"/>
      <c r="P52" s="685"/>
      <c r="Q52" s="454"/>
      <c r="R52" s="450"/>
      <c r="S52" s="450"/>
      <c r="T52" s="685">
        <f t="shared" si="6"/>
        <v>0</v>
      </c>
      <c r="U52" s="450"/>
      <c r="V52" s="425"/>
      <c r="W52" s="425"/>
      <c r="X52" s="425"/>
      <c r="Y52" s="425"/>
      <c r="Z52" s="425"/>
      <c r="AA52" s="425"/>
      <c r="AB52" s="425"/>
      <c r="AC52" s="425"/>
    </row>
    <row r="53" ht="15.75" customHeight="1">
      <c r="A53" s="425"/>
      <c r="B53" s="450"/>
      <c r="C53" s="450" t="s">
        <v>198</v>
      </c>
      <c r="D53" s="662"/>
      <c r="E53" s="521"/>
      <c r="F53" s="242"/>
      <c r="G53" s="242"/>
      <c r="H53" s="612">
        <f t="shared" si="4"/>
        <v>0</v>
      </c>
      <c r="I53" s="633"/>
      <c r="J53" s="662"/>
      <c r="K53" s="521"/>
      <c r="L53" s="242"/>
      <c r="M53" s="242"/>
      <c r="N53" s="612">
        <f t="shared" si="5"/>
        <v>0</v>
      </c>
      <c r="O53" s="633"/>
      <c r="P53" s="685"/>
      <c r="Q53" s="454"/>
      <c r="R53" s="450"/>
      <c r="S53" s="450"/>
      <c r="T53" s="685">
        <f t="shared" si="6"/>
        <v>0</v>
      </c>
      <c r="U53" s="450"/>
      <c r="V53" s="425"/>
      <c r="W53" s="425"/>
      <c r="X53" s="425"/>
      <c r="Y53" s="425"/>
      <c r="Z53" s="425"/>
      <c r="AA53" s="425"/>
      <c r="AB53" s="425"/>
      <c r="AC53" s="425"/>
    </row>
    <row r="54" ht="15.75" customHeight="1">
      <c r="A54" s="425"/>
      <c r="B54" s="468"/>
      <c r="C54" s="468" t="s">
        <v>199</v>
      </c>
      <c r="D54" s="663"/>
      <c r="E54" s="526"/>
      <c r="F54" s="636"/>
      <c r="G54" s="636"/>
      <c r="H54" s="664">
        <f t="shared" si="4"/>
        <v>0</v>
      </c>
      <c r="I54" s="638"/>
      <c r="J54" s="663"/>
      <c r="K54" s="526"/>
      <c r="L54" s="636"/>
      <c r="M54" s="636"/>
      <c r="N54" s="664">
        <f t="shared" si="5"/>
        <v>0</v>
      </c>
      <c r="O54" s="638"/>
      <c r="P54" s="687"/>
      <c r="Q54" s="525"/>
      <c r="R54" s="468"/>
      <c r="S54" s="468"/>
      <c r="T54" s="687">
        <f t="shared" si="6"/>
        <v>0</v>
      </c>
      <c r="U54" s="468"/>
      <c r="V54" s="425"/>
      <c r="W54" s="425"/>
      <c r="X54" s="425"/>
      <c r="Y54" s="425"/>
      <c r="Z54" s="425"/>
      <c r="AA54" s="425"/>
      <c r="AB54" s="425"/>
      <c r="AC54" s="425"/>
    </row>
    <row r="55" ht="15.75" customHeight="1">
      <c r="A55" s="425"/>
      <c r="B55" s="474"/>
      <c r="C55" s="474" t="s">
        <v>200</v>
      </c>
      <c r="D55" s="627">
        <f>SUM(D49:D54)</f>
        <v>0</v>
      </c>
      <c r="E55" s="442"/>
      <c r="F55" s="627">
        <f>SUM(F49:F54)</f>
        <v>0</v>
      </c>
      <c r="G55" s="474"/>
      <c r="H55" s="627">
        <f>SUM(H49:H54)</f>
        <v>0</v>
      </c>
      <c r="I55" s="474"/>
      <c r="J55" s="627">
        <f>SUM(J49:J54)</f>
        <v>0</v>
      </c>
      <c r="K55" s="442"/>
      <c r="L55" s="627">
        <f>SUM(L49:L54)</f>
        <v>0</v>
      </c>
      <c r="M55" s="474"/>
      <c r="N55" s="627">
        <f>SUM(N49:N54)</f>
        <v>0</v>
      </c>
      <c r="O55" s="474"/>
      <c r="P55" s="627">
        <f>SUM(P49:P54)</f>
        <v>0</v>
      </c>
      <c r="Q55" s="442"/>
      <c r="R55" s="627">
        <f>SUM(R49:R54)</f>
        <v>0</v>
      </c>
      <c r="S55" s="474"/>
      <c r="T55" s="627">
        <f>SUM(T49:T54)</f>
        <v>0</v>
      </c>
      <c r="U55" s="474"/>
      <c r="V55" s="427"/>
      <c r="W55" s="427"/>
      <c r="X55" s="427"/>
      <c r="Y55" s="427"/>
      <c r="Z55" s="427"/>
      <c r="AA55" s="427"/>
      <c r="AB55" s="427"/>
      <c r="AC55" s="427"/>
    </row>
    <row r="56" ht="15.75" customHeight="1">
      <c r="A56" s="425"/>
      <c r="B56" s="954" t="s">
        <v>204</v>
      </c>
      <c r="C56" s="955"/>
      <c r="D56" s="439"/>
      <c r="E56" s="586"/>
      <c r="F56" s="646"/>
      <c r="G56" s="646"/>
      <c r="H56" s="646"/>
      <c r="I56" s="647"/>
      <c r="J56" s="439"/>
      <c r="K56" s="586"/>
      <c r="L56" s="646"/>
      <c r="M56" s="646"/>
      <c r="N56" s="646"/>
      <c r="O56" s="647"/>
      <c r="P56" s="696"/>
      <c r="Q56" s="741"/>
      <c r="R56" s="508"/>
      <c r="S56" s="508"/>
      <c r="T56" s="508"/>
      <c r="U56" s="508"/>
      <c r="V56" s="425"/>
      <c r="W56" s="425"/>
      <c r="X56" s="425"/>
      <c r="Y56" s="425"/>
      <c r="Z56" s="425"/>
      <c r="AA56" s="425"/>
      <c r="AB56" s="425"/>
      <c r="AC56" s="425"/>
    </row>
    <row r="57" ht="15.75" customHeight="1">
      <c r="A57" s="425"/>
      <c r="B57" s="474"/>
      <c r="C57" s="492" t="s">
        <v>205</v>
      </c>
      <c r="D57" s="692">
        <f>SUM(D58:D63)</f>
        <v>38620.46</v>
      </c>
      <c r="E57" s="529">
        <f t="shared" ref="E57:E60" si="7">D57/D$27</f>
        <v>0.309684899</v>
      </c>
      <c r="F57" s="609">
        <f>SUM(F58:F63)</f>
        <v>0</v>
      </c>
      <c r="G57" s="529" t="str">
        <f t="shared" ref="G57:G60" si="8">F57/F$27</f>
        <v>#DIV/0!</v>
      </c>
      <c r="H57" s="609">
        <f>SUM(H58:H63)</f>
        <v>35851.46</v>
      </c>
      <c r="I57" s="531">
        <f t="shared" ref="I57:I60" si="9">H57/H$27</f>
        <v>0.7326130518</v>
      </c>
      <c r="J57" s="692">
        <f>SUM(J58:J63)</f>
        <v>4563</v>
      </c>
      <c r="K57" s="529">
        <f t="shared" ref="K57:K60" si="10">J57/J$27</f>
        <v>0.04414282812</v>
      </c>
      <c r="L57" s="609">
        <f>SUM(L58:L63)</f>
        <v>0</v>
      </c>
      <c r="M57" s="529" t="str">
        <f t="shared" ref="M57:M60" si="11">L57/L$27</f>
        <v>#DIV/0!</v>
      </c>
      <c r="N57" s="609">
        <f>SUM(N58:N63)</f>
        <v>2428</v>
      </c>
      <c r="O57" s="531">
        <f t="shared" ref="O57:O60" si="12">N57/N$27</f>
        <v>0.0456150898</v>
      </c>
      <c r="P57" s="627">
        <f>SUM(P58:P63)</f>
        <v>0</v>
      </c>
      <c r="Q57" s="581" t="str">
        <f t="shared" ref="Q57:Q60" si="13">P57/P$27</f>
        <v>#DIV/0!</v>
      </c>
      <c r="R57" s="627">
        <f>SUM(R58:R63)</f>
        <v>0</v>
      </c>
      <c r="S57" s="581" t="str">
        <f t="shared" ref="S57:S60" si="14">R57/R$27</f>
        <v>#DIV/0!</v>
      </c>
      <c r="T57" s="627">
        <f>SUM(T58:T63)</f>
        <v>0</v>
      </c>
      <c r="U57" s="581" t="str">
        <f t="shared" ref="U57:U60" si="15">T57/T$27</f>
        <v>#DIV/0!</v>
      </c>
      <c r="V57" s="427"/>
      <c r="W57" s="427"/>
      <c r="X57" s="427"/>
      <c r="Y57" s="427"/>
      <c r="Z57" s="427"/>
      <c r="AA57" s="427"/>
      <c r="AB57" s="427"/>
      <c r="AC57" s="427"/>
    </row>
    <row r="58" ht="15.75" customHeight="1">
      <c r="A58" s="425"/>
      <c r="B58" s="481"/>
      <c r="C58" s="481" t="s">
        <v>268</v>
      </c>
      <c r="D58" s="661">
        <v>2769.0</v>
      </c>
      <c r="E58" s="533">
        <f t="shared" si="7"/>
        <v>0.02220370978</v>
      </c>
      <c r="F58" s="610"/>
      <c r="G58" s="533" t="str">
        <f t="shared" si="8"/>
        <v>#DIV/0!</v>
      </c>
      <c r="H58" s="610"/>
      <c r="I58" s="536">
        <f t="shared" si="9"/>
        <v>0</v>
      </c>
      <c r="J58" s="661">
        <v>2135.0</v>
      </c>
      <c r="K58" s="533">
        <f t="shared" si="10"/>
        <v>0.02065416131</v>
      </c>
      <c r="L58" s="610"/>
      <c r="M58" s="533" t="str">
        <f t="shared" si="11"/>
        <v>#DIV/0!</v>
      </c>
      <c r="N58" s="610"/>
      <c r="O58" s="536">
        <f t="shared" si="12"/>
        <v>0</v>
      </c>
      <c r="P58" s="686"/>
      <c r="Q58" s="725" t="str">
        <f t="shared" si="13"/>
        <v>#DIV/0!</v>
      </c>
      <c r="R58" s="686"/>
      <c r="S58" s="725" t="str">
        <f t="shared" si="14"/>
        <v>#DIV/0!</v>
      </c>
      <c r="T58" s="686"/>
      <c r="U58" s="725" t="str">
        <f t="shared" si="15"/>
        <v>#DIV/0!</v>
      </c>
      <c r="V58" s="425"/>
      <c r="W58" s="425"/>
      <c r="X58" s="425"/>
      <c r="Y58" s="425"/>
      <c r="Z58" s="425"/>
      <c r="AA58" s="425"/>
      <c r="AB58" s="425"/>
      <c r="AC58" s="425"/>
    </row>
    <row r="59" ht="15.75" customHeight="1">
      <c r="A59" s="425"/>
      <c r="B59" s="450"/>
      <c r="C59" s="508" t="s">
        <v>269</v>
      </c>
      <c r="D59" s="452">
        <v>0.0</v>
      </c>
      <c r="E59" s="538">
        <f t="shared" si="7"/>
        <v>0</v>
      </c>
      <c r="F59" s="612"/>
      <c r="G59" s="538" t="str">
        <f t="shared" si="8"/>
        <v>#DIV/0!</v>
      </c>
      <c r="H59" s="612"/>
      <c r="I59" s="542">
        <f t="shared" si="9"/>
        <v>0</v>
      </c>
      <c r="J59" s="452">
        <v>0.0</v>
      </c>
      <c r="K59" s="538">
        <f t="shared" si="10"/>
        <v>0</v>
      </c>
      <c r="L59" s="612"/>
      <c r="M59" s="538" t="str">
        <f t="shared" si="11"/>
        <v>#DIV/0!</v>
      </c>
      <c r="N59" s="612"/>
      <c r="O59" s="542">
        <f t="shared" si="12"/>
        <v>0</v>
      </c>
      <c r="P59" s="459"/>
      <c r="Q59" s="716" t="str">
        <f t="shared" si="13"/>
        <v>#DIV/0!</v>
      </c>
      <c r="R59" s="685"/>
      <c r="S59" s="716" t="str">
        <f t="shared" si="14"/>
        <v>#DIV/0!</v>
      </c>
      <c r="T59" s="685"/>
      <c r="U59" s="716" t="str">
        <f t="shared" si="15"/>
        <v>#DIV/0!</v>
      </c>
      <c r="V59" s="425"/>
      <c r="W59" s="425"/>
      <c r="X59" s="425"/>
      <c r="Y59" s="425"/>
      <c r="Z59" s="425"/>
      <c r="AA59" s="425"/>
      <c r="AB59" s="425"/>
      <c r="AC59" s="425"/>
    </row>
    <row r="60" ht="15.75" customHeight="1">
      <c r="A60" s="425"/>
      <c r="B60" s="450"/>
      <c r="C60" s="450" t="s">
        <v>212</v>
      </c>
      <c r="D60" s="452">
        <v>0.0</v>
      </c>
      <c r="E60" s="538">
        <f t="shared" si="7"/>
        <v>0</v>
      </c>
      <c r="F60" s="612"/>
      <c r="G60" s="538" t="str">
        <f t="shared" si="8"/>
        <v>#DIV/0!</v>
      </c>
      <c r="H60" s="612"/>
      <c r="I60" s="542">
        <f t="shared" si="9"/>
        <v>0</v>
      </c>
      <c r="J60" s="452">
        <v>0.0</v>
      </c>
      <c r="K60" s="538">
        <f t="shared" si="10"/>
        <v>0</v>
      </c>
      <c r="L60" s="612"/>
      <c r="M60" s="538" t="str">
        <f t="shared" si="11"/>
        <v>#DIV/0!</v>
      </c>
      <c r="N60" s="612"/>
      <c r="O60" s="542">
        <f t="shared" si="12"/>
        <v>0</v>
      </c>
      <c r="P60" s="459"/>
      <c r="Q60" s="716" t="str">
        <f t="shared" si="13"/>
        <v>#DIV/0!</v>
      </c>
      <c r="R60" s="685"/>
      <c r="S60" s="716" t="str">
        <f t="shared" si="14"/>
        <v>#DIV/0!</v>
      </c>
      <c r="T60" s="685"/>
      <c r="U60" s="716" t="str">
        <f t="shared" si="15"/>
        <v>#DIV/0!</v>
      </c>
      <c r="V60" s="425"/>
      <c r="W60" s="425"/>
      <c r="X60" s="425"/>
      <c r="Y60" s="425"/>
      <c r="Z60" s="425"/>
      <c r="AA60" s="425"/>
      <c r="AB60" s="425"/>
      <c r="AC60" s="425"/>
    </row>
    <row r="61" ht="15.75" customHeight="1">
      <c r="A61" s="425"/>
      <c r="B61" s="450"/>
      <c r="C61" s="450" t="s">
        <v>307</v>
      </c>
      <c r="D61" s="452">
        <v>0.0</v>
      </c>
      <c r="E61" s="538"/>
      <c r="F61" s="612"/>
      <c r="G61" s="538"/>
      <c r="H61" s="612"/>
      <c r="I61" s="542"/>
      <c r="J61" s="452">
        <v>0.0</v>
      </c>
      <c r="K61" s="538"/>
      <c r="L61" s="612"/>
      <c r="M61" s="538"/>
      <c r="N61" s="612"/>
      <c r="O61" s="542"/>
      <c r="P61" s="459"/>
      <c r="Q61" s="716"/>
      <c r="R61" s="685"/>
      <c r="S61" s="716"/>
      <c r="T61" s="685"/>
      <c r="U61" s="716"/>
      <c r="V61" s="425"/>
      <c r="W61" s="425"/>
      <c r="X61" s="425"/>
      <c r="Y61" s="425"/>
      <c r="Z61" s="425"/>
      <c r="AA61" s="425"/>
      <c r="AB61" s="425"/>
      <c r="AC61" s="425"/>
    </row>
    <row r="62" ht="15.75" customHeight="1">
      <c r="A62" s="425"/>
      <c r="B62" s="450"/>
      <c r="C62" s="508" t="s">
        <v>345</v>
      </c>
      <c r="D62" s="452">
        <v>0.0</v>
      </c>
      <c r="E62" s="538">
        <f t="shared" ref="E62:E63" si="16">D62/D$27</f>
        <v>0</v>
      </c>
      <c r="F62" s="612"/>
      <c r="G62" s="538" t="str">
        <f t="shared" ref="G62:G63" si="17">F62/F$27</f>
        <v>#DIV/0!</v>
      </c>
      <c r="H62" s="612"/>
      <c r="I62" s="542">
        <f t="shared" ref="I62:I63" si="18">H62/H$27</f>
        <v>0</v>
      </c>
      <c r="J62" s="452">
        <v>0.0</v>
      </c>
      <c r="K62" s="538">
        <f t="shared" ref="K62:K63" si="19">J62/J$27</f>
        <v>0</v>
      </c>
      <c r="L62" s="612"/>
      <c r="M62" s="538" t="str">
        <f t="shared" ref="M62:M63" si="20">L62/L$27</f>
        <v>#DIV/0!</v>
      </c>
      <c r="N62" s="612"/>
      <c r="O62" s="542">
        <f t="shared" ref="O62:O63" si="21">N62/N$27</f>
        <v>0</v>
      </c>
      <c r="P62" s="459"/>
      <c r="Q62" s="716" t="str">
        <f t="shared" ref="Q62:Q63" si="22">P62/P$27</f>
        <v>#DIV/0!</v>
      </c>
      <c r="R62" s="685"/>
      <c r="S62" s="716" t="str">
        <f t="shared" ref="S62:S63" si="23">R62/R$27</f>
        <v>#DIV/0!</v>
      </c>
      <c r="T62" s="685"/>
      <c r="U62" s="716" t="str">
        <f t="shared" ref="U62:U63" si="24">T62/T$27</f>
        <v>#DIV/0!</v>
      </c>
      <c r="V62" s="425"/>
      <c r="W62" s="425"/>
      <c r="X62" s="425"/>
      <c r="Y62" s="425"/>
      <c r="Z62" s="425"/>
      <c r="AA62" s="425"/>
      <c r="AB62" s="425"/>
      <c r="AC62" s="425"/>
    </row>
    <row r="63" ht="15.75" customHeight="1">
      <c r="A63" s="425"/>
      <c r="B63" s="450"/>
      <c r="C63" s="450" t="s">
        <v>271</v>
      </c>
      <c r="D63" s="452">
        <f>(16818.54)+19032.92</f>
        <v>35851.46</v>
      </c>
      <c r="E63" s="538">
        <f t="shared" si="16"/>
        <v>0.2874811892</v>
      </c>
      <c r="F63" s="521">
        <v>0.0</v>
      </c>
      <c r="G63" s="538" t="str">
        <f t="shared" si="17"/>
        <v>#DIV/0!</v>
      </c>
      <c r="H63" s="612">
        <f>D63-F63</f>
        <v>35851.46</v>
      </c>
      <c r="I63" s="542">
        <f t="shared" si="18"/>
        <v>0.7326130518</v>
      </c>
      <c r="J63" s="452">
        <v>2428.0</v>
      </c>
      <c r="K63" s="538">
        <f t="shared" si="19"/>
        <v>0.02348866682</v>
      </c>
      <c r="L63" s="521">
        <v>0.0</v>
      </c>
      <c r="M63" s="538" t="str">
        <f t="shared" si="20"/>
        <v>#DIV/0!</v>
      </c>
      <c r="N63" s="612">
        <f>J63-L63</f>
        <v>2428</v>
      </c>
      <c r="O63" s="542">
        <f t="shared" si="21"/>
        <v>0.0456150898</v>
      </c>
      <c r="P63" s="459"/>
      <c r="Q63" s="716" t="str">
        <f t="shared" si="22"/>
        <v>#DIV/0!</v>
      </c>
      <c r="R63" s="454">
        <v>0.0</v>
      </c>
      <c r="S63" s="716" t="str">
        <f t="shared" si="23"/>
        <v>#DIV/0!</v>
      </c>
      <c r="T63" s="685">
        <f>P63-R63</f>
        <v>0</v>
      </c>
      <c r="U63" s="716" t="str">
        <f t="shared" si="24"/>
        <v>#DIV/0!</v>
      </c>
      <c r="V63" s="425"/>
      <c r="W63" s="425"/>
      <c r="X63" s="425"/>
      <c r="Y63" s="425"/>
      <c r="Z63" s="425"/>
      <c r="AA63" s="425"/>
      <c r="AB63" s="425"/>
      <c r="AC63" s="425"/>
    </row>
    <row r="64" ht="15.75" customHeight="1">
      <c r="A64" s="425"/>
      <c r="B64" s="468"/>
      <c r="C64" s="578"/>
      <c r="D64" s="663"/>
      <c r="E64" s="526"/>
      <c r="F64" s="636"/>
      <c r="G64" s="636"/>
      <c r="H64" s="636"/>
      <c r="I64" s="638"/>
      <c r="J64" s="663"/>
      <c r="K64" s="526"/>
      <c r="L64" s="636"/>
      <c r="M64" s="636"/>
      <c r="N64" s="636"/>
      <c r="O64" s="638"/>
      <c r="P64" s="687"/>
      <c r="Q64" s="525"/>
      <c r="R64" s="468"/>
      <c r="S64" s="468"/>
      <c r="T64" s="468"/>
      <c r="U64" s="468"/>
      <c r="V64" s="425"/>
      <c r="W64" s="425"/>
      <c r="X64" s="425"/>
      <c r="Y64" s="425"/>
      <c r="Z64" s="425"/>
      <c r="AA64" s="425"/>
      <c r="AB64" s="425"/>
      <c r="AC64" s="425"/>
    </row>
    <row r="65" ht="15.75" customHeight="1">
      <c r="A65" s="425"/>
      <c r="B65" s="474"/>
      <c r="C65" s="492" t="s">
        <v>35</v>
      </c>
      <c r="D65" s="692">
        <f>SUM(D66:D72)</f>
        <v>53013.93</v>
      </c>
      <c r="E65" s="529">
        <f>D65/D$27</f>
        <v>0.4251014503</v>
      </c>
      <c r="F65" s="609">
        <f>SUM(F66:F72)</f>
        <v>0</v>
      </c>
      <c r="G65" s="1043" t="str">
        <f>F65/F$27</f>
        <v>#DIV/0!</v>
      </c>
      <c r="H65" s="609">
        <f>SUM(H66:H70)</f>
        <v>0</v>
      </c>
      <c r="I65" s="650"/>
      <c r="J65" s="692">
        <f>SUM(J66:J72)</f>
        <v>16021.92</v>
      </c>
      <c r="K65" s="529">
        <f>J65/J$27</f>
        <v>0.1549973396</v>
      </c>
      <c r="L65" s="609">
        <f>SUM(L66:L72)</f>
        <v>0</v>
      </c>
      <c r="M65" s="1043" t="str">
        <f>L65/L$27</f>
        <v>#DIV/0!</v>
      </c>
      <c r="N65" s="609">
        <f>SUM(N66:N70)</f>
        <v>0</v>
      </c>
      <c r="O65" s="650"/>
      <c r="P65" s="627">
        <f>SUM(P66:P72)</f>
        <v>0</v>
      </c>
      <c r="Q65" s="581" t="str">
        <f>P65/P$27</f>
        <v>#DIV/0!</v>
      </c>
      <c r="R65" s="627">
        <f>SUM(R66:R72)</f>
        <v>0</v>
      </c>
      <c r="S65" s="1044" t="str">
        <f>R65/R$27</f>
        <v>#DIV/0!</v>
      </c>
      <c r="T65" s="627">
        <f>SUM(T66:T70)</f>
        <v>0</v>
      </c>
      <c r="U65" s="474"/>
      <c r="V65" s="427"/>
      <c r="W65" s="427"/>
      <c r="X65" s="427"/>
      <c r="Y65" s="427"/>
      <c r="Z65" s="427"/>
      <c r="AA65" s="427"/>
      <c r="AB65" s="427"/>
      <c r="AC65" s="427"/>
    </row>
    <row r="66" ht="15.75" hidden="1" customHeight="1">
      <c r="A66" s="425"/>
      <c r="B66" s="481"/>
      <c r="C66" s="481" t="s">
        <v>215</v>
      </c>
      <c r="D66" s="661"/>
      <c r="E66" s="522"/>
      <c r="F66" s="610"/>
      <c r="G66" s="630"/>
      <c r="H66" s="610"/>
      <c r="I66" s="631"/>
      <c r="J66" s="661"/>
      <c r="K66" s="522"/>
      <c r="L66" s="610"/>
      <c r="M66" s="630"/>
      <c r="N66" s="610"/>
      <c r="O66" s="631"/>
      <c r="P66" s="686"/>
      <c r="Q66" s="446"/>
      <c r="R66" s="686"/>
      <c r="S66" s="481"/>
      <c r="T66" s="686"/>
      <c r="U66" s="481"/>
      <c r="V66" s="425"/>
      <c r="W66" s="425"/>
      <c r="X66" s="425"/>
      <c r="Y66" s="425"/>
      <c r="Z66" s="425"/>
      <c r="AA66" s="425"/>
      <c r="AB66" s="425"/>
      <c r="AC66" s="425"/>
    </row>
    <row r="67" ht="15.75" hidden="1" customHeight="1">
      <c r="A67" s="425"/>
      <c r="B67" s="450"/>
      <c r="C67" s="450" t="s">
        <v>216</v>
      </c>
      <c r="D67" s="662"/>
      <c r="E67" s="521"/>
      <c r="F67" s="612"/>
      <c r="G67" s="242"/>
      <c r="H67" s="612"/>
      <c r="I67" s="633"/>
      <c r="J67" s="663"/>
      <c r="K67" s="521"/>
      <c r="L67" s="612"/>
      <c r="M67" s="242"/>
      <c r="N67" s="612"/>
      <c r="O67" s="633"/>
      <c r="P67" s="687"/>
      <c r="Q67" s="454"/>
      <c r="R67" s="685"/>
      <c r="S67" s="450"/>
      <c r="T67" s="685"/>
      <c r="U67" s="450"/>
      <c r="V67" s="425"/>
      <c r="W67" s="425"/>
      <c r="X67" s="425"/>
      <c r="Y67" s="425"/>
      <c r="Z67" s="425"/>
      <c r="AA67" s="425"/>
      <c r="AB67" s="425"/>
      <c r="AC67" s="425"/>
    </row>
    <row r="68" ht="15.75" customHeight="1">
      <c r="A68" s="425"/>
      <c r="B68" s="450"/>
      <c r="C68" s="450" t="s">
        <v>272</v>
      </c>
      <c r="D68" s="684">
        <v>7375.17</v>
      </c>
      <c r="E68" s="1071">
        <f>D68/D17</f>
        <v>0.1507092264</v>
      </c>
      <c r="F68" s="1072"/>
      <c r="G68" s="1071"/>
      <c r="H68" s="1072"/>
      <c r="I68" s="1073"/>
      <c r="J68" s="1074">
        <f>2742.62+1928.72+1553.08+1794.73</f>
        <v>8019.15</v>
      </c>
      <c r="K68" s="1075">
        <f>J68/J17</f>
        <v>0.1506566093</v>
      </c>
      <c r="L68" s="612"/>
      <c r="M68" s="1052"/>
      <c r="N68" s="612"/>
      <c r="O68" s="633"/>
      <c r="P68" s="790"/>
      <c r="Q68" s="731" t="str">
        <f>P68/P17</f>
        <v>#DIV/0!</v>
      </c>
      <c r="R68" s="685"/>
      <c r="S68" s="731"/>
      <c r="T68" s="685"/>
      <c r="U68" s="450"/>
      <c r="V68" s="425"/>
      <c r="W68" s="425"/>
      <c r="X68" s="425"/>
      <c r="Y68" s="425"/>
      <c r="Z68" s="425"/>
      <c r="AA68" s="425"/>
      <c r="AB68" s="425"/>
      <c r="AC68" s="425"/>
    </row>
    <row r="69" ht="15.75" customHeight="1">
      <c r="A69" s="425"/>
      <c r="B69" s="450"/>
      <c r="C69" s="450" t="s">
        <v>346</v>
      </c>
      <c r="D69" s="682"/>
      <c r="E69" s="1071"/>
      <c r="F69" s="1072"/>
      <c r="G69" s="1071"/>
      <c r="H69" s="1072"/>
      <c r="I69" s="1076"/>
      <c r="J69" s="1077"/>
      <c r="K69" s="1052"/>
      <c r="L69" s="612"/>
      <c r="M69" s="1052"/>
      <c r="N69" s="612"/>
      <c r="O69" s="633"/>
      <c r="P69" s="482"/>
      <c r="Q69" s="731"/>
      <c r="R69" s="685"/>
      <c r="S69" s="731"/>
      <c r="T69" s="685"/>
      <c r="U69" s="450"/>
      <c r="V69" s="425"/>
      <c r="W69" s="425"/>
      <c r="X69" s="425"/>
      <c r="Y69" s="425"/>
      <c r="Z69" s="425"/>
      <c r="AA69" s="425"/>
      <c r="AB69" s="425"/>
      <c r="AC69" s="425"/>
    </row>
    <row r="70" ht="15.75" customHeight="1">
      <c r="A70" s="425"/>
      <c r="B70" s="450"/>
      <c r="C70" s="450" t="s">
        <v>308</v>
      </c>
      <c r="D70" s="682">
        <v>10258.76</v>
      </c>
      <c r="E70" s="1071">
        <f>D70/D18</f>
        <v>0.1478351281</v>
      </c>
      <c r="F70" s="1072"/>
      <c r="G70" s="1071"/>
      <c r="H70" s="1072"/>
      <c r="I70" s="1076"/>
      <c r="J70" s="1074">
        <v>7412.77</v>
      </c>
      <c r="K70" s="1052">
        <f>J70/J18</f>
        <v>0.1478384954</v>
      </c>
      <c r="L70" s="612"/>
      <c r="M70" s="1052"/>
      <c r="N70" s="612"/>
      <c r="O70" s="633"/>
      <c r="P70" s="826"/>
      <c r="Q70" s="731" t="str">
        <f>P70/P18</f>
        <v>#DIV/0!</v>
      </c>
      <c r="R70" s="685"/>
      <c r="S70" s="731"/>
      <c r="T70" s="685"/>
      <c r="U70" s="450"/>
      <c r="V70" s="425"/>
      <c r="W70" s="425"/>
      <c r="X70" s="425"/>
      <c r="Y70" s="425"/>
      <c r="Z70" s="425"/>
      <c r="AA70" s="425"/>
      <c r="AB70" s="425"/>
      <c r="AC70" s="425"/>
    </row>
    <row r="71" ht="15.75" customHeight="1">
      <c r="A71" s="425"/>
      <c r="B71" s="450"/>
      <c r="C71" s="450" t="s">
        <v>347</v>
      </c>
      <c r="D71" s="682"/>
      <c r="E71" s="1071"/>
      <c r="F71" s="1072"/>
      <c r="G71" s="1071"/>
      <c r="H71" s="1072"/>
      <c r="I71" s="1076"/>
      <c r="J71" s="682"/>
      <c r="K71" s="1052"/>
      <c r="L71" s="612"/>
      <c r="M71" s="1052"/>
      <c r="N71" s="612"/>
      <c r="O71" s="633"/>
      <c r="P71" s="459"/>
      <c r="Q71" s="731"/>
      <c r="R71" s="685"/>
      <c r="S71" s="731"/>
      <c r="T71" s="685"/>
      <c r="U71" s="450"/>
      <c r="V71" s="425"/>
      <c r="W71" s="425"/>
      <c r="X71" s="425"/>
      <c r="Y71" s="425"/>
      <c r="Z71" s="425"/>
      <c r="AA71" s="425"/>
      <c r="AB71" s="425"/>
      <c r="AC71" s="425"/>
    </row>
    <row r="72" ht="15.75" customHeight="1">
      <c r="A72" s="425"/>
      <c r="B72" s="450"/>
      <c r="C72" s="450" t="s">
        <v>348</v>
      </c>
      <c r="D72" s="682">
        <f>34800+580</f>
        <v>35380</v>
      </c>
      <c r="E72" s="1071">
        <f>D72/D27</f>
        <v>0.2837007049</v>
      </c>
      <c r="F72" s="1072"/>
      <c r="G72" s="1071"/>
      <c r="H72" s="1072"/>
      <c r="I72" s="1076"/>
      <c r="J72" s="1077">
        <v>590.0</v>
      </c>
      <c r="K72" s="1052">
        <f>J72/J27</f>
        <v>0.00570770734</v>
      </c>
      <c r="L72" s="612"/>
      <c r="M72" s="1052"/>
      <c r="N72" s="612"/>
      <c r="O72" s="633"/>
      <c r="P72" s="482"/>
      <c r="Q72" s="731" t="str">
        <f>P72/P27</f>
        <v>#DIV/0!</v>
      </c>
      <c r="R72" s="685"/>
      <c r="S72" s="731"/>
      <c r="T72" s="685"/>
      <c r="U72" s="450"/>
      <c r="V72" s="425"/>
      <c r="W72" s="425"/>
      <c r="X72" s="425"/>
      <c r="Y72" s="425"/>
      <c r="Z72" s="425"/>
      <c r="AA72" s="425"/>
      <c r="AB72" s="425"/>
      <c r="AC72" s="425"/>
    </row>
    <row r="73" ht="15.75" customHeight="1">
      <c r="A73" s="425"/>
      <c r="B73" s="468"/>
      <c r="C73" s="468"/>
      <c r="D73" s="678"/>
      <c r="E73" s="1078"/>
      <c r="F73" s="1078"/>
      <c r="G73" s="1078"/>
      <c r="H73" s="1078"/>
      <c r="I73" s="1079"/>
      <c r="J73" s="678"/>
      <c r="K73" s="526"/>
      <c r="L73" s="636"/>
      <c r="M73" s="636"/>
      <c r="N73" s="636"/>
      <c r="O73" s="638"/>
      <c r="P73" s="687"/>
      <c r="Q73" s="525"/>
      <c r="R73" s="468"/>
      <c r="S73" s="468"/>
      <c r="T73" s="468"/>
      <c r="U73" s="468"/>
      <c r="V73" s="425"/>
      <c r="W73" s="425"/>
      <c r="X73" s="425"/>
      <c r="Y73" s="425"/>
      <c r="Z73" s="425"/>
      <c r="AA73" s="425"/>
      <c r="AB73" s="425"/>
      <c r="AC73" s="425"/>
    </row>
    <row r="74" ht="15.75" customHeight="1">
      <c r="A74" s="425"/>
      <c r="B74" s="474"/>
      <c r="C74" s="492" t="s">
        <v>219</v>
      </c>
      <c r="D74" s="444">
        <f>SUM(D75:D78)</f>
        <v>0</v>
      </c>
      <c r="E74" s="529">
        <f>D74/D$27</f>
        <v>0</v>
      </c>
      <c r="F74" s="649">
        <f>SUM(F75:F78)</f>
        <v>0</v>
      </c>
      <c r="G74" s="1043" t="str">
        <f>F74/F$27</f>
        <v>#DIV/0!</v>
      </c>
      <c r="H74" s="1053">
        <f>SUM(H75:H78)</f>
        <v>0</v>
      </c>
      <c r="I74" s="650"/>
      <c r="J74" s="444">
        <f>SUM(J75:J78)</f>
        <v>0</v>
      </c>
      <c r="K74" s="529">
        <f>J74/J$27</f>
        <v>0</v>
      </c>
      <c r="L74" s="649">
        <f>SUM(L75:L78)</f>
        <v>0</v>
      </c>
      <c r="M74" s="1043" t="str">
        <f>L74/L$27</f>
        <v>#DIV/0!</v>
      </c>
      <c r="N74" s="1053">
        <f>SUM(N75:N78)</f>
        <v>0</v>
      </c>
      <c r="O74" s="650"/>
      <c r="P74" s="475">
        <f>SUM(P75:P78)</f>
        <v>0</v>
      </c>
      <c r="Q74" s="581" t="str">
        <f>P74/P$27</f>
        <v>#DIV/0!</v>
      </c>
      <c r="R74" s="474">
        <f>SUM(R75:R78)</f>
        <v>0</v>
      </c>
      <c r="S74" s="1044" t="str">
        <f>R74/R$27</f>
        <v>#DIV/0!</v>
      </c>
      <c r="T74" s="1054">
        <f>SUM(T75:T78)</f>
        <v>0</v>
      </c>
      <c r="U74" s="474"/>
      <c r="V74" s="427"/>
      <c r="W74" s="427"/>
      <c r="X74" s="427"/>
      <c r="Y74" s="427"/>
      <c r="Z74" s="427"/>
      <c r="AA74" s="427"/>
      <c r="AB74" s="427"/>
      <c r="AC74" s="427"/>
    </row>
    <row r="75" ht="15.75" hidden="1" customHeight="1">
      <c r="A75" s="425"/>
      <c r="B75" s="481"/>
      <c r="C75" s="481" t="s">
        <v>220</v>
      </c>
      <c r="D75" s="448"/>
      <c r="E75" s="533"/>
      <c r="F75" s="630"/>
      <c r="G75" s="1055"/>
      <c r="H75" s="610"/>
      <c r="I75" s="631"/>
      <c r="J75" s="448"/>
      <c r="K75" s="533"/>
      <c r="L75" s="630"/>
      <c r="M75" s="1055"/>
      <c r="N75" s="610"/>
      <c r="O75" s="631"/>
      <c r="P75" s="482"/>
      <c r="Q75" s="725"/>
      <c r="R75" s="481"/>
      <c r="S75" s="1056"/>
      <c r="T75" s="686"/>
      <c r="U75" s="481"/>
      <c r="V75" s="425"/>
      <c r="W75" s="425"/>
      <c r="X75" s="425"/>
      <c r="Y75" s="425"/>
      <c r="Z75" s="425"/>
      <c r="AA75" s="425"/>
      <c r="AB75" s="425"/>
      <c r="AC75" s="425"/>
    </row>
    <row r="76" ht="15.75" hidden="1" customHeight="1">
      <c r="A76" s="425"/>
      <c r="B76" s="450"/>
      <c r="C76" s="450" t="s">
        <v>221</v>
      </c>
      <c r="D76" s="452"/>
      <c r="E76" s="538"/>
      <c r="F76" s="242"/>
      <c r="G76" s="1052"/>
      <c r="H76" s="612"/>
      <c r="I76" s="633"/>
      <c r="J76" s="452"/>
      <c r="K76" s="538"/>
      <c r="L76" s="242"/>
      <c r="M76" s="1052"/>
      <c r="N76" s="612"/>
      <c r="O76" s="633"/>
      <c r="P76" s="459"/>
      <c r="Q76" s="716"/>
      <c r="R76" s="450"/>
      <c r="S76" s="731"/>
      <c r="T76" s="685"/>
      <c r="U76" s="450"/>
      <c r="V76" s="425"/>
      <c r="W76" s="425"/>
      <c r="X76" s="425"/>
      <c r="Y76" s="425"/>
      <c r="Z76" s="425"/>
      <c r="AA76" s="425"/>
      <c r="AB76" s="425"/>
      <c r="AC76" s="425"/>
    </row>
    <row r="77" ht="15.75" hidden="1" customHeight="1">
      <c r="A77" s="425"/>
      <c r="B77" s="450"/>
      <c r="C77" s="450" t="s">
        <v>222</v>
      </c>
      <c r="D77" s="452"/>
      <c r="E77" s="521"/>
      <c r="F77" s="242"/>
      <c r="G77" s="242"/>
      <c r="H77" s="242"/>
      <c r="I77" s="633"/>
      <c r="J77" s="452"/>
      <c r="K77" s="521"/>
      <c r="L77" s="242"/>
      <c r="M77" s="242"/>
      <c r="N77" s="242"/>
      <c r="O77" s="633"/>
      <c r="P77" s="459"/>
      <c r="Q77" s="454"/>
      <c r="R77" s="450"/>
      <c r="S77" s="450"/>
      <c r="T77" s="450"/>
      <c r="U77" s="450"/>
      <c r="V77" s="425"/>
      <c r="W77" s="425"/>
      <c r="X77" s="425"/>
      <c r="Y77" s="425"/>
      <c r="Z77" s="425"/>
      <c r="AA77" s="425"/>
      <c r="AB77" s="425"/>
      <c r="AC77" s="425"/>
    </row>
    <row r="78" ht="15.75" hidden="1" customHeight="1">
      <c r="A78" s="425"/>
      <c r="B78" s="450"/>
      <c r="C78" s="450" t="s">
        <v>223</v>
      </c>
      <c r="D78" s="452"/>
      <c r="E78" s="521"/>
      <c r="F78" s="242"/>
      <c r="G78" s="242"/>
      <c r="H78" s="242"/>
      <c r="I78" s="633"/>
      <c r="J78" s="452"/>
      <c r="K78" s="521"/>
      <c r="L78" s="242"/>
      <c r="M78" s="242"/>
      <c r="N78" s="242"/>
      <c r="O78" s="633"/>
      <c r="P78" s="459"/>
      <c r="Q78" s="454"/>
      <c r="R78" s="450"/>
      <c r="S78" s="450"/>
      <c r="T78" s="450"/>
      <c r="U78" s="450"/>
      <c r="V78" s="425"/>
      <c r="W78" s="425"/>
      <c r="X78" s="425"/>
      <c r="Y78" s="425"/>
      <c r="Z78" s="425"/>
      <c r="AA78" s="425"/>
      <c r="AB78" s="425"/>
      <c r="AC78" s="425"/>
    </row>
    <row r="79" ht="15.75" customHeight="1">
      <c r="A79" s="425"/>
      <c r="B79" s="468"/>
      <c r="C79" s="578"/>
      <c r="D79" s="470"/>
      <c r="E79" s="526"/>
      <c r="F79" s="636"/>
      <c r="G79" s="636"/>
      <c r="H79" s="636"/>
      <c r="I79" s="638"/>
      <c r="J79" s="470"/>
      <c r="K79" s="526"/>
      <c r="L79" s="636"/>
      <c r="M79" s="636"/>
      <c r="N79" s="636"/>
      <c r="O79" s="638"/>
      <c r="P79" s="472"/>
      <c r="Q79" s="525"/>
      <c r="R79" s="468"/>
      <c r="S79" s="468"/>
      <c r="T79" s="468"/>
      <c r="U79" s="468"/>
      <c r="V79" s="425"/>
      <c r="W79" s="425"/>
      <c r="X79" s="425"/>
      <c r="Y79" s="425"/>
      <c r="Z79" s="425"/>
      <c r="AA79" s="425"/>
      <c r="AB79" s="425"/>
      <c r="AC79" s="425"/>
    </row>
    <row r="80" ht="15.75" customHeight="1">
      <c r="A80" s="425"/>
      <c r="B80" s="477"/>
      <c r="C80" s="492" t="s">
        <v>37</v>
      </c>
      <c r="D80" s="444">
        <f>SUM(D81:D87)</f>
        <v>0</v>
      </c>
      <c r="E80" s="529">
        <f>D80/D$27</f>
        <v>0</v>
      </c>
      <c r="F80" s="609">
        <f>SUM(F81:F87)</f>
        <v>0</v>
      </c>
      <c r="G80" s="1043" t="str">
        <f>F80/F$27</f>
        <v>#DIV/0!</v>
      </c>
      <c r="H80" s="609">
        <f>SUM(H81:H87)</f>
        <v>0</v>
      </c>
      <c r="I80" s="650"/>
      <c r="J80" s="444">
        <f>SUM(J81:J87)</f>
        <v>0</v>
      </c>
      <c r="K80" s="529">
        <f>J80/J$27</f>
        <v>0</v>
      </c>
      <c r="L80" s="609">
        <f>SUM(L81:L87)</f>
        <v>0</v>
      </c>
      <c r="M80" s="1043" t="str">
        <f>L80/L$27</f>
        <v>#DIV/0!</v>
      </c>
      <c r="N80" s="609">
        <f>SUM(N81:N87)</f>
        <v>0</v>
      </c>
      <c r="O80" s="650"/>
      <c r="P80" s="475">
        <f>SUM(P81:P87)</f>
        <v>0</v>
      </c>
      <c r="Q80" s="581" t="str">
        <f>P80/P$27</f>
        <v>#DIV/0!</v>
      </c>
      <c r="R80" s="627">
        <f>SUM(R81:R87)</f>
        <v>0</v>
      </c>
      <c r="S80" s="1044" t="str">
        <f>R80/R$27</f>
        <v>#DIV/0!</v>
      </c>
      <c r="T80" s="627">
        <f>SUM(T81:T87)</f>
        <v>0</v>
      </c>
      <c r="U80" s="474"/>
      <c r="V80" s="427"/>
      <c r="W80" s="427"/>
      <c r="X80" s="427"/>
      <c r="Y80" s="427"/>
      <c r="Z80" s="427"/>
      <c r="AA80" s="427"/>
      <c r="AB80" s="427"/>
      <c r="AC80" s="427"/>
    </row>
    <row r="81" ht="15.75" hidden="1" customHeight="1">
      <c r="A81" s="425"/>
      <c r="B81" s="481"/>
      <c r="C81" s="481" t="s">
        <v>224</v>
      </c>
      <c r="D81" s="448"/>
      <c r="E81" s="533"/>
      <c r="F81" s="630"/>
      <c r="G81" s="1055"/>
      <c r="H81" s="610"/>
      <c r="I81" s="631"/>
      <c r="J81" s="448"/>
      <c r="K81" s="533"/>
      <c r="L81" s="630"/>
      <c r="M81" s="1055"/>
      <c r="N81" s="610"/>
      <c r="O81" s="631"/>
      <c r="P81" s="482"/>
      <c r="Q81" s="725"/>
      <c r="R81" s="481"/>
      <c r="S81" s="1056"/>
      <c r="T81" s="686"/>
      <c r="U81" s="481"/>
      <c r="V81" s="425"/>
      <c r="W81" s="425"/>
      <c r="X81" s="425"/>
      <c r="Y81" s="425"/>
      <c r="Z81" s="425"/>
      <c r="AA81" s="425"/>
      <c r="AB81" s="425"/>
      <c r="AC81" s="425"/>
    </row>
    <row r="82" ht="15.75" hidden="1" customHeight="1">
      <c r="A82" s="425"/>
      <c r="B82" s="450"/>
      <c r="C82" s="450" t="s">
        <v>225</v>
      </c>
      <c r="D82" s="452"/>
      <c r="E82" s="538"/>
      <c r="F82" s="242"/>
      <c r="G82" s="1052"/>
      <c r="H82" s="612"/>
      <c r="I82" s="633"/>
      <c r="J82" s="452"/>
      <c r="K82" s="538"/>
      <c r="L82" s="242"/>
      <c r="M82" s="1052"/>
      <c r="N82" s="612"/>
      <c r="O82" s="633"/>
      <c r="P82" s="459"/>
      <c r="Q82" s="716"/>
      <c r="R82" s="450"/>
      <c r="S82" s="731"/>
      <c r="T82" s="685"/>
      <c r="U82" s="450"/>
      <c r="V82" s="425"/>
      <c r="W82" s="425"/>
      <c r="X82" s="425"/>
      <c r="Y82" s="425"/>
      <c r="Z82" s="425"/>
      <c r="AA82" s="425"/>
      <c r="AB82" s="425"/>
      <c r="AC82" s="425"/>
    </row>
    <row r="83" ht="15.75" hidden="1" customHeight="1">
      <c r="A83" s="425"/>
      <c r="B83" s="450"/>
      <c r="C83" s="450" t="s">
        <v>226</v>
      </c>
      <c r="D83" s="452"/>
      <c r="E83" s="538"/>
      <c r="F83" s="242"/>
      <c r="G83" s="1052"/>
      <c r="H83" s="612"/>
      <c r="I83" s="633"/>
      <c r="J83" s="452"/>
      <c r="K83" s="538"/>
      <c r="L83" s="242"/>
      <c r="M83" s="1052"/>
      <c r="N83" s="612"/>
      <c r="O83" s="633"/>
      <c r="P83" s="459"/>
      <c r="Q83" s="716"/>
      <c r="R83" s="450"/>
      <c r="S83" s="731"/>
      <c r="T83" s="685"/>
      <c r="U83" s="450"/>
      <c r="V83" s="425"/>
      <c r="W83" s="425"/>
      <c r="X83" s="425"/>
      <c r="Y83" s="425"/>
      <c r="Z83" s="425"/>
      <c r="AA83" s="425"/>
      <c r="AB83" s="425"/>
      <c r="AC83" s="425"/>
    </row>
    <row r="84" ht="15.75" hidden="1" customHeight="1">
      <c r="A84" s="425"/>
      <c r="B84" s="450"/>
      <c r="C84" s="450" t="s">
        <v>228</v>
      </c>
      <c r="D84" s="452"/>
      <c r="E84" s="538"/>
      <c r="F84" s="242"/>
      <c r="G84" s="1052"/>
      <c r="H84" s="612"/>
      <c r="I84" s="633"/>
      <c r="J84" s="452"/>
      <c r="K84" s="538"/>
      <c r="L84" s="242"/>
      <c r="M84" s="1052"/>
      <c r="N84" s="612"/>
      <c r="O84" s="633"/>
      <c r="P84" s="459"/>
      <c r="Q84" s="716"/>
      <c r="R84" s="450"/>
      <c r="S84" s="731"/>
      <c r="T84" s="685"/>
      <c r="U84" s="450"/>
      <c r="V84" s="425"/>
      <c r="W84" s="425"/>
      <c r="X84" s="425"/>
      <c r="Y84" s="425"/>
      <c r="Z84" s="425"/>
      <c r="AA84" s="425"/>
      <c r="AB84" s="425"/>
      <c r="AC84" s="425"/>
    </row>
    <row r="85" ht="15.75" hidden="1" customHeight="1">
      <c r="A85" s="425"/>
      <c r="B85" s="450"/>
      <c r="C85" s="450" t="s">
        <v>229</v>
      </c>
      <c r="D85" s="452"/>
      <c r="E85" s="538"/>
      <c r="F85" s="242"/>
      <c r="G85" s="1052"/>
      <c r="H85" s="612"/>
      <c r="I85" s="633"/>
      <c r="J85" s="452"/>
      <c r="K85" s="538"/>
      <c r="L85" s="242"/>
      <c r="M85" s="1052"/>
      <c r="N85" s="612"/>
      <c r="O85" s="633"/>
      <c r="P85" s="459"/>
      <c r="Q85" s="716"/>
      <c r="R85" s="450"/>
      <c r="S85" s="731"/>
      <c r="T85" s="685"/>
      <c r="U85" s="450"/>
      <c r="V85" s="425"/>
      <c r="W85" s="425"/>
      <c r="X85" s="425"/>
      <c r="Y85" s="425"/>
      <c r="Z85" s="425"/>
      <c r="AA85" s="425"/>
      <c r="AB85" s="425"/>
      <c r="AC85" s="425"/>
    </row>
    <row r="86" ht="15.75" hidden="1" customHeight="1">
      <c r="A86" s="425"/>
      <c r="B86" s="450"/>
      <c r="C86" s="450" t="s">
        <v>230</v>
      </c>
      <c r="D86" s="452"/>
      <c r="E86" s="538"/>
      <c r="F86" s="242"/>
      <c r="G86" s="1052"/>
      <c r="H86" s="612"/>
      <c r="I86" s="633"/>
      <c r="J86" s="452"/>
      <c r="K86" s="538"/>
      <c r="L86" s="242"/>
      <c r="M86" s="1052"/>
      <c r="N86" s="612"/>
      <c r="O86" s="633"/>
      <c r="P86" s="459"/>
      <c r="Q86" s="716"/>
      <c r="R86" s="450"/>
      <c r="S86" s="731"/>
      <c r="T86" s="685"/>
      <c r="U86" s="450"/>
      <c r="V86" s="425"/>
      <c r="W86" s="425"/>
      <c r="X86" s="425"/>
      <c r="Y86" s="425"/>
      <c r="Z86" s="425"/>
      <c r="AA86" s="425"/>
      <c r="AB86" s="425"/>
      <c r="AC86" s="425"/>
    </row>
    <row r="87" ht="15.75" hidden="1" customHeight="1">
      <c r="A87" s="425"/>
      <c r="B87" s="450"/>
      <c r="C87" s="450" t="s">
        <v>231</v>
      </c>
      <c r="D87" s="452"/>
      <c r="E87" s="538"/>
      <c r="F87" s="242"/>
      <c r="G87" s="1052"/>
      <c r="H87" s="612"/>
      <c r="I87" s="633"/>
      <c r="J87" s="452"/>
      <c r="K87" s="538"/>
      <c r="L87" s="242"/>
      <c r="M87" s="1052"/>
      <c r="N87" s="612"/>
      <c r="O87" s="633"/>
      <c r="P87" s="459"/>
      <c r="Q87" s="716"/>
      <c r="R87" s="450"/>
      <c r="S87" s="731"/>
      <c r="T87" s="685"/>
      <c r="U87" s="450"/>
      <c r="V87" s="425"/>
      <c r="W87" s="425"/>
      <c r="X87" s="425"/>
      <c r="Y87" s="425"/>
      <c r="Z87" s="425"/>
      <c r="AA87" s="425"/>
      <c r="AB87" s="425"/>
      <c r="AC87" s="425"/>
    </row>
    <row r="88" ht="15.75" customHeight="1">
      <c r="A88" s="425"/>
      <c r="B88" s="450"/>
      <c r="C88" s="450" t="s">
        <v>230</v>
      </c>
      <c r="D88" s="452"/>
      <c r="E88" s="521"/>
      <c r="F88" s="242"/>
      <c r="G88" s="242"/>
      <c r="H88" s="612"/>
      <c r="I88" s="633"/>
      <c r="J88" s="452"/>
      <c r="K88" s="521"/>
      <c r="L88" s="242"/>
      <c r="M88" s="242"/>
      <c r="N88" s="612"/>
      <c r="O88" s="633"/>
      <c r="P88" s="459"/>
      <c r="Q88" s="454"/>
      <c r="R88" s="450"/>
      <c r="S88" s="450"/>
      <c r="T88" s="685"/>
      <c r="U88" s="450"/>
      <c r="V88" s="425"/>
      <c r="W88" s="425"/>
      <c r="X88" s="425"/>
      <c r="Y88" s="425"/>
      <c r="Z88" s="425"/>
      <c r="AA88" s="425"/>
      <c r="AB88" s="425"/>
      <c r="AC88" s="425"/>
    </row>
    <row r="89" ht="15.75" customHeight="1">
      <c r="A89" s="425"/>
      <c r="B89" s="468"/>
      <c r="C89" s="578"/>
      <c r="D89" s="470"/>
      <c r="E89" s="526"/>
      <c r="F89" s="636"/>
      <c r="G89" s="636"/>
      <c r="H89" s="636"/>
      <c r="I89" s="638"/>
      <c r="J89" s="470"/>
      <c r="K89" s="526"/>
      <c r="L89" s="636"/>
      <c r="M89" s="636"/>
      <c r="N89" s="636"/>
      <c r="O89" s="638"/>
      <c r="P89" s="472"/>
      <c r="Q89" s="525"/>
      <c r="R89" s="468"/>
      <c r="S89" s="468"/>
      <c r="T89" s="468"/>
      <c r="U89" s="468"/>
      <c r="V89" s="425"/>
      <c r="W89" s="425"/>
      <c r="X89" s="425"/>
      <c r="Y89" s="425"/>
      <c r="Z89" s="425"/>
      <c r="AA89" s="425"/>
      <c r="AB89" s="425"/>
      <c r="AC89" s="425"/>
    </row>
    <row r="90" ht="15.75" customHeight="1">
      <c r="A90" s="425"/>
      <c r="B90" s="477"/>
      <c r="C90" s="492" t="s">
        <v>38</v>
      </c>
      <c r="D90" s="444">
        <f>SUM(D91)</f>
        <v>0</v>
      </c>
      <c r="E90" s="529">
        <f>D90/D$27</f>
        <v>0</v>
      </c>
      <c r="F90" s="649">
        <f>SUM(F91)</f>
        <v>0</v>
      </c>
      <c r="G90" s="1043" t="str">
        <f>F90/F$27</f>
        <v>#DIV/0!</v>
      </c>
      <c r="H90" s="1053">
        <f>SUM(H91)</f>
        <v>0</v>
      </c>
      <c r="I90" s="650"/>
      <c r="J90" s="444">
        <f>SUM(J91)</f>
        <v>0</v>
      </c>
      <c r="K90" s="529">
        <f>J90/J$27</f>
        <v>0</v>
      </c>
      <c r="L90" s="649">
        <f>SUM(L91)</f>
        <v>0</v>
      </c>
      <c r="M90" s="1043" t="str">
        <f>L90/L$27</f>
        <v>#DIV/0!</v>
      </c>
      <c r="N90" s="1053">
        <f>SUM(N91)</f>
        <v>0</v>
      </c>
      <c r="O90" s="650"/>
      <c r="P90" s="475">
        <f>SUM(P91)</f>
        <v>0</v>
      </c>
      <c r="Q90" s="581" t="str">
        <f>P90/P$27</f>
        <v>#DIV/0!</v>
      </c>
      <c r="R90" s="474">
        <f>SUM(R91)</f>
        <v>0</v>
      </c>
      <c r="S90" s="1044" t="str">
        <f>R90/R$27</f>
        <v>#DIV/0!</v>
      </c>
      <c r="T90" s="1054">
        <f>SUM(T91)</f>
        <v>0</v>
      </c>
      <c r="U90" s="474"/>
      <c r="V90" s="427"/>
      <c r="W90" s="427"/>
      <c r="X90" s="427"/>
      <c r="Y90" s="427"/>
      <c r="Z90" s="427"/>
      <c r="AA90" s="427"/>
      <c r="AB90" s="427"/>
      <c r="AC90" s="427"/>
    </row>
    <row r="91" ht="15.75" hidden="1" customHeight="1">
      <c r="A91" s="425"/>
      <c r="B91" s="481"/>
      <c r="C91" s="481" t="s">
        <v>276</v>
      </c>
      <c r="D91" s="448">
        <v>0.0</v>
      </c>
      <c r="E91" s="533">
        <f>IFERROR((D91/D$27),"")</f>
        <v>0</v>
      </c>
      <c r="F91" s="630"/>
      <c r="G91" s="630"/>
      <c r="H91" s="610">
        <f>D91-F91</f>
        <v>0</v>
      </c>
      <c r="I91" s="631"/>
      <c r="J91" s="448">
        <v>0.0</v>
      </c>
      <c r="K91" s="533">
        <f>IFERROR((J91/J$27),"")</f>
        <v>0</v>
      </c>
      <c r="L91" s="630"/>
      <c r="M91" s="630"/>
      <c r="N91" s="610">
        <f>J91-L91</f>
        <v>0</v>
      </c>
      <c r="O91" s="631"/>
      <c r="P91" s="482">
        <v>0.0</v>
      </c>
      <c r="Q91" s="725" t="str">
        <f>IFERROR((P91/P$27),"")</f>
        <v/>
      </c>
      <c r="R91" s="481"/>
      <c r="S91" s="481"/>
      <c r="T91" s="686">
        <f>P91-R91</f>
        <v>0</v>
      </c>
      <c r="U91" s="481"/>
      <c r="V91" s="425"/>
      <c r="W91" s="425"/>
      <c r="X91" s="425"/>
      <c r="Y91" s="425"/>
      <c r="Z91" s="425"/>
      <c r="AA91" s="425"/>
      <c r="AB91" s="425"/>
      <c r="AC91" s="425"/>
    </row>
    <row r="92" ht="15.75" customHeight="1">
      <c r="A92" s="425"/>
      <c r="B92" s="468"/>
      <c r="C92" s="468"/>
      <c r="D92" s="470"/>
      <c r="E92" s="526"/>
      <c r="F92" s="636"/>
      <c r="G92" s="636"/>
      <c r="H92" s="636"/>
      <c r="I92" s="638"/>
      <c r="J92" s="470"/>
      <c r="K92" s="526"/>
      <c r="L92" s="636"/>
      <c r="M92" s="636"/>
      <c r="N92" s="636"/>
      <c r="O92" s="638"/>
      <c r="P92" s="472"/>
      <c r="Q92" s="525"/>
      <c r="R92" s="468"/>
      <c r="S92" s="468"/>
      <c r="T92" s="468"/>
      <c r="U92" s="468"/>
      <c r="V92" s="425"/>
      <c r="W92" s="425"/>
      <c r="X92" s="425"/>
      <c r="Y92" s="425"/>
      <c r="Z92" s="425"/>
      <c r="AA92" s="425"/>
      <c r="AB92" s="425"/>
      <c r="AC92" s="425"/>
    </row>
    <row r="93" ht="15.75" customHeight="1">
      <c r="A93" s="425"/>
      <c r="B93" s="477"/>
      <c r="C93" s="492" t="s">
        <v>238</v>
      </c>
      <c r="D93" s="444">
        <f>SUM(D94:D95)</f>
        <v>23091</v>
      </c>
      <c r="E93" s="529">
        <f>D93/D$27</f>
        <v>0.1851592136</v>
      </c>
      <c r="F93" s="649">
        <f>SUM(F94:F95)</f>
        <v>0</v>
      </c>
      <c r="G93" s="1043" t="str">
        <f>F93/F$27</f>
        <v>#DIV/0!</v>
      </c>
      <c r="H93" s="609">
        <f>SUM(H94:H95)</f>
        <v>0</v>
      </c>
      <c r="I93" s="650"/>
      <c r="J93" s="444">
        <f>SUM(J94:J95)</f>
        <v>23091</v>
      </c>
      <c r="K93" s="529">
        <f>J93/J$27</f>
        <v>0.2233841867</v>
      </c>
      <c r="L93" s="649">
        <f>SUM(L94:L95)</f>
        <v>0</v>
      </c>
      <c r="M93" s="1043" t="str">
        <f>L93/L$27</f>
        <v>#DIV/0!</v>
      </c>
      <c r="N93" s="609">
        <f>SUM(N94:N95)</f>
        <v>0</v>
      </c>
      <c r="O93" s="650"/>
      <c r="P93" s="475">
        <f>SUM(P94:P95)</f>
        <v>0</v>
      </c>
      <c r="Q93" s="581" t="str">
        <f>P93/P$27</f>
        <v>#DIV/0!</v>
      </c>
      <c r="R93" s="474">
        <f>SUM(R94:R95)</f>
        <v>0</v>
      </c>
      <c r="S93" s="1044" t="str">
        <f>R93/R$27</f>
        <v>#DIV/0!</v>
      </c>
      <c r="T93" s="627">
        <f>SUM(T94:T95)</f>
        <v>0</v>
      </c>
      <c r="U93" s="474"/>
      <c r="V93" s="427"/>
      <c r="W93" s="427"/>
      <c r="X93" s="427"/>
      <c r="Y93" s="427"/>
      <c r="Z93" s="427"/>
      <c r="AA93" s="427"/>
      <c r="AB93" s="427"/>
      <c r="AC93" s="427"/>
    </row>
    <row r="94" ht="15.75" customHeight="1">
      <c r="A94" s="425"/>
      <c r="B94" s="481"/>
      <c r="C94" s="481" t="s">
        <v>239</v>
      </c>
      <c r="D94" s="448"/>
      <c r="E94" s="533"/>
      <c r="F94" s="630"/>
      <c r="G94" s="1055"/>
      <c r="H94" s="610"/>
      <c r="I94" s="631"/>
      <c r="J94" s="448"/>
      <c r="K94" s="533"/>
      <c r="L94" s="630"/>
      <c r="M94" s="1055"/>
      <c r="N94" s="610"/>
      <c r="O94" s="631"/>
      <c r="P94" s="482"/>
      <c r="Q94" s="725"/>
      <c r="R94" s="481"/>
      <c r="S94" s="1056"/>
      <c r="T94" s="686"/>
      <c r="U94" s="481"/>
      <c r="V94" s="425"/>
      <c r="W94" s="425"/>
      <c r="X94" s="425"/>
      <c r="Y94" s="425"/>
      <c r="Z94" s="425"/>
      <c r="AA94" s="425"/>
      <c r="AB94" s="425"/>
      <c r="AC94" s="425"/>
    </row>
    <row r="95" ht="15.75" customHeight="1">
      <c r="A95" s="425"/>
      <c r="B95" s="450"/>
      <c r="C95" s="450" t="s">
        <v>289</v>
      </c>
      <c r="D95" s="452">
        <v>23091.0</v>
      </c>
      <c r="E95" s="538"/>
      <c r="F95" s="242"/>
      <c r="G95" s="1052"/>
      <c r="H95" s="612"/>
      <c r="I95" s="633"/>
      <c r="J95" s="452">
        <v>23091.0</v>
      </c>
      <c r="K95" s="538"/>
      <c r="L95" s="242"/>
      <c r="M95" s="1052"/>
      <c r="N95" s="612"/>
      <c r="O95" s="633"/>
      <c r="P95" s="459"/>
      <c r="Q95" s="716"/>
      <c r="R95" s="450"/>
      <c r="S95" s="731"/>
      <c r="T95" s="685"/>
      <c r="U95" s="450"/>
      <c r="V95" s="425"/>
      <c r="W95" s="425"/>
      <c r="X95" s="425"/>
      <c r="Y95" s="425"/>
      <c r="Z95" s="425"/>
      <c r="AA95" s="425"/>
      <c r="AB95" s="425"/>
      <c r="AC95" s="425"/>
    </row>
    <row r="96" ht="15.75" customHeight="1">
      <c r="A96" s="425"/>
      <c r="B96" s="468"/>
      <c r="C96" s="468"/>
      <c r="D96" s="470"/>
      <c r="E96" s="526"/>
      <c r="F96" s="636"/>
      <c r="G96" s="636"/>
      <c r="H96" s="636"/>
      <c r="I96" s="638"/>
      <c r="J96" s="470"/>
      <c r="K96" s="526"/>
      <c r="L96" s="636"/>
      <c r="M96" s="636"/>
      <c r="N96" s="636"/>
      <c r="O96" s="638"/>
      <c r="P96" s="472"/>
      <c r="Q96" s="525"/>
      <c r="R96" s="468"/>
      <c r="S96" s="468"/>
      <c r="T96" s="468"/>
      <c r="U96" s="468"/>
      <c r="V96" s="425"/>
      <c r="W96" s="425"/>
      <c r="X96" s="425"/>
      <c r="Y96" s="425"/>
      <c r="Z96" s="425"/>
      <c r="AA96" s="425"/>
      <c r="AB96" s="425"/>
      <c r="AC96" s="425"/>
    </row>
    <row r="97" ht="15.75" customHeight="1">
      <c r="A97" s="425"/>
      <c r="B97" s="477"/>
      <c r="C97" s="492" t="s">
        <v>40</v>
      </c>
      <c r="D97" s="444">
        <f>SUM(D98:D108)</f>
        <v>8100</v>
      </c>
      <c r="E97" s="529">
        <f>D97/D$27</f>
        <v>0.0649512637</v>
      </c>
      <c r="F97" s="649">
        <f>SUM(F98:F108)</f>
        <v>0</v>
      </c>
      <c r="G97" s="1043" t="str">
        <f>F97/F$27</f>
        <v>#DIV/0!</v>
      </c>
      <c r="H97" s="1053">
        <f>SUM(H98:H108)</f>
        <v>0</v>
      </c>
      <c r="I97" s="650"/>
      <c r="J97" s="444">
        <f>SUM(J98:J108)</f>
        <v>0</v>
      </c>
      <c r="K97" s="529">
        <f>J97/J$27</f>
        <v>0</v>
      </c>
      <c r="L97" s="649">
        <f>SUM(L98:L108)</f>
        <v>0</v>
      </c>
      <c r="M97" s="1043" t="str">
        <f>L97/L$27</f>
        <v>#DIV/0!</v>
      </c>
      <c r="N97" s="1053">
        <f>SUM(N98:N108)</f>
        <v>0</v>
      </c>
      <c r="O97" s="650"/>
      <c r="P97" s="475">
        <f>SUM(P98:P108)</f>
        <v>0</v>
      </c>
      <c r="Q97" s="581" t="str">
        <f>P97/P$27</f>
        <v>#DIV/0!</v>
      </c>
      <c r="R97" s="474">
        <f>SUM(R98:R108)</f>
        <v>0</v>
      </c>
      <c r="S97" s="1044" t="str">
        <f>R97/R$27</f>
        <v>#DIV/0!</v>
      </c>
      <c r="T97" s="1054">
        <f>SUM(T98:T108)</f>
        <v>0</v>
      </c>
      <c r="U97" s="474"/>
      <c r="V97" s="427"/>
      <c r="W97" s="427"/>
      <c r="X97" s="427"/>
      <c r="Y97" s="427"/>
      <c r="Z97" s="427"/>
      <c r="AA97" s="427"/>
      <c r="AB97" s="427"/>
      <c r="AC97" s="427"/>
    </row>
    <row r="98" ht="15.75" hidden="1" customHeight="1">
      <c r="A98" s="425"/>
      <c r="B98" s="481"/>
      <c r="C98" s="481" t="s">
        <v>241</v>
      </c>
      <c r="D98" s="448"/>
      <c r="E98" s="533"/>
      <c r="F98" s="630"/>
      <c r="G98" s="1055"/>
      <c r="H98" s="610"/>
      <c r="I98" s="631"/>
      <c r="J98" s="448"/>
      <c r="K98" s="533"/>
      <c r="L98" s="630"/>
      <c r="M98" s="1055"/>
      <c r="N98" s="610"/>
      <c r="O98" s="631"/>
      <c r="P98" s="482"/>
      <c r="Q98" s="725"/>
      <c r="R98" s="481"/>
      <c r="S98" s="1056"/>
      <c r="T98" s="686"/>
      <c r="U98" s="481"/>
      <c r="V98" s="425"/>
      <c r="W98" s="425"/>
      <c r="X98" s="425"/>
      <c r="Y98" s="425"/>
      <c r="Z98" s="425"/>
      <c r="AA98" s="425"/>
      <c r="AB98" s="425"/>
      <c r="AC98" s="425"/>
    </row>
    <row r="99" ht="15.75" customHeight="1">
      <c r="A99" s="425"/>
      <c r="B99" s="450"/>
      <c r="C99" s="450" t="s">
        <v>242</v>
      </c>
      <c r="D99" s="452">
        <v>8100.0</v>
      </c>
      <c r="E99" s="538"/>
      <c r="F99" s="242"/>
      <c r="G99" s="1052"/>
      <c r="H99" s="612"/>
      <c r="I99" s="633"/>
      <c r="J99" s="452"/>
      <c r="K99" s="538"/>
      <c r="L99" s="242"/>
      <c r="M99" s="1052"/>
      <c r="N99" s="612"/>
      <c r="O99" s="633"/>
      <c r="P99" s="459"/>
      <c r="Q99" s="716"/>
      <c r="R99" s="450"/>
      <c r="S99" s="731"/>
      <c r="T99" s="685"/>
      <c r="U99" s="450"/>
      <c r="V99" s="425"/>
      <c r="W99" s="425"/>
      <c r="X99" s="425"/>
      <c r="Y99" s="425"/>
      <c r="Z99" s="425"/>
      <c r="AA99" s="425"/>
      <c r="AB99" s="425"/>
      <c r="AC99" s="425"/>
    </row>
    <row r="100" ht="15.75" hidden="1" customHeight="1">
      <c r="A100" s="425"/>
      <c r="B100" s="450"/>
      <c r="C100" s="450" t="s">
        <v>243</v>
      </c>
      <c r="D100" s="452"/>
      <c r="E100" s="538"/>
      <c r="F100" s="242"/>
      <c r="G100" s="1052"/>
      <c r="H100" s="612"/>
      <c r="I100" s="633"/>
      <c r="J100" s="452"/>
      <c r="K100" s="538"/>
      <c r="L100" s="242"/>
      <c r="M100" s="1052"/>
      <c r="N100" s="612"/>
      <c r="O100" s="633"/>
      <c r="P100" s="459"/>
      <c r="Q100" s="716"/>
      <c r="R100" s="450"/>
      <c r="S100" s="731"/>
      <c r="T100" s="685"/>
      <c r="U100" s="450"/>
      <c r="V100" s="425"/>
      <c r="W100" s="425"/>
      <c r="X100" s="425"/>
      <c r="Y100" s="425"/>
      <c r="Z100" s="425"/>
      <c r="AA100" s="425"/>
      <c r="AB100" s="425"/>
      <c r="AC100" s="425"/>
    </row>
    <row r="101" ht="15.75" hidden="1" customHeight="1">
      <c r="A101" s="425"/>
      <c r="B101" s="450"/>
      <c r="C101" s="450" t="s">
        <v>244</v>
      </c>
      <c r="D101" s="452"/>
      <c r="E101" s="538"/>
      <c r="F101" s="242"/>
      <c r="G101" s="1052"/>
      <c r="H101" s="612"/>
      <c r="I101" s="633"/>
      <c r="J101" s="452"/>
      <c r="K101" s="538"/>
      <c r="L101" s="242"/>
      <c r="M101" s="1052"/>
      <c r="N101" s="612"/>
      <c r="O101" s="633"/>
      <c r="P101" s="459"/>
      <c r="Q101" s="716"/>
      <c r="R101" s="450"/>
      <c r="S101" s="731"/>
      <c r="T101" s="685"/>
      <c r="U101" s="450"/>
      <c r="V101" s="425"/>
      <c r="W101" s="425"/>
      <c r="X101" s="425"/>
      <c r="Y101" s="425"/>
      <c r="Z101" s="425"/>
      <c r="AA101" s="425"/>
      <c r="AB101" s="425"/>
      <c r="AC101" s="425"/>
    </row>
    <row r="102" ht="15.75" hidden="1" customHeight="1">
      <c r="A102" s="425"/>
      <c r="B102" s="450"/>
      <c r="C102" s="450" t="s">
        <v>290</v>
      </c>
      <c r="D102" s="452"/>
      <c r="E102" s="538"/>
      <c r="F102" s="242"/>
      <c r="G102" s="1052"/>
      <c r="H102" s="612"/>
      <c r="I102" s="633"/>
      <c r="J102" s="452"/>
      <c r="K102" s="538"/>
      <c r="L102" s="242"/>
      <c r="M102" s="1052"/>
      <c r="N102" s="612"/>
      <c r="O102" s="633"/>
      <c r="P102" s="459"/>
      <c r="Q102" s="716"/>
      <c r="R102" s="450"/>
      <c r="S102" s="731"/>
      <c r="T102" s="685"/>
      <c r="U102" s="450"/>
      <c r="V102" s="425"/>
      <c r="W102" s="425"/>
      <c r="X102" s="425"/>
      <c r="Y102" s="425"/>
      <c r="Z102" s="425"/>
      <c r="AA102" s="425"/>
      <c r="AB102" s="425"/>
      <c r="AC102" s="425"/>
    </row>
    <row r="103" ht="15.75" hidden="1" customHeight="1">
      <c r="A103" s="425"/>
      <c r="B103" s="450"/>
      <c r="C103" s="450" t="s">
        <v>247</v>
      </c>
      <c r="D103" s="452"/>
      <c r="E103" s="538"/>
      <c r="F103" s="242"/>
      <c r="G103" s="1052"/>
      <c r="H103" s="612"/>
      <c r="I103" s="633"/>
      <c r="J103" s="452"/>
      <c r="K103" s="538"/>
      <c r="L103" s="242"/>
      <c r="M103" s="1052"/>
      <c r="N103" s="612"/>
      <c r="O103" s="633"/>
      <c r="P103" s="459"/>
      <c r="Q103" s="716"/>
      <c r="R103" s="450"/>
      <c r="S103" s="731"/>
      <c r="T103" s="685"/>
      <c r="U103" s="450"/>
      <c r="V103" s="425"/>
      <c r="W103" s="425"/>
      <c r="X103" s="425"/>
      <c r="Y103" s="425"/>
      <c r="Z103" s="425"/>
      <c r="AA103" s="425"/>
      <c r="AB103" s="425"/>
      <c r="AC103" s="425"/>
    </row>
    <row r="104" ht="15.75" hidden="1" customHeight="1">
      <c r="A104" s="425"/>
      <c r="B104" s="450"/>
      <c r="C104" s="450" t="s">
        <v>249</v>
      </c>
      <c r="D104" s="452"/>
      <c r="E104" s="538"/>
      <c r="F104" s="242"/>
      <c r="G104" s="1052"/>
      <c r="H104" s="612"/>
      <c r="I104" s="633"/>
      <c r="J104" s="452"/>
      <c r="K104" s="538"/>
      <c r="L104" s="242"/>
      <c r="M104" s="1052"/>
      <c r="N104" s="612"/>
      <c r="O104" s="633"/>
      <c r="P104" s="459"/>
      <c r="Q104" s="716"/>
      <c r="R104" s="450"/>
      <c r="S104" s="731"/>
      <c r="T104" s="685"/>
      <c r="U104" s="450"/>
      <c r="V104" s="425"/>
      <c r="W104" s="425"/>
      <c r="X104" s="425"/>
      <c r="Y104" s="425"/>
      <c r="Z104" s="425"/>
      <c r="AA104" s="425"/>
      <c r="AB104" s="425"/>
      <c r="AC104" s="425"/>
    </row>
    <row r="105" ht="15.75" hidden="1" customHeight="1">
      <c r="A105" s="425"/>
      <c r="B105" s="450"/>
      <c r="C105" s="450" t="s">
        <v>250</v>
      </c>
      <c r="D105" s="452"/>
      <c r="E105" s="538"/>
      <c r="F105" s="242"/>
      <c r="G105" s="1052"/>
      <c r="H105" s="612"/>
      <c r="I105" s="633"/>
      <c r="J105" s="452"/>
      <c r="K105" s="538"/>
      <c r="L105" s="242"/>
      <c r="M105" s="1052"/>
      <c r="N105" s="612"/>
      <c r="O105" s="633"/>
      <c r="P105" s="459"/>
      <c r="Q105" s="716"/>
      <c r="R105" s="450"/>
      <c r="S105" s="731"/>
      <c r="T105" s="685"/>
      <c r="U105" s="450"/>
      <c r="V105" s="425"/>
      <c r="W105" s="425"/>
      <c r="X105" s="425"/>
      <c r="Y105" s="425"/>
      <c r="Z105" s="425"/>
      <c r="AA105" s="425"/>
      <c r="AB105" s="425"/>
      <c r="AC105" s="425"/>
    </row>
    <row r="106" ht="15.75" hidden="1" customHeight="1">
      <c r="A106" s="425"/>
      <c r="B106" s="450"/>
      <c r="C106" s="450" t="s">
        <v>251</v>
      </c>
      <c r="D106" s="452"/>
      <c r="E106" s="538"/>
      <c r="F106" s="242"/>
      <c r="G106" s="1052"/>
      <c r="H106" s="612"/>
      <c r="I106" s="633"/>
      <c r="J106" s="452"/>
      <c r="K106" s="538"/>
      <c r="L106" s="242"/>
      <c r="M106" s="1052"/>
      <c r="N106" s="612"/>
      <c r="O106" s="633"/>
      <c r="P106" s="459"/>
      <c r="Q106" s="716"/>
      <c r="R106" s="450"/>
      <c r="S106" s="731"/>
      <c r="T106" s="685"/>
      <c r="U106" s="450"/>
      <c r="V106" s="425"/>
      <c r="W106" s="425"/>
      <c r="X106" s="425"/>
      <c r="Y106" s="425"/>
      <c r="Z106" s="425"/>
      <c r="AA106" s="425"/>
      <c r="AB106" s="425"/>
      <c r="AC106" s="425"/>
    </row>
    <row r="107" ht="15.75" hidden="1" customHeight="1">
      <c r="A107" s="425"/>
      <c r="B107" s="450"/>
      <c r="C107" s="450" t="s">
        <v>252</v>
      </c>
      <c r="D107" s="452"/>
      <c r="E107" s="538"/>
      <c r="F107" s="242"/>
      <c r="G107" s="1052"/>
      <c r="H107" s="612"/>
      <c r="I107" s="633"/>
      <c r="J107" s="452"/>
      <c r="K107" s="538"/>
      <c r="L107" s="242"/>
      <c r="M107" s="1052"/>
      <c r="N107" s="612"/>
      <c r="O107" s="633"/>
      <c r="P107" s="459"/>
      <c r="Q107" s="716"/>
      <c r="R107" s="450"/>
      <c r="S107" s="731"/>
      <c r="T107" s="685"/>
      <c r="U107" s="450"/>
      <c r="V107" s="425"/>
      <c r="W107" s="425"/>
      <c r="X107" s="425"/>
      <c r="Y107" s="425"/>
      <c r="Z107" s="425"/>
      <c r="AA107" s="425"/>
      <c r="AB107" s="425"/>
      <c r="AC107" s="425"/>
    </row>
    <row r="108" ht="15.75" hidden="1" customHeight="1">
      <c r="A108" s="425"/>
      <c r="B108" s="450"/>
      <c r="C108" s="450" t="s">
        <v>303</v>
      </c>
      <c r="D108" s="452"/>
      <c r="E108" s="538"/>
      <c r="F108" s="242"/>
      <c r="G108" s="1052"/>
      <c r="H108" s="612"/>
      <c r="I108" s="633"/>
      <c r="J108" s="452"/>
      <c r="K108" s="538"/>
      <c r="L108" s="242"/>
      <c r="M108" s="1052"/>
      <c r="N108" s="612"/>
      <c r="O108" s="633"/>
      <c r="P108" s="459"/>
      <c r="Q108" s="716"/>
      <c r="R108" s="450"/>
      <c r="S108" s="731"/>
      <c r="T108" s="685"/>
      <c r="U108" s="450"/>
      <c r="V108" s="425"/>
      <c r="W108" s="425"/>
      <c r="X108" s="425"/>
      <c r="Y108" s="425"/>
      <c r="Z108" s="425"/>
      <c r="AA108" s="425"/>
      <c r="AB108" s="425"/>
      <c r="AC108" s="425"/>
    </row>
    <row r="109" ht="15.75" hidden="1" customHeight="1">
      <c r="A109" s="425"/>
      <c r="B109" s="450"/>
      <c r="C109" s="450" t="s">
        <v>280</v>
      </c>
      <c r="D109" s="452"/>
      <c r="E109" s="538"/>
      <c r="F109" s="242"/>
      <c r="G109" s="1052"/>
      <c r="H109" s="242"/>
      <c r="I109" s="633"/>
      <c r="J109" s="452"/>
      <c r="K109" s="538"/>
      <c r="L109" s="242"/>
      <c r="M109" s="1052"/>
      <c r="N109" s="242"/>
      <c r="O109" s="633"/>
      <c r="P109" s="459"/>
      <c r="Q109" s="716"/>
      <c r="R109" s="450"/>
      <c r="S109" s="731"/>
      <c r="T109" s="450"/>
      <c r="U109" s="450"/>
      <c r="V109" s="425"/>
      <c r="W109" s="425"/>
      <c r="X109" s="425"/>
      <c r="Y109" s="425"/>
      <c r="Z109" s="425"/>
      <c r="AA109" s="425"/>
      <c r="AB109" s="425"/>
      <c r="AC109" s="425"/>
    </row>
    <row r="110" ht="15.75" customHeight="1">
      <c r="A110" s="425"/>
      <c r="B110" s="450"/>
      <c r="C110" s="450" t="s">
        <v>247</v>
      </c>
      <c r="D110" s="452"/>
      <c r="E110" s="521"/>
      <c r="F110" s="242"/>
      <c r="G110" s="242"/>
      <c r="H110" s="242"/>
      <c r="I110" s="633"/>
      <c r="J110" s="452"/>
      <c r="K110" s="521"/>
      <c r="L110" s="242"/>
      <c r="M110" s="242"/>
      <c r="N110" s="242"/>
      <c r="O110" s="633"/>
      <c r="P110" s="459"/>
      <c r="Q110" s="454"/>
      <c r="R110" s="450"/>
      <c r="S110" s="450"/>
      <c r="T110" s="450"/>
      <c r="U110" s="450"/>
      <c r="V110" s="425"/>
      <c r="W110" s="425"/>
      <c r="X110" s="425"/>
      <c r="Y110" s="425"/>
      <c r="Z110" s="425"/>
      <c r="AA110" s="425"/>
      <c r="AB110" s="425"/>
      <c r="AC110" s="425"/>
    </row>
    <row r="111" ht="15.75" customHeight="1">
      <c r="A111" s="425"/>
      <c r="B111" s="468"/>
      <c r="C111" s="645"/>
      <c r="D111" s="470"/>
      <c r="E111" s="526"/>
      <c r="F111" s="636"/>
      <c r="G111" s="636"/>
      <c r="H111" s="636"/>
      <c r="I111" s="638"/>
      <c r="J111" s="470"/>
      <c r="K111" s="526"/>
      <c r="L111" s="636"/>
      <c r="M111" s="636"/>
      <c r="N111" s="636"/>
      <c r="O111" s="638"/>
      <c r="P111" s="472"/>
      <c r="Q111" s="525"/>
      <c r="R111" s="468"/>
      <c r="S111" s="468"/>
      <c r="T111" s="468"/>
      <c r="U111" s="468"/>
      <c r="V111" s="425"/>
      <c r="W111" s="425"/>
      <c r="X111" s="425"/>
      <c r="Y111" s="425"/>
      <c r="Z111" s="425"/>
      <c r="AA111" s="425"/>
      <c r="AB111" s="425"/>
      <c r="AC111" s="425"/>
    </row>
    <row r="112" ht="15.75" customHeight="1">
      <c r="A112" s="425"/>
      <c r="B112" s="477"/>
      <c r="C112" s="492" t="s">
        <v>41</v>
      </c>
      <c r="D112" s="444">
        <f>SUM(D113:D114)</f>
        <v>0</v>
      </c>
      <c r="E112" s="555"/>
      <c r="F112" s="609">
        <f>SUM(F113:F114)</f>
        <v>0</v>
      </c>
      <c r="G112" s="649"/>
      <c r="H112" s="609">
        <f>SUM(H113:H114)</f>
        <v>0</v>
      </c>
      <c r="I112" s="650"/>
      <c r="J112" s="444">
        <f>SUM(J113:J114)</f>
        <v>0</v>
      </c>
      <c r="K112" s="555"/>
      <c r="L112" s="609">
        <f>SUM(L113:L114)</f>
        <v>0</v>
      </c>
      <c r="M112" s="649"/>
      <c r="N112" s="609">
        <f>SUM(N113:N114)</f>
        <v>0</v>
      </c>
      <c r="O112" s="650"/>
      <c r="P112" s="475">
        <f>SUM(P113:P114)</f>
        <v>0</v>
      </c>
      <c r="Q112" s="442"/>
      <c r="R112" s="627">
        <f>SUM(R113:R114)</f>
        <v>0</v>
      </c>
      <c r="S112" s="474"/>
      <c r="T112" s="627">
        <f>SUM(T113:T114)</f>
        <v>0</v>
      </c>
      <c r="U112" s="474"/>
      <c r="V112" s="427"/>
      <c r="W112" s="427"/>
      <c r="X112" s="427"/>
      <c r="Y112" s="427"/>
      <c r="Z112" s="427"/>
      <c r="AA112" s="427"/>
      <c r="AB112" s="427"/>
      <c r="AC112" s="427"/>
    </row>
    <row r="113" ht="15.75" hidden="1" customHeight="1">
      <c r="A113" s="425"/>
      <c r="B113" s="481"/>
      <c r="C113" s="481" t="s">
        <v>253</v>
      </c>
      <c r="D113" s="448"/>
      <c r="E113" s="533">
        <f t="shared" ref="E113:E114" si="25">IFERROR((D113/D$27),"")</f>
        <v>0</v>
      </c>
      <c r="F113" s="630"/>
      <c r="G113" s="630"/>
      <c r="H113" s="610">
        <f t="shared" ref="H113:H114" si="26">D113-F113</f>
        <v>0</v>
      </c>
      <c r="I113" s="631"/>
      <c r="J113" s="448"/>
      <c r="K113" s="533">
        <f t="shared" ref="K113:K114" si="27">IFERROR((J113/J$27),"")</f>
        <v>0</v>
      </c>
      <c r="L113" s="630"/>
      <c r="M113" s="630"/>
      <c r="N113" s="610">
        <f t="shared" ref="N113:N114" si="28">J113-L113</f>
        <v>0</v>
      </c>
      <c r="O113" s="631"/>
      <c r="P113" s="482"/>
      <c r="Q113" s="725" t="str">
        <f t="shared" ref="Q113:Q114" si="29">IFERROR((P113/P$27),"")</f>
        <v/>
      </c>
      <c r="R113" s="481"/>
      <c r="S113" s="481"/>
      <c r="T113" s="686">
        <f t="shared" ref="T113:T114" si="30">P113-R113</f>
        <v>0</v>
      </c>
      <c r="U113" s="481"/>
      <c r="V113" s="425"/>
      <c r="W113" s="425"/>
      <c r="X113" s="425"/>
      <c r="Y113" s="425"/>
      <c r="Z113" s="425"/>
      <c r="AA113" s="425"/>
      <c r="AB113" s="425"/>
      <c r="AC113" s="425"/>
    </row>
    <row r="114" ht="15.75" hidden="1" customHeight="1">
      <c r="A114" s="425"/>
      <c r="B114" s="450"/>
      <c r="C114" s="450" t="s">
        <v>292</v>
      </c>
      <c r="D114" s="452"/>
      <c r="E114" s="538">
        <f t="shared" si="25"/>
        <v>0</v>
      </c>
      <c r="F114" s="242"/>
      <c r="G114" s="242"/>
      <c r="H114" s="612">
        <f t="shared" si="26"/>
        <v>0</v>
      </c>
      <c r="I114" s="633"/>
      <c r="J114" s="452"/>
      <c r="K114" s="538">
        <f t="shared" si="27"/>
        <v>0</v>
      </c>
      <c r="L114" s="242"/>
      <c r="M114" s="242"/>
      <c r="N114" s="612">
        <f t="shared" si="28"/>
        <v>0</v>
      </c>
      <c r="O114" s="633"/>
      <c r="P114" s="459"/>
      <c r="Q114" s="716" t="str">
        <f t="shared" si="29"/>
        <v/>
      </c>
      <c r="R114" s="450"/>
      <c r="S114" s="450"/>
      <c r="T114" s="685">
        <f t="shared" si="30"/>
        <v>0</v>
      </c>
      <c r="U114" s="450"/>
      <c r="V114" s="425"/>
      <c r="W114" s="425"/>
      <c r="X114" s="425"/>
      <c r="Y114" s="425"/>
      <c r="Z114" s="425"/>
      <c r="AA114" s="425"/>
      <c r="AB114" s="425"/>
      <c r="AC114" s="425"/>
    </row>
    <row r="115" ht="15.75" customHeight="1">
      <c r="A115" s="425"/>
      <c r="B115" s="468"/>
      <c r="C115" s="468"/>
      <c r="D115" s="470"/>
      <c r="E115" s="526"/>
      <c r="F115" s="636"/>
      <c r="G115" s="636"/>
      <c r="H115" s="636"/>
      <c r="I115" s="638"/>
      <c r="J115" s="470"/>
      <c r="K115" s="526"/>
      <c r="L115" s="636"/>
      <c r="M115" s="636"/>
      <c r="N115" s="636"/>
      <c r="O115" s="638"/>
      <c r="P115" s="472"/>
      <c r="Q115" s="525"/>
      <c r="R115" s="468"/>
      <c r="S115" s="468"/>
      <c r="T115" s="468"/>
      <c r="U115" s="468"/>
      <c r="V115" s="425"/>
      <c r="W115" s="425"/>
      <c r="X115" s="425"/>
      <c r="Y115" s="425"/>
      <c r="Z115" s="425"/>
      <c r="AA115" s="425"/>
      <c r="AB115" s="425"/>
      <c r="AC115" s="425"/>
    </row>
    <row r="116" ht="15.75" customHeight="1">
      <c r="A116" s="425"/>
      <c r="B116" s="477"/>
      <c r="C116" s="492" t="s">
        <v>42</v>
      </c>
      <c r="D116" s="444">
        <f>SUM(D117:D118)</f>
        <v>0</v>
      </c>
      <c r="E116" s="555"/>
      <c r="F116" s="649">
        <f>SUM(F117:F118)</f>
        <v>0</v>
      </c>
      <c r="G116" s="649"/>
      <c r="H116" s="1053">
        <f>SUM(H117:H118)</f>
        <v>0</v>
      </c>
      <c r="I116" s="650"/>
      <c r="J116" s="444">
        <f>SUM(J117:J118)</f>
        <v>0</v>
      </c>
      <c r="K116" s="555"/>
      <c r="L116" s="649">
        <f>SUM(L117:L118)</f>
        <v>0</v>
      </c>
      <c r="M116" s="649"/>
      <c r="N116" s="1053">
        <f>SUM(N117:N118)</f>
        <v>0</v>
      </c>
      <c r="O116" s="650"/>
      <c r="P116" s="475">
        <f>SUM(P117:P118)</f>
        <v>0</v>
      </c>
      <c r="Q116" s="442"/>
      <c r="R116" s="474">
        <f>SUM(R117:R118)</f>
        <v>0</v>
      </c>
      <c r="S116" s="474"/>
      <c r="T116" s="1054">
        <f>SUM(T117:T118)</f>
        <v>0</v>
      </c>
      <c r="U116" s="474"/>
      <c r="V116" s="427"/>
      <c r="W116" s="427"/>
      <c r="X116" s="427"/>
      <c r="Y116" s="427"/>
      <c r="Z116" s="427"/>
      <c r="AA116" s="427"/>
      <c r="AB116" s="427"/>
      <c r="AC116" s="427"/>
    </row>
    <row r="117" ht="15.75" hidden="1" customHeight="1">
      <c r="A117" s="425"/>
      <c r="B117" s="481"/>
      <c r="C117" s="481" t="s">
        <v>333</v>
      </c>
      <c r="D117" s="448"/>
      <c r="E117" s="533"/>
      <c r="F117" s="630"/>
      <c r="G117" s="630"/>
      <c r="H117" s="610"/>
      <c r="I117" s="631"/>
      <c r="J117" s="448"/>
      <c r="K117" s="533"/>
      <c r="L117" s="630"/>
      <c r="M117" s="630"/>
      <c r="N117" s="610"/>
      <c r="O117" s="631"/>
      <c r="P117" s="482"/>
      <c r="Q117" s="725"/>
      <c r="R117" s="481"/>
      <c r="S117" s="481"/>
      <c r="T117" s="686"/>
      <c r="U117" s="481"/>
      <c r="V117" s="425"/>
      <c r="W117" s="425"/>
      <c r="X117" s="425"/>
      <c r="Y117" s="425"/>
      <c r="Z117" s="425"/>
      <c r="AA117" s="425"/>
      <c r="AB117" s="425"/>
      <c r="AC117" s="425"/>
    </row>
    <row r="118" ht="15.75" customHeight="1">
      <c r="A118" s="425"/>
      <c r="B118" s="450"/>
      <c r="C118" s="450" t="s">
        <v>256</v>
      </c>
      <c r="D118" s="452"/>
      <c r="E118" s="538"/>
      <c r="F118" s="242"/>
      <c r="G118" s="242"/>
      <c r="H118" s="612"/>
      <c r="I118" s="633"/>
      <c r="J118" s="452"/>
      <c r="K118" s="538"/>
      <c r="L118" s="242"/>
      <c r="M118" s="242"/>
      <c r="N118" s="612"/>
      <c r="O118" s="633"/>
      <c r="P118" s="459"/>
      <c r="Q118" s="716"/>
      <c r="R118" s="450"/>
      <c r="S118" s="450"/>
      <c r="T118" s="685"/>
      <c r="U118" s="450"/>
      <c r="V118" s="425"/>
      <c r="W118" s="425"/>
      <c r="X118" s="425"/>
      <c r="Y118" s="425"/>
      <c r="Z118" s="425"/>
      <c r="AA118" s="425"/>
      <c r="AB118" s="425"/>
      <c r="AC118" s="425"/>
    </row>
    <row r="119" ht="15.75" customHeight="1">
      <c r="A119" s="425"/>
      <c r="B119" s="450"/>
      <c r="C119" s="450"/>
      <c r="D119" s="662"/>
      <c r="E119" s="521"/>
      <c r="F119" s="242"/>
      <c r="G119" s="242"/>
      <c r="H119" s="242"/>
      <c r="I119" s="633"/>
      <c r="J119" s="662"/>
      <c r="K119" s="521"/>
      <c r="L119" s="242"/>
      <c r="M119" s="242"/>
      <c r="N119" s="242"/>
      <c r="O119" s="633"/>
      <c r="P119" s="685"/>
      <c r="Q119" s="454"/>
      <c r="R119" s="450"/>
      <c r="S119" s="450"/>
      <c r="T119" s="450"/>
      <c r="U119" s="450"/>
      <c r="V119" s="425"/>
      <c r="W119" s="425"/>
      <c r="X119" s="425"/>
      <c r="Y119" s="425"/>
      <c r="Z119" s="425"/>
      <c r="AA119" s="425"/>
      <c r="AB119" s="425"/>
      <c r="AC119" s="425"/>
    </row>
    <row r="120" ht="15.75" customHeight="1">
      <c r="A120" s="425"/>
      <c r="B120" s="468"/>
      <c r="C120" s="468"/>
      <c r="D120" s="663"/>
      <c r="E120" s="526"/>
      <c r="F120" s="636"/>
      <c r="G120" s="636"/>
      <c r="H120" s="636"/>
      <c r="I120" s="638"/>
      <c r="J120" s="663"/>
      <c r="K120" s="526"/>
      <c r="L120" s="636"/>
      <c r="M120" s="636"/>
      <c r="N120" s="636"/>
      <c r="O120" s="638"/>
      <c r="P120" s="687"/>
      <c r="Q120" s="525"/>
      <c r="R120" s="468"/>
      <c r="S120" s="468"/>
      <c r="T120" s="468"/>
      <c r="U120" s="468"/>
      <c r="V120" s="425"/>
      <c r="W120" s="425"/>
      <c r="X120" s="425"/>
      <c r="Y120" s="425"/>
      <c r="Z120" s="425"/>
      <c r="AA120" s="425"/>
      <c r="AB120" s="425"/>
      <c r="AC120" s="425"/>
    </row>
    <row r="121" ht="15.75" customHeight="1">
      <c r="A121" s="425"/>
      <c r="B121" s="474"/>
      <c r="C121" s="474" t="s">
        <v>257</v>
      </c>
      <c r="D121" s="692">
        <f>D116+D112+D97+D93+D90+D80+D74+D65+D57+D55</f>
        <v>122825.39</v>
      </c>
      <c r="E121" s="529">
        <f>IFERROR((D121/D$27),"")</f>
        <v>0.9848968265</v>
      </c>
      <c r="F121" s="609">
        <f>F116+F112+F97+F93+F90+F80+F74+F65+F57</f>
        <v>0</v>
      </c>
      <c r="G121" s="1043" t="str">
        <f>IFERROR((F121/F$27),"")</f>
        <v/>
      </c>
      <c r="H121" s="609"/>
      <c r="I121" s="650"/>
      <c r="J121" s="692">
        <f>J116+J112+J97+J93+J90+J80+J74+J65+J57+J55</f>
        <v>43675.92</v>
      </c>
      <c r="K121" s="529">
        <f>IFERROR((J121/J$27),"")</f>
        <v>0.4225243545</v>
      </c>
      <c r="L121" s="609">
        <f>L116+L112+L97+L93+L90+L80+L74+L65+L57</f>
        <v>0</v>
      </c>
      <c r="M121" s="1043" t="str">
        <f>IFERROR((L121/L$27),"")</f>
        <v/>
      </c>
      <c r="N121" s="609"/>
      <c r="O121" s="650"/>
      <c r="P121" s="627">
        <f>P116+P112+P97+P93+P90+P80+P74+P65+P57+P55</f>
        <v>0</v>
      </c>
      <c r="Q121" s="581" t="str">
        <f>IFERROR((P121/P$27),"")</f>
        <v/>
      </c>
      <c r="R121" s="627">
        <f>R116+R112+R97+R93+R90+R80+R74+R65+R57</f>
        <v>0</v>
      </c>
      <c r="S121" s="1044" t="str">
        <f>IFERROR((R121/R$27),"")</f>
        <v/>
      </c>
      <c r="T121" s="627"/>
      <c r="U121" s="474"/>
      <c r="V121" s="425"/>
      <c r="W121" s="425"/>
      <c r="X121" s="425"/>
      <c r="Y121" s="425"/>
      <c r="Z121" s="425"/>
      <c r="AA121" s="425"/>
      <c r="AB121" s="425"/>
      <c r="AC121" s="425"/>
    </row>
    <row r="122" ht="15.75" customHeight="1">
      <c r="A122" s="425"/>
      <c r="B122" s="508"/>
      <c r="C122" s="508"/>
      <c r="D122" s="439"/>
      <c r="E122" s="586"/>
      <c r="F122" s="646"/>
      <c r="G122" s="646"/>
      <c r="H122" s="646"/>
      <c r="I122" s="647"/>
      <c r="J122" s="439"/>
      <c r="K122" s="586"/>
      <c r="L122" s="646"/>
      <c r="M122" s="646"/>
      <c r="N122" s="646"/>
      <c r="O122" s="647"/>
      <c r="P122" s="696"/>
      <c r="Q122" s="741"/>
      <c r="R122" s="508"/>
      <c r="S122" s="508"/>
      <c r="T122" s="508"/>
      <c r="U122" s="508"/>
      <c r="V122" s="425"/>
      <c r="W122" s="425"/>
      <c r="X122" s="425"/>
      <c r="Y122" s="425"/>
      <c r="Z122" s="425"/>
      <c r="AA122" s="425"/>
      <c r="AB122" s="425"/>
      <c r="AC122" s="425"/>
    </row>
    <row r="123" ht="15.75" customHeight="1">
      <c r="A123" s="425"/>
      <c r="B123" s="474"/>
      <c r="C123" s="474" t="s">
        <v>258</v>
      </c>
      <c r="D123" s="692">
        <f>D47-D121</f>
        <v>-163764.1185</v>
      </c>
      <c r="E123" s="529">
        <f>IFERROR((D123/D$27),"")</f>
        <v>-1.313171166</v>
      </c>
      <c r="F123" s="609" t="str">
        <f>#REF!-F121</f>
        <v>#REF!</v>
      </c>
      <c r="G123" s="1043" t="str">
        <f>IFERROR((F123/F$27),"")</f>
        <v/>
      </c>
      <c r="H123" s="609" t="str">
        <f>#REF!-H121</f>
        <v>#REF!</v>
      </c>
      <c r="I123" s="650"/>
      <c r="J123" s="692">
        <f>J47-J121</f>
        <v>-123284.3069</v>
      </c>
      <c r="K123" s="529">
        <f>IFERROR((J123/J$27),"")</f>
        <v>-1.192662276</v>
      </c>
      <c r="L123" s="609" t="str">
        <f>#REF!-L121</f>
        <v>#REF!</v>
      </c>
      <c r="M123" s="1043" t="str">
        <f>IFERROR((L123/L$27),"")</f>
        <v/>
      </c>
      <c r="N123" s="609" t="str">
        <f>#REF!-N121</f>
        <v>#REF!</v>
      </c>
      <c r="O123" s="650"/>
      <c r="P123" s="627">
        <f>P47-P121</f>
        <v>0</v>
      </c>
      <c r="Q123" s="581" t="str">
        <f>IFERROR((P123/P$27),"")</f>
        <v/>
      </c>
      <c r="R123" s="627" t="str">
        <f>#REF!-R121</f>
        <v>#REF!</v>
      </c>
      <c r="S123" s="1044" t="str">
        <f>IFERROR((R123/R$27),"")</f>
        <v/>
      </c>
      <c r="T123" s="627" t="str">
        <f>#REF!-T121</f>
        <v>#REF!</v>
      </c>
      <c r="U123" s="474"/>
      <c r="V123" s="425"/>
      <c r="W123" s="425"/>
      <c r="X123" s="425"/>
      <c r="Y123" s="425"/>
      <c r="Z123" s="425"/>
      <c r="AA123" s="425"/>
      <c r="AB123" s="425"/>
      <c r="AC123" s="425"/>
    </row>
    <row r="124" ht="15.75" customHeight="1">
      <c r="A124" s="425"/>
      <c r="B124" s="425"/>
      <c r="C124" s="425"/>
      <c r="D124" s="425"/>
      <c r="E124" s="235"/>
      <c r="F124" s="425"/>
      <c r="G124" s="425"/>
      <c r="H124" s="425"/>
      <c r="I124" s="425"/>
      <c r="J124" s="425"/>
      <c r="K124" s="235"/>
      <c r="L124" s="425"/>
      <c r="M124" s="425"/>
      <c r="N124" s="425"/>
      <c r="O124" s="425"/>
      <c r="P124" s="425"/>
      <c r="Q124" s="235"/>
      <c r="R124" s="425"/>
      <c r="S124" s="425"/>
      <c r="T124" s="425"/>
      <c r="U124" s="425"/>
      <c r="V124" s="425"/>
      <c r="W124" s="425"/>
      <c r="X124" s="425"/>
      <c r="Y124" s="425"/>
      <c r="Z124" s="425"/>
      <c r="AA124" s="425"/>
      <c r="AB124" s="425"/>
      <c r="AC124" s="425"/>
    </row>
    <row r="125" ht="15.75" customHeight="1">
      <c r="A125" s="425"/>
      <c r="B125" s="425"/>
      <c r="C125" s="425"/>
      <c r="D125" s="425"/>
      <c r="E125" s="235"/>
      <c r="F125" s="425"/>
      <c r="G125" s="425"/>
      <c r="H125" s="425"/>
      <c r="I125" s="425"/>
      <c r="J125" s="425"/>
      <c r="K125" s="235"/>
      <c r="L125" s="425"/>
      <c r="M125" s="425"/>
      <c r="N125" s="425"/>
      <c r="O125" s="425"/>
      <c r="P125" s="425"/>
      <c r="Q125" s="235"/>
      <c r="R125" s="425"/>
      <c r="S125" s="425"/>
      <c r="T125" s="425"/>
      <c r="U125" s="425"/>
      <c r="V125" s="425"/>
      <c r="W125" s="425"/>
      <c r="X125" s="425"/>
      <c r="Y125" s="425"/>
      <c r="Z125" s="425"/>
      <c r="AA125" s="425"/>
      <c r="AB125" s="425"/>
      <c r="AC125" s="425"/>
    </row>
    <row r="126" ht="15.75" customHeight="1">
      <c r="A126" s="425"/>
      <c r="B126" s="425"/>
      <c r="C126" s="425"/>
      <c r="D126" s="425"/>
      <c r="E126" s="235"/>
      <c r="F126" s="425"/>
      <c r="G126" s="425"/>
      <c r="H126" s="425"/>
      <c r="I126" s="425"/>
      <c r="J126" s="425"/>
      <c r="K126" s="235"/>
      <c r="L126" s="425"/>
      <c r="M126" s="425"/>
      <c r="N126" s="425"/>
      <c r="O126" s="425"/>
      <c r="P126" s="425"/>
      <c r="Q126" s="235"/>
      <c r="R126" s="425"/>
      <c r="S126" s="425"/>
      <c r="T126" s="425"/>
      <c r="U126" s="425"/>
      <c r="V126" s="425"/>
      <c r="W126" s="425"/>
      <c r="X126" s="425"/>
      <c r="Y126" s="425"/>
      <c r="Z126" s="425"/>
      <c r="AA126" s="425"/>
      <c r="AB126" s="425"/>
      <c r="AC126" s="425"/>
    </row>
    <row r="127" ht="15.75" customHeight="1">
      <c r="A127" s="425"/>
      <c r="B127" s="425"/>
      <c r="C127" s="425"/>
      <c r="D127" s="425"/>
      <c r="E127" s="235"/>
      <c r="F127" s="425"/>
      <c r="G127" s="425"/>
      <c r="H127" s="425"/>
      <c r="I127" s="425"/>
      <c r="J127" s="425"/>
      <c r="K127" s="235"/>
      <c r="L127" s="425"/>
      <c r="M127" s="425"/>
      <c r="N127" s="425"/>
      <c r="O127" s="425"/>
      <c r="P127" s="425"/>
      <c r="Q127" s="235"/>
      <c r="R127" s="425"/>
      <c r="S127" s="425"/>
      <c r="T127" s="425"/>
      <c r="U127" s="425"/>
      <c r="V127" s="425"/>
      <c r="W127" s="425"/>
      <c r="X127" s="425"/>
      <c r="Y127" s="425"/>
      <c r="Z127" s="425"/>
      <c r="AA127" s="425"/>
      <c r="AB127" s="425"/>
      <c r="AC127" s="425"/>
    </row>
    <row r="128" ht="15.75" customHeight="1">
      <c r="A128" s="425"/>
      <c r="B128" s="425"/>
      <c r="C128" s="425"/>
      <c r="D128" s="427"/>
      <c r="E128" s="235"/>
      <c r="F128" s="425"/>
      <c r="G128" s="425"/>
      <c r="H128" s="425"/>
      <c r="I128" s="425"/>
      <c r="J128" s="427"/>
      <c r="K128" s="235"/>
      <c r="L128" s="425"/>
      <c r="M128" s="425"/>
      <c r="N128" s="425"/>
      <c r="O128" s="425"/>
      <c r="P128" s="427"/>
      <c r="Q128" s="235"/>
      <c r="R128" s="425"/>
      <c r="S128" s="425"/>
      <c r="T128" s="425"/>
      <c r="U128" s="425"/>
      <c r="V128" s="425"/>
      <c r="W128" s="425"/>
      <c r="X128" s="425"/>
      <c r="Y128" s="425"/>
      <c r="Z128" s="425"/>
      <c r="AA128" s="425"/>
      <c r="AB128" s="425"/>
      <c r="AC128" s="425"/>
    </row>
    <row r="129" ht="15.75" customHeight="1">
      <c r="A129" s="425"/>
      <c r="B129" s="425"/>
      <c r="C129" s="425"/>
      <c r="D129" s="425"/>
      <c r="E129" s="235"/>
      <c r="F129" s="425"/>
      <c r="G129" s="425"/>
      <c r="H129" s="425"/>
      <c r="I129" s="425"/>
      <c r="J129" s="425"/>
      <c r="K129" s="235"/>
      <c r="L129" s="425"/>
      <c r="M129" s="425"/>
      <c r="N129" s="425"/>
      <c r="O129" s="425"/>
      <c r="P129" s="425"/>
      <c r="Q129" s="235"/>
      <c r="R129" s="425"/>
      <c r="S129" s="425"/>
      <c r="T129" s="425"/>
      <c r="U129" s="425"/>
      <c r="V129" s="425"/>
      <c r="W129" s="425"/>
      <c r="X129" s="425"/>
      <c r="Y129" s="425"/>
      <c r="Z129" s="425"/>
      <c r="AA129" s="425"/>
      <c r="AB129" s="425"/>
      <c r="AC129" s="425"/>
    </row>
    <row r="130" ht="15.75" customHeight="1">
      <c r="A130" s="425"/>
      <c r="B130" s="425"/>
      <c r="C130" s="425"/>
      <c r="D130" s="425"/>
      <c r="E130" s="235"/>
      <c r="F130" s="425"/>
      <c r="G130" s="425"/>
      <c r="H130" s="425"/>
      <c r="I130" s="425"/>
      <c r="J130" s="425"/>
      <c r="K130" s="235"/>
      <c r="L130" s="425"/>
      <c r="M130" s="425"/>
      <c r="N130" s="425"/>
      <c r="O130" s="425"/>
      <c r="P130" s="425"/>
      <c r="Q130" s="235"/>
      <c r="R130" s="425"/>
      <c r="S130" s="425"/>
      <c r="T130" s="425"/>
      <c r="U130" s="425"/>
      <c r="V130" s="425"/>
      <c r="W130" s="425"/>
      <c r="X130" s="425"/>
      <c r="Y130" s="425"/>
      <c r="Z130" s="425"/>
      <c r="AA130" s="425"/>
      <c r="AB130" s="425"/>
      <c r="AC130" s="425"/>
    </row>
    <row r="131" ht="15.75" customHeight="1">
      <c r="A131" s="425"/>
      <c r="B131" s="425"/>
      <c r="C131" s="425"/>
      <c r="D131" s="425"/>
      <c r="E131" s="235"/>
      <c r="F131" s="425"/>
      <c r="G131" s="425"/>
      <c r="H131" s="425"/>
      <c r="I131" s="425"/>
      <c r="J131" s="425"/>
      <c r="K131" s="235"/>
      <c r="L131" s="425"/>
      <c r="M131" s="425"/>
      <c r="N131" s="425"/>
      <c r="O131" s="425"/>
      <c r="P131" s="425"/>
      <c r="Q131" s="235"/>
      <c r="R131" s="425"/>
      <c r="S131" s="425"/>
      <c r="T131" s="425"/>
      <c r="U131" s="425"/>
      <c r="V131" s="425"/>
      <c r="W131" s="425"/>
      <c r="X131" s="425"/>
      <c r="Y131" s="425"/>
      <c r="Z131" s="425"/>
      <c r="AA131" s="425"/>
      <c r="AB131" s="425"/>
      <c r="AC131" s="425"/>
    </row>
    <row r="132" ht="15.75" customHeight="1">
      <c r="A132" s="425"/>
      <c r="B132" s="425"/>
      <c r="C132" s="425"/>
      <c r="D132" s="425"/>
      <c r="E132" s="235"/>
      <c r="F132" s="425"/>
      <c r="G132" s="425"/>
      <c r="H132" s="425"/>
      <c r="I132" s="425"/>
      <c r="J132" s="425"/>
      <c r="K132" s="235"/>
      <c r="L132" s="425"/>
      <c r="M132" s="425"/>
      <c r="N132" s="425"/>
      <c r="O132" s="425"/>
      <c r="P132" s="425"/>
      <c r="Q132" s="235"/>
      <c r="R132" s="425"/>
      <c r="S132" s="425"/>
      <c r="T132" s="425"/>
      <c r="U132" s="425"/>
      <c r="V132" s="425"/>
      <c r="W132" s="425"/>
      <c r="X132" s="425"/>
      <c r="Y132" s="425"/>
      <c r="Z132" s="425"/>
      <c r="AA132" s="425"/>
      <c r="AB132" s="425"/>
      <c r="AC132" s="425"/>
    </row>
    <row r="133" ht="15.75" customHeight="1">
      <c r="A133" s="425"/>
      <c r="B133" s="425"/>
      <c r="C133" s="425"/>
      <c r="D133" s="425"/>
      <c r="E133" s="235"/>
      <c r="F133" s="425"/>
      <c r="G133" s="425"/>
      <c r="H133" s="425"/>
      <c r="I133" s="425"/>
      <c r="J133" s="425"/>
      <c r="K133" s="235"/>
      <c r="L133" s="425"/>
      <c r="M133" s="425"/>
      <c r="N133" s="425"/>
      <c r="O133" s="425"/>
      <c r="P133" s="425"/>
      <c r="Q133" s="235"/>
      <c r="R133" s="425"/>
      <c r="S133" s="425"/>
      <c r="T133" s="425"/>
      <c r="U133" s="425"/>
      <c r="V133" s="425"/>
      <c r="W133" s="425"/>
      <c r="X133" s="425"/>
      <c r="Y133" s="425"/>
      <c r="Z133" s="425"/>
      <c r="AA133" s="425"/>
      <c r="AB133" s="425"/>
      <c r="AC133" s="425"/>
    </row>
    <row r="134" ht="15.75" customHeight="1">
      <c r="A134" s="425"/>
      <c r="B134" s="425"/>
      <c r="C134" s="425"/>
      <c r="D134" s="425"/>
      <c r="E134" s="235"/>
      <c r="F134" s="425"/>
      <c r="G134" s="425"/>
      <c r="H134" s="425"/>
      <c r="I134" s="425"/>
      <c r="J134" s="425"/>
      <c r="K134" s="235"/>
      <c r="L134" s="425"/>
      <c r="M134" s="425"/>
      <c r="N134" s="425"/>
      <c r="O134" s="425"/>
      <c r="P134" s="425"/>
      <c r="Q134" s="235"/>
      <c r="R134" s="425"/>
      <c r="S134" s="425"/>
      <c r="T134" s="425"/>
      <c r="U134" s="425"/>
      <c r="V134" s="425"/>
      <c r="W134" s="425"/>
      <c r="X134" s="425"/>
      <c r="Y134" s="425"/>
      <c r="Z134" s="425"/>
      <c r="AA134" s="425"/>
      <c r="AB134" s="425"/>
      <c r="AC134" s="425"/>
    </row>
    <row r="135" ht="15.75" customHeight="1">
      <c r="A135" s="425"/>
      <c r="B135" s="425"/>
      <c r="C135" s="425"/>
      <c r="D135" s="425"/>
      <c r="E135" s="235"/>
      <c r="F135" s="425"/>
      <c r="G135" s="425"/>
      <c r="H135" s="425"/>
      <c r="I135" s="425"/>
      <c r="J135" s="425"/>
      <c r="K135" s="235"/>
      <c r="L135" s="425"/>
      <c r="M135" s="425"/>
      <c r="N135" s="425"/>
      <c r="O135" s="425"/>
      <c r="P135" s="425"/>
      <c r="Q135" s="235"/>
      <c r="R135" s="425"/>
      <c r="S135" s="425"/>
      <c r="T135" s="425"/>
      <c r="U135" s="425"/>
      <c r="V135" s="425"/>
      <c r="W135" s="425"/>
      <c r="X135" s="425"/>
      <c r="Y135" s="425"/>
      <c r="Z135" s="425"/>
      <c r="AA135" s="425"/>
      <c r="AB135" s="425"/>
      <c r="AC135" s="425"/>
    </row>
    <row r="136" ht="15.75" customHeight="1">
      <c r="A136" s="425"/>
      <c r="B136" s="425"/>
      <c r="C136" s="425"/>
      <c r="D136" s="425"/>
      <c r="E136" s="235"/>
      <c r="F136" s="425"/>
      <c r="G136" s="425"/>
      <c r="H136" s="425"/>
      <c r="I136" s="425"/>
      <c r="J136" s="425"/>
      <c r="K136" s="235"/>
      <c r="L136" s="425"/>
      <c r="M136" s="425"/>
      <c r="N136" s="425"/>
      <c r="O136" s="425"/>
      <c r="P136" s="425"/>
      <c r="Q136" s="235"/>
      <c r="R136" s="425"/>
      <c r="S136" s="425"/>
      <c r="T136" s="425"/>
      <c r="U136" s="425"/>
      <c r="V136" s="425"/>
      <c r="W136" s="425"/>
      <c r="X136" s="425"/>
      <c r="Y136" s="425"/>
      <c r="Z136" s="425"/>
      <c r="AA136" s="425"/>
      <c r="AB136" s="425"/>
      <c r="AC136" s="425"/>
    </row>
    <row r="137" ht="15.75" customHeight="1">
      <c r="A137" s="425"/>
      <c r="B137" s="425"/>
      <c r="C137" s="425"/>
      <c r="D137" s="425"/>
      <c r="E137" s="235"/>
      <c r="F137" s="425"/>
      <c r="G137" s="425"/>
      <c r="H137" s="425"/>
      <c r="I137" s="425"/>
      <c r="J137" s="425"/>
      <c r="K137" s="235"/>
      <c r="L137" s="425"/>
      <c r="M137" s="425"/>
      <c r="N137" s="425"/>
      <c r="O137" s="425"/>
      <c r="P137" s="425"/>
      <c r="Q137" s="235"/>
      <c r="R137" s="425"/>
      <c r="S137" s="425"/>
      <c r="T137" s="425"/>
      <c r="U137" s="425"/>
      <c r="V137" s="425"/>
      <c r="W137" s="425"/>
      <c r="X137" s="425"/>
      <c r="Y137" s="425"/>
      <c r="Z137" s="425"/>
      <c r="AA137" s="425"/>
      <c r="AB137" s="425"/>
      <c r="AC137" s="425"/>
    </row>
    <row r="138" ht="15.75" customHeight="1">
      <c r="A138" s="425"/>
      <c r="B138" s="425"/>
      <c r="C138" s="425"/>
      <c r="D138" s="425"/>
      <c r="E138" s="235"/>
      <c r="F138" s="425"/>
      <c r="G138" s="425"/>
      <c r="H138" s="425"/>
      <c r="I138" s="425"/>
      <c r="J138" s="425"/>
      <c r="K138" s="235"/>
      <c r="L138" s="425"/>
      <c r="M138" s="425"/>
      <c r="N138" s="425"/>
      <c r="O138" s="425"/>
      <c r="P138" s="425"/>
      <c r="Q138" s="235"/>
      <c r="R138" s="425"/>
      <c r="S138" s="425"/>
      <c r="T138" s="425"/>
      <c r="U138" s="425"/>
      <c r="V138" s="425"/>
      <c r="W138" s="425"/>
      <c r="X138" s="425"/>
      <c r="Y138" s="425"/>
      <c r="Z138" s="425"/>
      <c r="AA138" s="425"/>
      <c r="AB138" s="425"/>
      <c r="AC138" s="425"/>
    </row>
    <row r="139" ht="15.75" customHeight="1">
      <c r="A139" s="425"/>
      <c r="B139" s="425"/>
      <c r="C139" s="425"/>
      <c r="D139" s="425"/>
      <c r="E139" s="235"/>
      <c r="F139" s="425"/>
      <c r="G139" s="425"/>
      <c r="H139" s="425"/>
      <c r="I139" s="425"/>
      <c r="J139" s="425"/>
      <c r="K139" s="235"/>
      <c r="L139" s="425"/>
      <c r="M139" s="425"/>
      <c r="N139" s="425"/>
      <c r="O139" s="425"/>
      <c r="P139" s="425"/>
      <c r="Q139" s="235"/>
      <c r="R139" s="425"/>
      <c r="S139" s="425"/>
      <c r="T139" s="425"/>
      <c r="U139" s="425"/>
      <c r="V139" s="425"/>
      <c r="W139" s="425"/>
      <c r="X139" s="425"/>
      <c r="Y139" s="425"/>
      <c r="Z139" s="425"/>
      <c r="AA139" s="425"/>
      <c r="AB139" s="425"/>
      <c r="AC139" s="425"/>
    </row>
    <row r="140" ht="15.75" customHeight="1">
      <c r="A140" s="425"/>
      <c r="B140" s="425"/>
      <c r="C140" s="425"/>
      <c r="D140" s="425"/>
      <c r="E140" s="235"/>
      <c r="F140" s="425"/>
      <c r="G140" s="425"/>
      <c r="H140" s="425"/>
      <c r="I140" s="425"/>
      <c r="J140" s="425"/>
      <c r="K140" s="235"/>
      <c r="L140" s="425"/>
      <c r="M140" s="425"/>
      <c r="N140" s="425"/>
      <c r="O140" s="425"/>
      <c r="P140" s="425"/>
      <c r="Q140" s="235"/>
      <c r="R140" s="425"/>
      <c r="S140" s="425"/>
      <c r="T140" s="425"/>
      <c r="U140" s="425"/>
      <c r="V140" s="425"/>
      <c r="W140" s="425"/>
      <c r="X140" s="425"/>
      <c r="Y140" s="425"/>
      <c r="Z140" s="425"/>
      <c r="AA140" s="425"/>
      <c r="AB140" s="425"/>
      <c r="AC140" s="425"/>
    </row>
    <row r="141" ht="15.75" customHeight="1">
      <c r="A141" s="425"/>
      <c r="B141" s="425"/>
      <c r="C141" s="425"/>
      <c r="D141" s="425"/>
      <c r="E141" s="235"/>
      <c r="F141" s="425"/>
      <c r="G141" s="425"/>
      <c r="H141" s="425"/>
      <c r="I141" s="425"/>
      <c r="J141" s="425"/>
      <c r="K141" s="235"/>
      <c r="L141" s="425"/>
      <c r="M141" s="425"/>
      <c r="N141" s="425"/>
      <c r="O141" s="425"/>
      <c r="P141" s="425"/>
      <c r="Q141" s="235"/>
      <c r="R141" s="425"/>
      <c r="S141" s="425"/>
      <c r="T141" s="425"/>
      <c r="U141" s="425"/>
      <c r="V141" s="425"/>
      <c r="W141" s="425"/>
      <c r="X141" s="425"/>
      <c r="Y141" s="425"/>
      <c r="Z141" s="425"/>
      <c r="AA141" s="425"/>
      <c r="AB141" s="425"/>
      <c r="AC141" s="425"/>
    </row>
    <row r="142" ht="15.75" customHeight="1">
      <c r="A142" s="425"/>
      <c r="B142" s="425"/>
      <c r="C142" s="425"/>
      <c r="D142" s="425"/>
      <c r="E142" s="235"/>
      <c r="F142" s="425"/>
      <c r="G142" s="425"/>
      <c r="H142" s="425"/>
      <c r="I142" s="425"/>
      <c r="J142" s="425"/>
      <c r="K142" s="235"/>
      <c r="L142" s="425"/>
      <c r="M142" s="425"/>
      <c r="N142" s="425"/>
      <c r="O142" s="425"/>
      <c r="P142" s="425"/>
      <c r="Q142" s="235"/>
      <c r="R142" s="425"/>
      <c r="S142" s="425"/>
      <c r="T142" s="425"/>
      <c r="U142" s="425"/>
      <c r="V142" s="425"/>
      <c r="W142" s="425"/>
      <c r="X142" s="425"/>
      <c r="Y142" s="425"/>
      <c r="Z142" s="425"/>
      <c r="AA142" s="425"/>
      <c r="AB142" s="425"/>
      <c r="AC142" s="425"/>
    </row>
    <row r="143" ht="15.75" customHeight="1">
      <c r="A143" s="425"/>
      <c r="B143" s="425"/>
      <c r="C143" s="425"/>
      <c r="D143" s="425"/>
      <c r="E143" s="235"/>
      <c r="F143" s="425"/>
      <c r="G143" s="425"/>
      <c r="H143" s="425"/>
      <c r="I143" s="425"/>
      <c r="J143" s="425"/>
      <c r="K143" s="235"/>
      <c r="L143" s="425"/>
      <c r="M143" s="425"/>
      <c r="N143" s="425"/>
      <c r="O143" s="425"/>
      <c r="P143" s="425"/>
      <c r="Q143" s="235"/>
      <c r="R143" s="425"/>
      <c r="S143" s="425"/>
      <c r="T143" s="425"/>
      <c r="U143" s="425"/>
      <c r="V143" s="425"/>
      <c r="W143" s="425"/>
      <c r="X143" s="425"/>
      <c r="Y143" s="425"/>
      <c r="Z143" s="425"/>
      <c r="AA143" s="425"/>
      <c r="AB143" s="425"/>
      <c r="AC143" s="425"/>
    </row>
    <row r="144" ht="15.75" customHeight="1">
      <c r="A144" s="425"/>
      <c r="B144" s="425"/>
      <c r="C144" s="425"/>
      <c r="D144" s="425"/>
      <c r="E144" s="235"/>
      <c r="F144" s="425"/>
      <c r="G144" s="425"/>
      <c r="H144" s="425"/>
      <c r="I144" s="425"/>
      <c r="J144" s="425"/>
      <c r="K144" s="235"/>
      <c r="L144" s="425"/>
      <c r="M144" s="425"/>
      <c r="N144" s="425"/>
      <c r="O144" s="425"/>
      <c r="P144" s="425"/>
      <c r="Q144" s="235"/>
      <c r="R144" s="425"/>
      <c r="S144" s="425"/>
      <c r="T144" s="425"/>
      <c r="U144" s="425"/>
      <c r="V144" s="425"/>
      <c r="W144" s="425"/>
      <c r="X144" s="425"/>
      <c r="Y144" s="425"/>
      <c r="Z144" s="425"/>
      <c r="AA144" s="425"/>
      <c r="AB144" s="425"/>
      <c r="AC144" s="425"/>
    </row>
    <row r="145" ht="15.75" customHeight="1">
      <c r="A145" s="425"/>
      <c r="B145" s="425"/>
      <c r="C145" s="425"/>
      <c r="D145" s="425"/>
      <c r="E145" s="235"/>
      <c r="F145" s="425"/>
      <c r="G145" s="425"/>
      <c r="H145" s="425"/>
      <c r="I145" s="425"/>
      <c r="J145" s="425"/>
      <c r="K145" s="235"/>
      <c r="L145" s="425"/>
      <c r="M145" s="425"/>
      <c r="N145" s="425"/>
      <c r="O145" s="425"/>
      <c r="P145" s="425"/>
      <c r="Q145" s="235"/>
      <c r="R145" s="425"/>
      <c r="S145" s="425"/>
      <c r="T145" s="425"/>
      <c r="U145" s="425"/>
      <c r="V145" s="425"/>
      <c r="W145" s="425"/>
      <c r="X145" s="425"/>
      <c r="Y145" s="425"/>
      <c r="Z145" s="425"/>
      <c r="AA145" s="425"/>
      <c r="AB145" s="425"/>
      <c r="AC145" s="425"/>
    </row>
    <row r="146" ht="15.75" customHeight="1">
      <c r="A146" s="425"/>
      <c r="B146" s="425"/>
      <c r="C146" s="425"/>
      <c r="D146" s="425"/>
      <c r="E146" s="235"/>
      <c r="F146" s="425"/>
      <c r="G146" s="425"/>
      <c r="H146" s="425"/>
      <c r="I146" s="425"/>
      <c r="J146" s="425"/>
      <c r="K146" s="235"/>
      <c r="L146" s="425"/>
      <c r="M146" s="425"/>
      <c r="N146" s="425"/>
      <c r="O146" s="425"/>
      <c r="P146" s="425"/>
      <c r="Q146" s="235"/>
      <c r="R146" s="425"/>
      <c r="S146" s="425"/>
      <c r="T146" s="425"/>
      <c r="U146" s="425"/>
      <c r="V146" s="425"/>
      <c r="W146" s="425"/>
      <c r="X146" s="425"/>
      <c r="Y146" s="425"/>
      <c r="Z146" s="425"/>
      <c r="AA146" s="425"/>
      <c r="AB146" s="425"/>
      <c r="AC146" s="425"/>
    </row>
    <row r="147" ht="15.75" customHeight="1">
      <c r="A147" s="425"/>
      <c r="B147" s="425"/>
      <c r="C147" s="425"/>
      <c r="D147" s="425"/>
      <c r="E147" s="235"/>
      <c r="F147" s="425"/>
      <c r="G147" s="425"/>
      <c r="H147" s="425"/>
      <c r="I147" s="425"/>
      <c r="J147" s="425"/>
      <c r="K147" s="235"/>
      <c r="L147" s="425"/>
      <c r="M147" s="425"/>
      <c r="N147" s="425"/>
      <c r="O147" s="425"/>
      <c r="P147" s="425"/>
      <c r="Q147" s="235"/>
      <c r="R147" s="425"/>
      <c r="S147" s="425"/>
      <c r="T147" s="425"/>
      <c r="U147" s="425"/>
      <c r="V147" s="425"/>
      <c r="W147" s="425"/>
      <c r="X147" s="425"/>
      <c r="Y147" s="425"/>
      <c r="Z147" s="425"/>
      <c r="AA147" s="425"/>
      <c r="AB147" s="425"/>
      <c r="AC147" s="425"/>
    </row>
    <row r="148" ht="15.75" customHeight="1">
      <c r="A148" s="425"/>
      <c r="B148" s="425"/>
      <c r="C148" s="425"/>
      <c r="D148" s="425"/>
      <c r="E148" s="235"/>
      <c r="F148" s="425"/>
      <c r="G148" s="425"/>
      <c r="H148" s="425"/>
      <c r="I148" s="425"/>
      <c r="J148" s="425"/>
      <c r="K148" s="235"/>
      <c r="L148" s="425"/>
      <c r="M148" s="425"/>
      <c r="N148" s="425"/>
      <c r="O148" s="425"/>
      <c r="P148" s="425"/>
      <c r="Q148" s="235"/>
      <c r="R148" s="425"/>
      <c r="S148" s="425"/>
      <c r="T148" s="425"/>
      <c r="U148" s="425"/>
      <c r="V148" s="425"/>
      <c r="W148" s="425"/>
      <c r="X148" s="425"/>
      <c r="Y148" s="425"/>
      <c r="Z148" s="425"/>
      <c r="AA148" s="425"/>
      <c r="AB148" s="425"/>
      <c r="AC148" s="425"/>
    </row>
    <row r="149" ht="15.75" customHeight="1">
      <c r="A149" s="425"/>
      <c r="B149" s="425"/>
      <c r="C149" s="425"/>
      <c r="D149" s="425"/>
      <c r="E149" s="235"/>
      <c r="F149" s="425"/>
      <c r="G149" s="425"/>
      <c r="H149" s="425"/>
      <c r="I149" s="425"/>
      <c r="J149" s="425"/>
      <c r="K149" s="235"/>
      <c r="L149" s="425"/>
      <c r="M149" s="425"/>
      <c r="N149" s="425"/>
      <c r="O149" s="425"/>
      <c r="P149" s="425"/>
      <c r="Q149" s="235"/>
      <c r="R149" s="425"/>
      <c r="S149" s="425"/>
      <c r="T149" s="425"/>
      <c r="U149" s="425"/>
      <c r="V149" s="425"/>
      <c r="W149" s="425"/>
      <c r="X149" s="425"/>
      <c r="Y149" s="425"/>
      <c r="Z149" s="425"/>
      <c r="AA149" s="425"/>
      <c r="AB149" s="425"/>
      <c r="AC149" s="425"/>
    </row>
    <row r="150" ht="15.75" customHeight="1">
      <c r="A150" s="425"/>
      <c r="B150" s="425"/>
      <c r="C150" s="425"/>
      <c r="D150" s="425"/>
      <c r="E150" s="235"/>
      <c r="F150" s="425"/>
      <c r="G150" s="425"/>
      <c r="H150" s="425"/>
      <c r="I150" s="425"/>
      <c r="J150" s="425"/>
      <c r="K150" s="235"/>
      <c r="L150" s="425"/>
      <c r="M150" s="425"/>
      <c r="N150" s="425"/>
      <c r="O150" s="425"/>
      <c r="P150" s="425"/>
      <c r="Q150" s="235"/>
      <c r="R150" s="425"/>
      <c r="S150" s="425"/>
      <c r="T150" s="425"/>
      <c r="U150" s="425"/>
      <c r="V150" s="425"/>
      <c r="W150" s="425"/>
      <c r="X150" s="425"/>
      <c r="Y150" s="425"/>
      <c r="Z150" s="425"/>
      <c r="AA150" s="425"/>
      <c r="AB150" s="425"/>
      <c r="AC150" s="425"/>
    </row>
    <row r="151" ht="15.75" customHeight="1">
      <c r="A151" s="425"/>
      <c r="B151" s="425"/>
      <c r="C151" s="425"/>
      <c r="D151" s="425"/>
      <c r="E151" s="235"/>
      <c r="F151" s="425"/>
      <c r="G151" s="425"/>
      <c r="H151" s="425"/>
      <c r="I151" s="425"/>
      <c r="J151" s="425"/>
      <c r="K151" s="235"/>
      <c r="L151" s="425"/>
      <c r="M151" s="425"/>
      <c r="N151" s="425"/>
      <c r="O151" s="425"/>
      <c r="P151" s="425"/>
      <c r="Q151" s="235"/>
      <c r="R151" s="425"/>
      <c r="S151" s="425"/>
      <c r="T151" s="425"/>
      <c r="U151" s="425"/>
      <c r="V151" s="425"/>
      <c r="W151" s="425"/>
      <c r="X151" s="425"/>
      <c r="Y151" s="425"/>
      <c r="Z151" s="425"/>
      <c r="AA151" s="425"/>
      <c r="AB151" s="425"/>
      <c r="AC151" s="425"/>
    </row>
    <row r="152" ht="15.75" customHeight="1">
      <c r="A152" s="425"/>
      <c r="B152" s="425"/>
      <c r="C152" s="425"/>
      <c r="D152" s="425"/>
      <c r="E152" s="235"/>
      <c r="F152" s="425"/>
      <c r="G152" s="425"/>
      <c r="H152" s="425"/>
      <c r="I152" s="425"/>
      <c r="J152" s="425"/>
      <c r="K152" s="235"/>
      <c r="L152" s="425"/>
      <c r="M152" s="425"/>
      <c r="N152" s="425"/>
      <c r="O152" s="425"/>
      <c r="P152" s="425"/>
      <c r="Q152" s="235"/>
      <c r="R152" s="425"/>
      <c r="S152" s="425"/>
      <c r="T152" s="425"/>
      <c r="U152" s="425"/>
      <c r="V152" s="425"/>
      <c r="W152" s="425"/>
      <c r="X152" s="425"/>
      <c r="Y152" s="425"/>
      <c r="Z152" s="425"/>
      <c r="AA152" s="425"/>
      <c r="AB152" s="425"/>
      <c r="AC152" s="425"/>
    </row>
    <row r="153" ht="15.75" customHeight="1">
      <c r="A153" s="425"/>
      <c r="B153" s="425"/>
      <c r="C153" s="425"/>
      <c r="D153" s="425"/>
      <c r="E153" s="235"/>
      <c r="F153" s="425"/>
      <c r="G153" s="425"/>
      <c r="H153" s="425"/>
      <c r="I153" s="425"/>
      <c r="J153" s="425"/>
      <c r="K153" s="235"/>
      <c r="L153" s="425"/>
      <c r="M153" s="425"/>
      <c r="N153" s="425"/>
      <c r="O153" s="425"/>
      <c r="P153" s="425"/>
      <c r="Q153" s="235"/>
      <c r="R153" s="425"/>
      <c r="S153" s="425"/>
      <c r="T153" s="425"/>
      <c r="U153" s="425"/>
      <c r="V153" s="425"/>
      <c r="W153" s="425"/>
      <c r="X153" s="425"/>
      <c r="Y153" s="425"/>
      <c r="Z153" s="425"/>
      <c r="AA153" s="425"/>
      <c r="AB153" s="425"/>
      <c r="AC153" s="425"/>
    </row>
    <row r="154" ht="15.75" customHeight="1">
      <c r="A154" s="425"/>
      <c r="B154" s="425"/>
      <c r="C154" s="425"/>
      <c r="D154" s="425"/>
      <c r="E154" s="235"/>
      <c r="F154" s="425"/>
      <c r="G154" s="425"/>
      <c r="H154" s="425"/>
      <c r="I154" s="425"/>
      <c r="J154" s="425"/>
      <c r="K154" s="235"/>
      <c r="L154" s="425"/>
      <c r="M154" s="425"/>
      <c r="N154" s="425"/>
      <c r="O154" s="425"/>
      <c r="P154" s="425"/>
      <c r="Q154" s="235"/>
      <c r="R154" s="425"/>
      <c r="S154" s="425"/>
      <c r="T154" s="425"/>
      <c r="U154" s="425"/>
      <c r="V154" s="425"/>
      <c r="W154" s="425"/>
      <c r="X154" s="425"/>
      <c r="Y154" s="425"/>
      <c r="Z154" s="425"/>
      <c r="AA154" s="425"/>
      <c r="AB154" s="425"/>
      <c r="AC154" s="425"/>
    </row>
    <row r="155" ht="15.75" customHeight="1">
      <c r="A155" s="425"/>
      <c r="B155" s="425"/>
      <c r="C155" s="425"/>
      <c r="D155" s="425"/>
      <c r="E155" s="235"/>
      <c r="F155" s="425"/>
      <c r="G155" s="425"/>
      <c r="H155" s="425"/>
      <c r="I155" s="425"/>
      <c r="J155" s="425"/>
      <c r="K155" s="235"/>
      <c r="L155" s="425"/>
      <c r="M155" s="425"/>
      <c r="N155" s="425"/>
      <c r="O155" s="425"/>
      <c r="P155" s="425"/>
      <c r="Q155" s="235"/>
      <c r="R155" s="425"/>
      <c r="S155" s="425"/>
      <c r="T155" s="425"/>
      <c r="U155" s="425"/>
      <c r="V155" s="425"/>
      <c r="W155" s="425"/>
      <c r="X155" s="425"/>
      <c r="Y155" s="425"/>
      <c r="Z155" s="425"/>
      <c r="AA155" s="425"/>
      <c r="AB155" s="425"/>
      <c r="AC155" s="425"/>
    </row>
    <row r="156" ht="15.75" customHeight="1">
      <c r="A156" s="425"/>
      <c r="B156" s="425"/>
      <c r="C156" s="425"/>
      <c r="D156" s="425"/>
      <c r="E156" s="235"/>
      <c r="F156" s="425"/>
      <c r="G156" s="425"/>
      <c r="H156" s="425"/>
      <c r="I156" s="425"/>
      <c r="J156" s="425"/>
      <c r="K156" s="235"/>
      <c r="L156" s="425"/>
      <c r="M156" s="425"/>
      <c r="N156" s="425"/>
      <c r="O156" s="425"/>
      <c r="P156" s="425"/>
      <c r="Q156" s="235"/>
      <c r="R156" s="425"/>
      <c r="S156" s="425"/>
      <c r="T156" s="425"/>
      <c r="U156" s="425"/>
      <c r="V156" s="425"/>
      <c r="W156" s="425"/>
      <c r="X156" s="425"/>
      <c r="Y156" s="425"/>
      <c r="Z156" s="425"/>
      <c r="AA156" s="425"/>
      <c r="AB156" s="425"/>
      <c r="AC156" s="425"/>
    </row>
    <row r="157" ht="15.75" customHeight="1">
      <c r="A157" s="425"/>
      <c r="B157" s="425"/>
      <c r="C157" s="425"/>
      <c r="D157" s="425"/>
      <c r="E157" s="235"/>
      <c r="F157" s="425"/>
      <c r="G157" s="425"/>
      <c r="H157" s="425"/>
      <c r="I157" s="425"/>
      <c r="J157" s="425"/>
      <c r="K157" s="235"/>
      <c r="L157" s="425"/>
      <c r="M157" s="425"/>
      <c r="N157" s="425"/>
      <c r="O157" s="425"/>
      <c r="P157" s="425"/>
      <c r="Q157" s="235"/>
      <c r="R157" s="425"/>
      <c r="S157" s="425"/>
      <c r="T157" s="425"/>
      <c r="U157" s="425"/>
      <c r="V157" s="425"/>
      <c r="W157" s="425"/>
      <c r="X157" s="425"/>
      <c r="Y157" s="425"/>
      <c r="Z157" s="425"/>
      <c r="AA157" s="425"/>
      <c r="AB157" s="425"/>
      <c r="AC157" s="425"/>
    </row>
    <row r="158" ht="15.75" customHeight="1">
      <c r="A158" s="425"/>
      <c r="B158" s="425"/>
      <c r="C158" s="425"/>
      <c r="D158" s="425"/>
      <c r="E158" s="235"/>
      <c r="F158" s="425"/>
      <c r="G158" s="425"/>
      <c r="H158" s="425"/>
      <c r="I158" s="425"/>
      <c r="J158" s="425"/>
      <c r="K158" s="235"/>
      <c r="L158" s="425"/>
      <c r="M158" s="425"/>
      <c r="N158" s="425"/>
      <c r="O158" s="425"/>
      <c r="P158" s="425"/>
      <c r="Q158" s="235"/>
      <c r="R158" s="425"/>
      <c r="S158" s="425"/>
      <c r="T158" s="425"/>
      <c r="U158" s="425"/>
      <c r="V158" s="425"/>
      <c r="W158" s="425"/>
      <c r="X158" s="425"/>
      <c r="Y158" s="425"/>
      <c r="Z158" s="425"/>
      <c r="AA158" s="425"/>
      <c r="AB158" s="425"/>
      <c r="AC158" s="425"/>
    </row>
    <row r="159" ht="15.75" customHeight="1">
      <c r="A159" s="425"/>
      <c r="B159" s="425"/>
      <c r="C159" s="425"/>
      <c r="D159" s="425"/>
      <c r="E159" s="235"/>
      <c r="F159" s="425"/>
      <c r="G159" s="425"/>
      <c r="H159" s="425"/>
      <c r="I159" s="425"/>
      <c r="J159" s="425"/>
      <c r="K159" s="235"/>
      <c r="L159" s="425"/>
      <c r="M159" s="425"/>
      <c r="N159" s="425"/>
      <c r="O159" s="425"/>
      <c r="P159" s="425"/>
      <c r="Q159" s="235"/>
      <c r="R159" s="425"/>
      <c r="S159" s="425"/>
      <c r="T159" s="425"/>
      <c r="U159" s="425"/>
      <c r="V159" s="425"/>
      <c r="W159" s="425"/>
      <c r="X159" s="425"/>
      <c r="Y159" s="425"/>
      <c r="Z159" s="425"/>
      <c r="AA159" s="425"/>
      <c r="AB159" s="425"/>
      <c r="AC159" s="425"/>
    </row>
    <row r="160" ht="15.75" customHeight="1">
      <c r="A160" s="425"/>
      <c r="B160" s="425"/>
      <c r="C160" s="425"/>
      <c r="D160" s="425"/>
      <c r="E160" s="235"/>
      <c r="F160" s="425"/>
      <c r="G160" s="425"/>
      <c r="H160" s="425"/>
      <c r="I160" s="425"/>
      <c r="J160" s="425"/>
      <c r="K160" s="235"/>
      <c r="L160" s="425"/>
      <c r="M160" s="425"/>
      <c r="N160" s="425"/>
      <c r="O160" s="425"/>
      <c r="P160" s="425"/>
      <c r="Q160" s="235"/>
      <c r="R160" s="425"/>
      <c r="S160" s="425"/>
      <c r="T160" s="425"/>
      <c r="U160" s="425"/>
      <c r="V160" s="425"/>
      <c r="W160" s="425"/>
      <c r="X160" s="425"/>
      <c r="Y160" s="425"/>
      <c r="Z160" s="425"/>
      <c r="AA160" s="425"/>
      <c r="AB160" s="425"/>
      <c r="AC160" s="425"/>
    </row>
    <row r="161" ht="15.75" customHeight="1">
      <c r="A161" s="425"/>
      <c r="B161" s="425"/>
      <c r="C161" s="425"/>
      <c r="D161" s="425"/>
      <c r="E161" s="235"/>
      <c r="F161" s="425"/>
      <c r="G161" s="425"/>
      <c r="H161" s="425"/>
      <c r="I161" s="425"/>
      <c r="J161" s="425"/>
      <c r="K161" s="235"/>
      <c r="L161" s="425"/>
      <c r="M161" s="425"/>
      <c r="N161" s="425"/>
      <c r="O161" s="425"/>
      <c r="P161" s="425"/>
      <c r="Q161" s="235"/>
      <c r="R161" s="425"/>
      <c r="S161" s="425"/>
      <c r="T161" s="425"/>
      <c r="U161" s="425"/>
      <c r="V161" s="425"/>
      <c r="W161" s="425"/>
      <c r="X161" s="425"/>
      <c r="Y161" s="425"/>
      <c r="Z161" s="425"/>
      <c r="AA161" s="425"/>
      <c r="AB161" s="425"/>
      <c r="AC161" s="425"/>
    </row>
    <row r="162" ht="15.75" customHeight="1">
      <c r="A162" s="425"/>
      <c r="B162" s="425"/>
      <c r="C162" s="425"/>
      <c r="D162" s="425"/>
      <c r="E162" s="235"/>
      <c r="F162" s="425"/>
      <c r="G162" s="425"/>
      <c r="H162" s="425"/>
      <c r="I162" s="425"/>
      <c r="J162" s="425"/>
      <c r="K162" s="235"/>
      <c r="L162" s="425"/>
      <c r="M162" s="425"/>
      <c r="N162" s="425"/>
      <c r="O162" s="425"/>
      <c r="P162" s="425"/>
      <c r="Q162" s="235"/>
      <c r="R162" s="425"/>
      <c r="S162" s="425"/>
      <c r="T162" s="425"/>
      <c r="U162" s="425"/>
      <c r="V162" s="425"/>
      <c r="W162" s="425"/>
      <c r="X162" s="425"/>
      <c r="Y162" s="425"/>
      <c r="Z162" s="425"/>
      <c r="AA162" s="425"/>
      <c r="AB162" s="425"/>
      <c r="AC162" s="425"/>
    </row>
    <row r="163" ht="15.75" customHeight="1">
      <c r="A163" s="425"/>
      <c r="B163" s="425"/>
      <c r="C163" s="425"/>
      <c r="D163" s="425"/>
      <c r="E163" s="235"/>
      <c r="F163" s="425"/>
      <c r="G163" s="425"/>
      <c r="H163" s="425"/>
      <c r="I163" s="425"/>
      <c r="J163" s="425"/>
      <c r="K163" s="235"/>
      <c r="L163" s="425"/>
      <c r="M163" s="425"/>
      <c r="N163" s="425"/>
      <c r="O163" s="425"/>
      <c r="P163" s="425"/>
      <c r="Q163" s="235"/>
      <c r="R163" s="425"/>
      <c r="S163" s="425"/>
      <c r="T163" s="425"/>
      <c r="U163" s="425"/>
      <c r="V163" s="425"/>
      <c r="W163" s="425"/>
      <c r="X163" s="425"/>
      <c r="Y163" s="425"/>
      <c r="Z163" s="425"/>
      <c r="AA163" s="425"/>
      <c r="AB163" s="425"/>
      <c r="AC163" s="425"/>
    </row>
    <row r="164" ht="15.75" customHeight="1">
      <c r="A164" s="425"/>
      <c r="B164" s="425"/>
      <c r="C164" s="425"/>
      <c r="D164" s="425"/>
      <c r="E164" s="235"/>
      <c r="F164" s="425"/>
      <c r="G164" s="425"/>
      <c r="H164" s="425"/>
      <c r="I164" s="425"/>
      <c r="J164" s="425"/>
      <c r="K164" s="235"/>
      <c r="L164" s="425"/>
      <c r="M164" s="425"/>
      <c r="N164" s="425"/>
      <c r="O164" s="425"/>
      <c r="P164" s="425"/>
      <c r="Q164" s="235"/>
      <c r="R164" s="425"/>
      <c r="S164" s="425"/>
      <c r="T164" s="425"/>
      <c r="U164" s="425"/>
      <c r="V164" s="425"/>
      <c r="W164" s="425"/>
      <c r="X164" s="425"/>
      <c r="Y164" s="425"/>
      <c r="Z164" s="425"/>
      <c r="AA164" s="425"/>
      <c r="AB164" s="425"/>
      <c r="AC164" s="425"/>
    </row>
    <row r="165" ht="15.75" customHeight="1">
      <c r="A165" s="425"/>
      <c r="B165" s="425"/>
      <c r="C165" s="425"/>
      <c r="D165" s="425"/>
      <c r="E165" s="235"/>
      <c r="F165" s="425"/>
      <c r="G165" s="425"/>
      <c r="H165" s="425"/>
      <c r="I165" s="425"/>
      <c r="J165" s="425"/>
      <c r="K165" s="235"/>
      <c r="L165" s="425"/>
      <c r="M165" s="425"/>
      <c r="N165" s="425"/>
      <c r="O165" s="425"/>
      <c r="P165" s="425"/>
      <c r="Q165" s="235"/>
      <c r="R165" s="425"/>
      <c r="S165" s="425"/>
      <c r="T165" s="425"/>
      <c r="U165" s="425"/>
      <c r="V165" s="425"/>
      <c r="W165" s="425"/>
      <c r="X165" s="425"/>
      <c r="Y165" s="425"/>
      <c r="Z165" s="425"/>
      <c r="AA165" s="425"/>
      <c r="AB165" s="425"/>
      <c r="AC165" s="425"/>
    </row>
    <row r="166" ht="15.75" customHeight="1">
      <c r="A166" s="425"/>
      <c r="B166" s="425"/>
      <c r="C166" s="425"/>
      <c r="D166" s="425"/>
      <c r="E166" s="235"/>
      <c r="F166" s="425"/>
      <c r="G166" s="425"/>
      <c r="H166" s="425"/>
      <c r="I166" s="425"/>
      <c r="J166" s="425"/>
      <c r="K166" s="235"/>
      <c r="L166" s="425"/>
      <c r="M166" s="425"/>
      <c r="N166" s="425"/>
      <c r="O166" s="425"/>
      <c r="P166" s="425"/>
      <c r="Q166" s="235"/>
      <c r="R166" s="425"/>
      <c r="S166" s="425"/>
      <c r="T166" s="425"/>
      <c r="U166" s="425"/>
      <c r="V166" s="425"/>
      <c r="W166" s="425"/>
      <c r="X166" s="425"/>
      <c r="Y166" s="425"/>
      <c r="Z166" s="425"/>
      <c r="AA166" s="425"/>
      <c r="AB166" s="425"/>
      <c r="AC166" s="425"/>
    </row>
    <row r="167" ht="15.75" customHeight="1">
      <c r="A167" s="425"/>
      <c r="B167" s="425"/>
      <c r="C167" s="425"/>
      <c r="D167" s="425"/>
      <c r="E167" s="235"/>
      <c r="F167" s="425"/>
      <c r="G167" s="425"/>
      <c r="H167" s="425"/>
      <c r="I167" s="425"/>
      <c r="J167" s="425"/>
      <c r="K167" s="235"/>
      <c r="L167" s="425"/>
      <c r="M167" s="425"/>
      <c r="N167" s="425"/>
      <c r="O167" s="425"/>
      <c r="P167" s="425"/>
      <c r="Q167" s="235"/>
      <c r="R167" s="425"/>
      <c r="S167" s="425"/>
      <c r="T167" s="425"/>
      <c r="U167" s="425"/>
      <c r="V167" s="425"/>
      <c r="W167" s="425"/>
      <c r="X167" s="425"/>
      <c r="Y167" s="425"/>
      <c r="Z167" s="425"/>
      <c r="AA167" s="425"/>
      <c r="AB167" s="425"/>
      <c r="AC167" s="425"/>
    </row>
    <row r="168" ht="15.75" customHeight="1">
      <c r="A168" s="425"/>
      <c r="B168" s="425"/>
      <c r="C168" s="425"/>
      <c r="D168" s="425"/>
      <c r="E168" s="235"/>
      <c r="F168" s="425"/>
      <c r="G168" s="425"/>
      <c r="H168" s="425"/>
      <c r="I168" s="425"/>
      <c r="J168" s="425"/>
      <c r="K168" s="235"/>
      <c r="L168" s="425"/>
      <c r="M168" s="425"/>
      <c r="N168" s="425"/>
      <c r="O168" s="425"/>
      <c r="P168" s="425"/>
      <c r="Q168" s="235"/>
      <c r="R168" s="425"/>
      <c r="S168" s="425"/>
      <c r="T168" s="425"/>
      <c r="U168" s="425"/>
      <c r="V168" s="425"/>
      <c r="W168" s="425"/>
      <c r="X168" s="425"/>
      <c r="Y168" s="425"/>
      <c r="Z168" s="425"/>
      <c r="AA168" s="425"/>
      <c r="AB168" s="425"/>
      <c r="AC168" s="425"/>
    </row>
    <row r="169" ht="15.75" customHeight="1">
      <c r="A169" s="425"/>
      <c r="B169" s="425"/>
      <c r="C169" s="425"/>
      <c r="D169" s="425"/>
      <c r="E169" s="235"/>
      <c r="F169" s="425"/>
      <c r="G169" s="425"/>
      <c r="H169" s="425"/>
      <c r="I169" s="425"/>
      <c r="J169" s="425"/>
      <c r="K169" s="235"/>
      <c r="L169" s="425"/>
      <c r="M169" s="425"/>
      <c r="N169" s="425"/>
      <c r="O169" s="425"/>
      <c r="P169" s="425"/>
      <c r="Q169" s="235"/>
      <c r="R169" s="425"/>
      <c r="S169" s="425"/>
      <c r="T169" s="425"/>
      <c r="U169" s="425"/>
      <c r="V169" s="425"/>
      <c r="W169" s="425"/>
      <c r="X169" s="425"/>
      <c r="Y169" s="425"/>
      <c r="Z169" s="425"/>
      <c r="AA169" s="425"/>
      <c r="AB169" s="425"/>
      <c r="AC169" s="425"/>
    </row>
    <row r="170" ht="15.75" customHeight="1">
      <c r="A170" s="425"/>
      <c r="B170" s="425"/>
      <c r="C170" s="425"/>
      <c r="D170" s="425"/>
      <c r="E170" s="235"/>
      <c r="F170" s="425"/>
      <c r="G170" s="425"/>
      <c r="H170" s="425"/>
      <c r="I170" s="425"/>
      <c r="J170" s="425"/>
      <c r="K170" s="235"/>
      <c r="L170" s="425"/>
      <c r="M170" s="425"/>
      <c r="N170" s="425"/>
      <c r="O170" s="425"/>
      <c r="P170" s="425"/>
      <c r="Q170" s="235"/>
      <c r="R170" s="425"/>
      <c r="S170" s="425"/>
      <c r="T170" s="425"/>
      <c r="U170" s="425"/>
      <c r="V170" s="425"/>
      <c r="W170" s="425"/>
      <c r="X170" s="425"/>
      <c r="Y170" s="425"/>
      <c r="Z170" s="425"/>
      <c r="AA170" s="425"/>
      <c r="AB170" s="425"/>
      <c r="AC170" s="425"/>
    </row>
    <row r="171" ht="15.75" customHeight="1">
      <c r="A171" s="425"/>
      <c r="B171" s="425"/>
      <c r="C171" s="425"/>
      <c r="D171" s="425"/>
      <c r="E171" s="235"/>
      <c r="F171" s="425"/>
      <c r="G171" s="425"/>
      <c r="H171" s="425"/>
      <c r="I171" s="425"/>
      <c r="J171" s="425"/>
      <c r="K171" s="235"/>
      <c r="L171" s="425"/>
      <c r="M171" s="425"/>
      <c r="N171" s="425"/>
      <c r="O171" s="425"/>
      <c r="P171" s="425"/>
      <c r="Q171" s="235"/>
      <c r="R171" s="425"/>
      <c r="S171" s="425"/>
      <c r="T171" s="425"/>
      <c r="U171" s="425"/>
      <c r="V171" s="425"/>
      <c r="W171" s="425"/>
      <c r="X171" s="425"/>
      <c r="Y171" s="425"/>
      <c r="Z171" s="425"/>
      <c r="AA171" s="425"/>
      <c r="AB171" s="425"/>
      <c r="AC171" s="425"/>
    </row>
    <row r="172" ht="15.75" customHeight="1">
      <c r="A172" s="425"/>
      <c r="B172" s="425"/>
      <c r="C172" s="425"/>
      <c r="D172" s="425"/>
      <c r="E172" s="235"/>
      <c r="F172" s="425"/>
      <c r="G172" s="425"/>
      <c r="H172" s="425"/>
      <c r="I172" s="425"/>
      <c r="J172" s="425"/>
      <c r="K172" s="235"/>
      <c r="L172" s="425"/>
      <c r="M172" s="425"/>
      <c r="N172" s="425"/>
      <c r="O172" s="425"/>
      <c r="P172" s="425"/>
      <c r="Q172" s="235"/>
      <c r="R172" s="425"/>
      <c r="S172" s="425"/>
      <c r="T172" s="425"/>
      <c r="U172" s="425"/>
      <c r="V172" s="425"/>
      <c r="W172" s="425"/>
      <c r="X172" s="425"/>
      <c r="Y172" s="425"/>
      <c r="Z172" s="425"/>
      <c r="AA172" s="425"/>
      <c r="AB172" s="425"/>
      <c r="AC172" s="425"/>
    </row>
    <row r="173" ht="15.75" customHeight="1">
      <c r="A173" s="425"/>
      <c r="B173" s="425"/>
      <c r="C173" s="425"/>
      <c r="D173" s="425"/>
      <c r="E173" s="235"/>
      <c r="F173" s="425"/>
      <c r="G173" s="425"/>
      <c r="H173" s="425"/>
      <c r="I173" s="425"/>
      <c r="J173" s="425"/>
      <c r="K173" s="235"/>
      <c r="L173" s="425"/>
      <c r="M173" s="425"/>
      <c r="N173" s="425"/>
      <c r="O173" s="425"/>
      <c r="P173" s="425"/>
      <c r="Q173" s="235"/>
      <c r="R173" s="425"/>
      <c r="S173" s="425"/>
      <c r="T173" s="425"/>
      <c r="U173" s="425"/>
      <c r="V173" s="425"/>
      <c r="W173" s="425"/>
      <c r="X173" s="425"/>
      <c r="Y173" s="425"/>
      <c r="Z173" s="425"/>
      <c r="AA173" s="425"/>
      <c r="AB173" s="425"/>
      <c r="AC173" s="425"/>
    </row>
    <row r="174" ht="15.75" customHeight="1">
      <c r="A174" s="425"/>
      <c r="B174" s="425"/>
      <c r="C174" s="425"/>
      <c r="D174" s="425"/>
      <c r="E174" s="235"/>
      <c r="F174" s="425"/>
      <c r="G174" s="425"/>
      <c r="H174" s="425"/>
      <c r="I174" s="425"/>
      <c r="J174" s="425"/>
      <c r="K174" s="235"/>
      <c r="L174" s="425"/>
      <c r="M174" s="425"/>
      <c r="N174" s="425"/>
      <c r="O174" s="425"/>
      <c r="P174" s="425"/>
      <c r="Q174" s="235"/>
      <c r="R174" s="425"/>
      <c r="S174" s="425"/>
      <c r="T174" s="425"/>
      <c r="U174" s="425"/>
      <c r="V174" s="425"/>
      <c r="W174" s="425"/>
      <c r="X174" s="425"/>
      <c r="Y174" s="425"/>
      <c r="Z174" s="425"/>
      <c r="AA174" s="425"/>
      <c r="AB174" s="425"/>
      <c r="AC174" s="425"/>
    </row>
    <row r="175" ht="15.75" customHeight="1">
      <c r="A175" s="425"/>
      <c r="B175" s="425"/>
      <c r="C175" s="425"/>
      <c r="D175" s="425"/>
      <c r="E175" s="235"/>
      <c r="F175" s="425"/>
      <c r="G175" s="425"/>
      <c r="H175" s="425"/>
      <c r="I175" s="425"/>
      <c r="J175" s="425"/>
      <c r="K175" s="235"/>
      <c r="L175" s="425"/>
      <c r="M175" s="425"/>
      <c r="N175" s="425"/>
      <c r="O175" s="425"/>
      <c r="P175" s="425"/>
      <c r="Q175" s="235"/>
      <c r="R175" s="425"/>
      <c r="S175" s="425"/>
      <c r="T175" s="425"/>
      <c r="U175" s="425"/>
      <c r="V175" s="425"/>
      <c r="W175" s="425"/>
      <c r="X175" s="425"/>
      <c r="Y175" s="425"/>
      <c r="Z175" s="425"/>
      <c r="AA175" s="425"/>
      <c r="AB175" s="425"/>
      <c r="AC175" s="425"/>
    </row>
    <row r="176" ht="15.75" customHeight="1">
      <c r="A176" s="425"/>
      <c r="B176" s="425"/>
      <c r="C176" s="425"/>
      <c r="D176" s="425"/>
      <c r="E176" s="235"/>
      <c r="F176" s="425"/>
      <c r="G176" s="425"/>
      <c r="H176" s="425"/>
      <c r="I176" s="425"/>
      <c r="J176" s="425"/>
      <c r="K176" s="235"/>
      <c r="L176" s="425"/>
      <c r="M176" s="425"/>
      <c r="N176" s="425"/>
      <c r="O176" s="425"/>
      <c r="P176" s="425"/>
      <c r="Q176" s="235"/>
      <c r="R176" s="425"/>
      <c r="S176" s="425"/>
      <c r="T176" s="425"/>
      <c r="U176" s="425"/>
      <c r="V176" s="425"/>
      <c r="W176" s="425"/>
      <c r="X176" s="425"/>
      <c r="Y176" s="425"/>
      <c r="Z176" s="425"/>
      <c r="AA176" s="425"/>
      <c r="AB176" s="425"/>
      <c r="AC176" s="425"/>
    </row>
    <row r="177" ht="15.75" customHeight="1">
      <c r="A177" s="425"/>
      <c r="B177" s="425"/>
      <c r="C177" s="425"/>
      <c r="D177" s="425"/>
      <c r="E177" s="235"/>
      <c r="F177" s="425"/>
      <c r="G177" s="425"/>
      <c r="H177" s="425"/>
      <c r="I177" s="425"/>
      <c r="J177" s="425"/>
      <c r="K177" s="235"/>
      <c r="L177" s="425"/>
      <c r="M177" s="425"/>
      <c r="N177" s="425"/>
      <c r="O177" s="425"/>
      <c r="P177" s="425"/>
      <c r="Q177" s="235"/>
      <c r="R177" s="425"/>
      <c r="S177" s="425"/>
      <c r="T177" s="425"/>
      <c r="U177" s="425"/>
      <c r="V177" s="425"/>
      <c r="W177" s="425"/>
      <c r="X177" s="425"/>
      <c r="Y177" s="425"/>
      <c r="Z177" s="425"/>
      <c r="AA177" s="425"/>
      <c r="AB177" s="425"/>
      <c r="AC177" s="425"/>
    </row>
    <row r="178" ht="15.75" customHeight="1">
      <c r="A178" s="425"/>
      <c r="B178" s="425"/>
      <c r="C178" s="425"/>
      <c r="D178" s="425"/>
      <c r="E178" s="235"/>
      <c r="F178" s="425"/>
      <c r="G178" s="425"/>
      <c r="H178" s="425"/>
      <c r="I178" s="425"/>
      <c r="J178" s="425"/>
      <c r="K178" s="235"/>
      <c r="L178" s="425"/>
      <c r="M178" s="425"/>
      <c r="N178" s="425"/>
      <c r="O178" s="425"/>
      <c r="P178" s="425"/>
      <c r="Q178" s="235"/>
      <c r="R178" s="425"/>
      <c r="S178" s="425"/>
      <c r="T178" s="425"/>
      <c r="U178" s="425"/>
      <c r="V178" s="425"/>
      <c r="W178" s="425"/>
      <c r="X178" s="425"/>
      <c r="Y178" s="425"/>
      <c r="Z178" s="425"/>
      <c r="AA178" s="425"/>
      <c r="AB178" s="425"/>
      <c r="AC178" s="425"/>
    </row>
    <row r="179" ht="15.75" customHeight="1">
      <c r="A179" s="425"/>
      <c r="B179" s="425"/>
      <c r="C179" s="425"/>
      <c r="D179" s="425"/>
      <c r="E179" s="235"/>
      <c r="F179" s="425"/>
      <c r="G179" s="425"/>
      <c r="H179" s="425"/>
      <c r="I179" s="425"/>
      <c r="J179" s="425"/>
      <c r="K179" s="235"/>
      <c r="L179" s="425"/>
      <c r="M179" s="425"/>
      <c r="N179" s="425"/>
      <c r="O179" s="425"/>
      <c r="P179" s="425"/>
      <c r="Q179" s="235"/>
      <c r="R179" s="425"/>
      <c r="S179" s="425"/>
      <c r="T179" s="425"/>
      <c r="U179" s="425"/>
      <c r="V179" s="425"/>
      <c r="W179" s="425"/>
      <c r="X179" s="425"/>
      <c r="Y179" s="425"/>
      <c r="Z179" s="425"/>
      <c r="AA179" s="425"/>
      <c r="AB179" s="425"/>
      <c r="AC179" s="425"/>
    </row>
    <row r="180" ht="15.75" customHeight="1">
      <c r="A180" s="425"/>
      <c r="B180" s="425"/>
      <c r="C180" s="425"/>
      <c r="D180" s="425"/>
      <c r="E180" s="235"/>
      <c r="F180" s="425"/>
      <c r="G180" s="425"/>
      <c r="H180" s="425"/>
      <c r="I180" s="425"/>
      <c r="J180" s="425"/>
      <c r="K180" s="235"/>
      <c r="L180" s="425"/>
      <c r="M180" s="425"/>
      <c r="N180" s="425"/>
      <c r="O180" s="425"/>
      <c r="P180" s="425"/>
      <c r="Q180" s="235"/>
      <c r="R180" s="425"/>
      <c r="S180" s="425"/>
      <c r="T180" s="425"/>
      <c r="U180" s="425"/>
      <c r="V180" s="425"/>
      <c r="W180" s="425"/>
      <c r="X180" s="425"/>
      <c r="Y180" s="425"/>
      <c r="Z180" s="425"/>
      <c r="AA180" s="425"/>
      <c r="AB180" s="425"/>
      <c r="AC180" s="425"/>
    </row>
    <row r="181" ht="15.75" customHeight="1">
      <c r="A181" s="425"/>
      <c r="B181" s="425"/>
      <c r="C181" s="425"/>
      <c r="D181" s="425"/>
      <c r="E181" s="235"/>
      <c r="F181" s="425"/>
      <c r="G181" s="425"/>
      <c r="H181" s="425"/>
      <c r="I181" s="425"/>
      <c r="J181" s="425"/>
      <c r="K181" s="235"/>
      <c r="L181" s="425"/>
      <c r="M181" s="425"/>
      <c r="N181" s="425"/>
      <c r="O181" s="425"/>
      <c r="P181" s="425"/>
      <c r="Q181" s="235"/>
      <c r="R181" s="425"/>
      <c r="S181" s="425"/>
      <c r="T181" s="425"/>
      <c r="U181" s="425"/>
      <c r="V181" s="425"/>
      <c r="W181" s="425"/>
      <c r="X181" s="425"/>
      <c r="Y181" s="425"/>
      <c r="Z181" s="425"/>
      <c r="AA181" s="425"/>
      <c r="AB181" s="425"/>
      <c r="AC181" s="425"/>
    </row>
    <row r="182" ht="15.75" customHeight="1">
      <c r="A182" s="425"/>
      <c r="B182" s="425"/>
      <c r="C182" s="425"/>
      <c r="D182" s="425"/>
      <c r="E182" s="235"/>
      <c r="F182" s="425"/>
      <c r="G182" s="425"/>
      <c r="H182" s="425"/>
      <c r="I182" s="425"/>
      <c r="J182" s="425"/>
      <c r="K182" s="235"/>
      <c r="L182" s="425"/>
      <c r="M182" s="425"/>
      <c r="N182" s="425"/>
      <c r="O182" s="425"/>
      <c r="P182" s="425"/>
      <c r="Q182" s="235"/>
      <c r="R182" s="425"/>
      <c r="S182" s="425"/>
      <c r="T182" s="425"/>
      <c r="U182" s="425"/>
      <c r="V182" s="425"/>
      <c r="W182" s="425"/>
      <c r="X182" s="425"/>
      <c r="Y182" s="425"/>
      <c r="Z182" s="425"/>
      <c r="AA182" s="425"/>
      <c r="AB182" s="425"/>
      <c r="AC182" s="425"/>
    </row>
    <row r="183" ht="15.75" customHeight="1">
      <c r="A183" s="425"/>
      <c r="B183" s="425"/>
      <c r="C183" s="425"/>
      <c r="D183" s="425"/>
      <c r="E183" s="235"/>
      <c r="F183" s="425"/>
      <c r="G183" s="425"/>
      <c r="H183" s="425"/>
      <c r="I183" s="425"/>
      <c r="J183" s="425"/>
      <c r="K183" s="235"/>
      <c r="L183" s="425"/>
      <c r="M183" s="425"/>
      <c r="N183" s="425"/>
      <c r="O183" s="425"/>
      <c r="P183" s="425"/>
      <c r="Q183" s="235"/>
      <c r="R183" s="425"/>
      <c r="S183" s="425"/>
      <c r="T183" s="425"/>
      <c r="U183" s="425"/>
      <c r="V183" s="425"/>
      <c r="W183" s="425"/>
      <c r="X183" s="425"/>
      <c r="Y183" s="425"/>
      <c r="Z183" s="425"/>
      <c r="AA183" s="425"/>
      <c r="AB183" s="425"/>
      <c r="AC183" s="425"/>
    </row>
    <row r="184" ht="15.75" customHeight="1">
      <c r="A184" s="425"/>
      <c r="B184" s="425"/>
      <c r="C184" s="425"/>
      <c r="D184" s="425"/>
      <c r="E184" s="235"/>
      <c r="F184" s="425"/>
      <c r="G184" s="425"/>
      <c r="H184" s="425"/>
      <c r="I184" s="425"/>
      <c r="J184" s="425"/>
      <c r="K184" s="235"/>
      <c r="L184" s="425"/>
      <c r="M184" s="425"/>
      <c r="N184" s="425"/>
      <c r="O184" s="425"/>
      <c r="P184" s="425"/>
      <c r="Q184" s="235"/>
      <c r="R184" s="425"/>
      <c r="S184" s="425"/>
      <c r="T184" s="425"/>
      <c r="U184" s="425"/>
      <c r="V184" s="425"/>
      <c r="W184" s="425"/>
      <c r="X184" s="425"/>
      <c r="Y184" s="425"/>
      <c r="Z184" s="425"/>
      <c r="AA184" s="425"/>
      <c r="AB184" s="425"/>
      <c r="AC184" s="425"/>
    </row>
    <row r="185" ht="15.75" customHeight="1">
      <c r="A185" s="425"/>
      <c r="B185" s="425"/>
      <c r="C185" s="425"/>
      <c r="D185" s="425"/>
      <c r="E185" s="235"/>
      <c r="F185" s="425"/>
      <c r="G185" s="425"/>
      <c r="H185" s="425"/>
      <c r="I185" s="425"/>
      <c r="J185" s="425"/>
      <c r="K185" s="235"/>
      <c r="L185" s="425"/>
      <c r="M185" s="425"/>
      <c r="N185" s="425"/>
      <c r="O185" s="425"/>
      <c r="P185" s="425"/>
      <c r="Q185" s="235"/>
      <c r="R185" s="425"/>
      <c r="S185" s="425"/>
      <c r="T185" s="425"/>
      <c r="U185" s="425"/>
      <c r="V185" s="425"/>
      <c r="W185" s="425"/>
      <c r="X185" s="425"/>
      <c r="Y185" s="425"/>
      <c r="Z185" s="425"/>
      <c r="AA185" s="425"/>
      <c r="AB185" s="425"/>
      <c r="AC185" s="425"/>
    </row>
    <row r="186" ht="15.75" customHeight="1">
      <c r="A186" s="425"/>
      <c r="B186" s="425"/>
      <c r="C186" s="425"/>
      <c r="D186" s="425"/>
      <c r="E186" s="235"/>
      <c r="F186" s="425"/>
      <c r="G186" s="425"/>
      <c r="H186" s="425"/>
      <c r="I186" s="425"/>
      <c r="J186" s="425"/>
      <c r="K186" s="235"/>
      <c r="L186" s="425"/>
      <c r="M186" s="425"/>
      <c r="N186" s="425"/>
      <c r="O186" s="425"/>
      <c r="P186" s="425"/>
      <c r="Q186" s="235"/>
      <c r="R186" s="425"/>
      <c r="S186" s="425"/>
      <c r="T186" s="425"/>
      <c r="U186" s="425"/>
      <c r="V186" s="425"/>
      <c r="W186" s="425"/>
      <c r="X186" s="425"/>
      <c r="Y186" s="425"/>
      <c r="Z186" s="425"/>
      <c r="AA186" s="425"/>
      <c r="AB186" s="425"/>
      <c r="AC186" s="425"/>
    </row>
    <row r="187" ht="15.75" customHeight="1">
      <c r="A187" s="425"/>
      <c r="B187" s="425"/>
      <c r="C187" s="425"/>
      <c r="D187" s="425"/>
      <c r="E187" s="235"/>
      <c r="F187" s="425"/>
      <c r="G187" s="425"/>
      <c r="H187" s="425"/>
      <c r="I187" s="425"/>
      <c r="J187" s="425"/>
      <c r="K187" s="235"/>
      <c r="L187" s="425"/>
      <c r="M187" s="425"/>
      <c r="N187" s="425"/>
      <c r="O187" s="425"/>
      <c r="P187" s="425"/>
      <c r="Q187" s="235"/>
      <c r="R187" s="425"/>
      <c r="S187" s="425"/>
      <c r="T187" s="425"/>
      <c r="U187" s="425"/>
      <c r="V187" s="425"/>
      <c r="W187" s="425"/>
      <c r="X187" s="425"/>
      <c r="Y187" s="425"/>
      <c r="Z187" s="425"/>
      <c r="AA187" s="425"/>
      <c r="AB187" s="425"/>
      <c r="AC187" s="425"/>
    </row>
    <row r="188" ht="15.75" customHeight="1">
      <c r="A188" s="425"/>
      <c r="B188" s="425"/>
      <c r="C188" s="425"/>
      <c r="D188" s="425"/>
      <c r="E188" s="235"/>
      <c r="F188" s="425"/>
      <c r="G188" s="425"/>
      <c r="H188" s="425"/>
      <c r="I188" s="425"/>
      <c r="J188" s="425"/>
      <c r="K188" s="235"/>
      <c r="L188" s="425"/>
      <c r="M188" s="425"/>
      <c r="N188" s="425"/>
      <c r="O188" s="425"/>
      <c r="P188" s="425"/>
      <c r="Q188" s="235"/>
      <c r="R188" s="425"/>
      <c r="S188" s="425"/>
      <c r="T188" s="425"/>
      <c r="U188" s="425"/>
      <c r="V188" s="425"/>
      <c r="W188" s="425"/>
      <c r="X188" s="425"/>
      <c r="Y188" s="425"/>
      <c r="Z188" s="425"/>
      <c r="AA188" s="425"/>
      <c r="AB188" s="425"/>
      <c r="AC188" s="425"/>
    </row>
    <row r="189" ht="15.75" customHeight="1">
      <c r="A189" s="425"/>
      <c r="B189" s="425"/>
      <c r="C189" s="425"/>
      <c r="D189" s="425"/>
      <c r="E189" s="235"/>
      <c r="F189" s="425"/>
      <c r="G189" s="425"/>
      <c r="H189" s="425"/>
      <c r="I189" s="425"/>
      <c r="J189" s="425"/>
      <c r="K189" s="235"/>
      <c r="L189" s="425"/>
      <c r="M189" s="425"/>
      <c r="N189" s="425"/>
      <c r="O189" s="425"/>
      <c r="P189" s="425"/>
      <c r="Q189" s="235"/>
      <c r="R189" s="425"/>
      <c r="S189" s="425"/>
      <c r="T189" s="425"/>
      <c r="U189" s="425"/>
      <c r="V189" s="425"/>
      <c r="W189" s="425"/>
      <c r="X189" s="425"/>
      <c r="Y189" s="425"/>
      <c r="Z189" s="425"/>
      <c r="AA189" s="425"/>
      <c r="AB189" s="425"/>
      <c r="AC189" s="425"/>
    </row>
    <row r="190" ht="15.75" customHeight="1">
      <c r="A190" s="425"/>
      <c r="B190" s="425"/>
      <c r="C190" s="425"/>
      <c r="D190" s="425"/>
      <c r="E190" s="235"/>
      <c r="F190" s="425"/>
      <c r="G190" s="425"/>
      <c r="H190" s="425"/>
      <c r="I190" s="425"/>
      <c r="J190" s="425"/>
      <c r="K190" s="235"/>
      <c r="L190" s="425"/>
      <c r="M190" s="425"/>
      <c r="N190" s="425"/>
      <c r="O190" s="425"/>
      <c r="P190" s="425"/>
      <c r="Q190" s="235"/>
      <c r="R190" s="425"/>
      <c r="S190" s="425"/>
      <c r="T190" s="425"/>
      <c r="U190" s="425"/>
      <c r="V190" s="425"/>
      <c r="W190" s="425"/>
      <c r="X190" s="425"/>
      <c r="Y190" s="425"/>
      <c r="Z190" s="425"/>
      <c r="AA190" s="425"/>
      <c r="AB190" s="425"/>
      <c r="AC190" s="425"/>
    </row>
    <row r="191" ht="15.75" customHeight="1">
      <c r="A191" s="425"/>
      <c r="B191" s="425"/>
      <c r="C191" s="425"/>
      <c r="D191" s="425"/>
      <c r="E191" s="235"/>
      <c r="F191" s="425"/>
      <c r="G191" s="425"/>
      <c r="H191" s="425"/>
      <c r="I191" s="425"/>
      <c r="J191" s="425"/>
      <c r="K191" s="235"/>
      <c r="L191" s="425"/>
      <c r="M191" s="425"/>
      <c r="N191" s="425"/>
      <c r="O191" s="425"/>
      <c r="P191" s="425"/>
      <c r="Q191" s="235"/>
      <c r="R191" s="425"/>
      <c r="S191" s="425"/>
      <c r="T191" s="425"/>
      <c r="U191" s="425"/>
      <c r="V191" s="425"/>
      <c r="W191" s="425"/>
      <c r="X191" s="425"/>
      <c r="Y191" s="425"/>
      <c r="Z191" s="425"/>
      <c r="AA191" s="425"/>
      <c r="AB191" s="425"/>
      <c r="AC191" s="425"/>
    </row>
    <row r="192" ht="15.75" customHeight="1">
      <c r="A192" s="425"/>
      <c r="B192" s="425"/>
      <c r="C192" s="425"/>
      <c r="D192" s="425"/>
      <c r="E192" s="235"/>
      <c r="F192" s="425"/>
      <c r="G192" s="425"/>
      <c r="H192" s="425"/>
      <c r="I192" s="425"/>
      <c r="J192" s="425"/>
      <c r="K192" s="235"/>
      <c r="L192" s="425"/>
      <c r="M192" s="425"/>
      <c r="N192" s="425"/>
      <c r="O192" s="425"/>
      <c r="P192" s="425"/>
      <c r="Q192" s="235"/>
      <c r="R192" s="425"/>
      <c r="S192" s="425"/>
      <c r="T192" s="425"/>
      <c r="U192" s="425"/>
      <c r="V192" s="425"/>
      <c r="W192" s="425"/>
      <c r="X192" s="425"/>
      <c r="Y192" s="425"/>
      <c r="Z192" s="425"/>
      <c r="AA192" s="425"/>
      <c r="AB192" s="425"/>
      <c r="AC192" s="425"/>
    </row>
    <row r="193" ht="15.75" customHeight="1">
      <c r="A193" s="425"/>
      <c r="B193" s="425"/>
      <c r="C193" s="425"/>
      <c r="D193" s="425"/>
      <c r="E193" s="235"/>
      <c r="F193" s="425"/>
      <c r="G193" s="425"/>
      <c r="H193" s="425"/>
      <c r="I193" s="425"/>
      <c r="J193" s="425"/>
      <c r="K193" s="235"/>
      <c r="L193" s="425"/>
      <c r="M193" s="425"/>
      <c r="N193" s="425"/>
      <c r="O193" s="425"/>
      <c r="P193" s="425"/>
      <c r="Q193" s="235"/>
      <c r="R193" s="425"/>
      <c r="S193" s="425"/>
      <c r="T193" s="425"/>
      <c r="U193" s="425"/>
      <c r="V193" s="425"/>
      <c r="W193" s="425"/>
      <c r="X193" s="425"/>
      <c r="Y193" s="425"/>
      <c r="Z193" s="425"/>
      <c r="AA193" s="425"/>
      <c r="AB193" s="425"/>
      <c r="AC193" s="425"/>
    </row>
    <row r="194" ht="15.75" customHeight="1">
      <c r="A194" s="425"/>
      <c r="B194" s="425"/>
      <c r="C194" s="425"/>
      <c r="D194" s="425"/>
      <c r="E194" s="235"/>
      <c r="F194" s="425"/>
      <c r="G194" s="425"/>
      <c r="H194" s="425"/>
      <c r="I194" s="425"/>
      <c r="J194" s="425"/>
      <c r="K194" s="235"/>
      <c r="L194" s="425"/>
      <c r="M194" s="425"/>
      <c r="N194" s="425"/>
      <c r="O194" s="425"/>
      <c r="P194" s="425"/>
      <c r="Q194" s="235"/>
      <c r="R194" s="425"/>
      <c r="S194" s="425"/>
      <c r="T194" s="425"/>
      <c r="U194" s="425"/>
      <c r="V194" s="425"/>
      <c r="W194" s="425"/>
      <c r="X194" s="425"/>
      <c r="Y194" s="425"/>
      <c r="Z194" s="425"/>
      <c r="AA194" s="425"/>
      <c r="AB194" s="425"/>
      <c r="AC194" s="425"/>
    </row>
    <row r="195" ht="15.75" customHeight="1">
      <c r="A195" s="425"/>
      <c r="B195" s="425"/>
      <c r="C195" s="425"/>
      <c r="D195" s="425"/>
      <c r="E195" s="235"/>
      <c r="F195" s="425"/>
      <c r="G195" s="425"/>
      <c r="H195" s="425"/>
      <c r="I195" s="425"/>
      <c r="J195" s="425"/>
      <c r="K195" s="235"/>
      <c r="L195" s="425"/>
      <c r="M195" s="425"/>
      <c r="N195" s="425"/>
      <c r="O195" s="425"/>
      <c r="P195" s="425"/>
      <c r="Q195" s="235"/>
      <c r="R195" s="425"/>
      <c r="S195" s="425"/>
      <c r="T195" s="425"/>
      <c r="U195" s="425"/>
      <c r="V195" s="425"/>
      <c r="W195" s="425"/>
      <c r="X195" s="425"/>
      <c r="Y195" s="425"/>
      <c r="Z195" s="425"/>
      <c r="AA195" s="425"/>
      <c r="AB195" s="425"/>
      <c r="AC195" s="425"/>
    </row>
    <row r="196" ht="15.75" customHeight="1">
      <c r="A196" s="425"/>
      <c r="B196" s="425"/>
      <c r="C196" s="425"/>
      <c r="D196" s="425"/>
      <c r="E196" s="235"/>
      <c r="F196" s="425"/>
      <c r="G196" s="425"/>
      <c r="H196" s="425"/>
      <c r="I196" s="425"/>
      <c r="J196" s="425"/>
      <c r="K196" s="235"/>
      <c r="L196" s="425"/>
      <c r="M196" s="425"/>
      <c r="N196" s="425"/>
      <c r="O196" s="425"/>
      <c r="P196" s="425"/>
      <c r="Q196" s="235"/>
      <c r="R196" s="425"/>
      <c r="S196" s="425"/>
      <c r="T196" s="425"/>
      <c r="U196" s="425"/>
      <c r="V196" s="425"/>
      <c r="W196" s="425"/>
      <c r="X196" s="425"/>
      <c r="Y196" s="425"/>
      <c r="Z196" s="425"/>
      <c r="AA196" s="425"/>
      <c r="AB196" s="425"/>
      <c r="AC196" s="425"/>
    </row>
    <row r="197" ht="15.75" customHeight="1">
      <c r="A197" s="425"/>
      <c r="B197" s="425"/>
      <c r="C197" s="425"/>
      <c r="D197" s="425"/>
      <c r="E197" s="235"/>
      <c r="F197" s="425"/>
      <c r="G197" s="425"/>
      <c r="H197" s="425"/>
      <c r="I197" s="425"/>
      <c r="J197" s="425"/>
      <c r="K197" s="235"/>
      <c r="L197" s="425"/>
      <c r="M197" s="425"/>
      <c r="N197" s="425"/>
      <c r="O197" s="425"/>
      <c r="P197" s="425"/>
      <c r="Q197" s="235"/>
      <c r="R197" s="425"/>
      <c r="S197" s="425"/>
      <c r="T197" s="425"/>
      <c r="U197" s="425"/>
      <c r="V197" s="425"/>
      <c r="W197" s="425"/>
      <c r="X197" s="425"/>
      <c r="Y197" s="425"/>
      <c r="Z197" s="425"/>
      <c r="AA197" s="425"/>
      <c r="AB197" s="425"/>
      <c r="AC197" s="425"/>
    </row>
    <row r="198" ht="15.75" customHeight="1">
      <c r="A198" s="425"/>
      <c r="B198" s="425"/>
      <c r="C198" s="425"/>
      <c r="D198" s="425"/>
      <c r="E198" s="235"/>
      <c r="F198" s="425"/>
      <c r="G198" s="425"/>
      <c r="H198" s="425"/>
      <c r="I198" s="425"/>
      <c r="J198" s="425"/>
      <c r="K198" s="235"/>
      <c r="L198" s="425"/>
      <c r="M198" s="425"/>
      <c r="N198" s="425"/>
      <c r="O198" s="425"/>
      <c r="P198" s="425"/>
      <c r="Q198" s="235"/>
      <c r="R198" s="425"/>
      <c r="S198" s="425"/>
      <c r="T198" s="425"/>
      <c r="U198" s="425"/>
      <c r="V198" s="425"/>
      <c r="W198" s="425"/>
      <c r="X198" s="425"/>
      <c r="Y198" s="425"/>
      <c r="Z198" s="425"/>
      <c r="AA198" s="425"/>
      <c r="AB198" s="425"/>
      <c r="AC198" s="425"/>
    </row>
    <row r="199" ht="15.75" customHeight="1">
      <c r="A199" s="425"/>
      <c r="B199" s="425"/>
      <c r="C199" s="425"/>
      <c r="D199" s="425"/>
      <c r="E199" s="235"/>
      <c r="F199" s="425"/>
      <c r="G199" s="425"/>
      <c r="H199" s="425"/>
      <c r="I199" s="425"/>
      <c r="J199" s="425"/>
      <c r="K199" s="235"/>
      <c r="L199" s="425"/>
      <c r="M199" s="425"/>
      <c r="N199" s="425"/>
      <c r="O199" s="425"/>
      <c r="P199" s="425"/>
      <c r="Q199" s="235"/>
      <c r="R199" s="425"/>
      <c r="S199" s="425"/>
      <c r="T199" s="425"/>
      <c r="U199" s="425"/>
      <c r="V199" s="425"/>
      <c r="W199" s="425"/>
      <c r="X199" s="425"/>
      <c r="Y199" s="425"/>
      <c r="Z199" s="425"/>
      <c r="AA199" s="425"/>
      <c r="AB199" s="425"/>
      <c r="AC199" s="425"/>
    </row>
    <row r="200" ht="15.75" customHeight="1">
      <c r="A200" s="425"/>
      <c r="B200" s="425"/>
      <c r="C200" s="425"/>
      <c r="D200" s="425"/>
      <c r="E200" s="235"/>
      <c r="F200" s="425"/>
      <c r="G200" s="425"/>
      <c r="H200" s="425"/>
      <c r="I200" s="425"/>
      <c r="J200" s="425"/>
      <c r="K200" s="235"/>
      <c r="L200" s="425"/>
      <c r="M200" s="425"/>
      <c r="N200" s="425"/>
      <c r="O200" s="425"/>
      <c r="P200" s="425"/>
      <c r="Q200" s="235"/>
      <c r="R200" s="425"/>
      <c r="S200" s="425"/>
      <c r="T200" s="425"/>
      <c r="U200" s="425"/>
      <c r="V200" s="425"/>
      <c r="W200" s="425"/>
      <c r="X200" s="425"/>
      <c r="Y200" s="425"/>
      <c r="Z200" s="425"/>
      <c r="AA200" s="425"/>
      <c r="AB200" s="425"/>
      <c r="AC200" s="425"/>
    </row>
    <row r="201" ht="15.75" customHeight="1">
      <c r="A201" s="425"/>
      <c r="B201" s="425"/>
      <c r="C201" s="425"/>
      <c r="D201" s="425"/>
      <c r="E201" s="235"/>
      <c r="F201" s="425"/>
      <c r="G201" s="425"/>
      <c r="H201" s="425"/>
      <c r="I201" s="425"/>
      <c r="J201" s="425"/>
      <c r="K201" s="235"/>
      <c r="L201" s="425"/>
      <c r="M201" s="425"/>
      <c r="N201" s="425"/>
      <c r="O201" s="425"/>
      <c r="P201" s="425"/>
      <c r="Q201" s="235"/>
      <c r="R201" s="425"/>
      <c r="S201" s="425"/>
      <c r="T201" s="425"/>
      <c r="U201" s="425"/>
      <c r="V201" s="425"/>
      <c r="W201" s="425"/>
      <c r="X201" s="425"/>
      <c r="Y201" s="425"/>
      <c r="Z201" s="425"/>
      <c r="AA201" s="425"/>
      <c r="AB201" s="425"/>
      <c r="AC201" s="425"/>
    </row>
    <row r="202" ht="15.75" customHeight="1">
      <c r="A202" s="425"/>
      <c r="B202" s="425"/>
      <c r="C202" s="425"/>
      <c r="D202" s="425"/>
      <c r="E202" s="235"/>
      <c r="F202" s="425"/>
      <c r="G202" s="425"/>
      <c r="H202" s="425"/>
      <c r="I202" s="425"/>
      <c r="J202" s="425"/>
      <c r="K202" s="235"/>
      <c r="L202" s="425"/>
      <c r="M202" s="425"/>
      <c r="N202" s="425"/>
      <c r="O202" s="425"/>
      <c r="P202" s="425"/>
      <c r="Q202" s="235"/>
      <c r="R202" s="425"/>
      <c r="S202" s="425"/>
      <c r="T202" s="425"/>
      <c r="U202" s="425"/>
      <c r="V202" s="425"/>
      <c r="W202" s="425"/>
      <c r="X202" s="425"/>
      <c r="Y202" s="425"/>
      <c r="Z202" s="425"/>
      <c r="AA202" s="425"/>
      <c r="AB202" s="425"/>
      <c r="AC202" s="425"/>
    </row>
    <row r="203" ht="15.75" customHeight="1">
      <c r="A203" s="425"/>
      <c r="B203" s="425"/>
      <c r="C203" s="425"/>
      <c r="D203" s="425"/>
      <c r="E203" s="235"/>
      <c r="F203" s="425"/>
      <c r="G203" s="425"/>
      <c r="H203" s="425"/>
      <c r="I203" s="425"/>
      <c r="J203" s="425"/>
      <c r="K203" s="235"/>
      <c r="L203" s="425"/>
      <c r="M203" s="425"/>
      <c r="N203" s="425"/>
      <c r="O203" s="425"/>
      <c r="P203" s="425"/>
      <c r="Q203" s="23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  <c r="AC203" s="425"/>
    </row>
    <row r="204" ht="15.75" customHeight="1">
      <c r="A204" s="425"/>
      <c r="B204" s="425"/>
      <c r="C204" s="425"/>
      <c r="D204" s="425"/>
      <c r="E204" s="235"/>
      <c r="F204" s="425"/>
      <c r="G204" s="425"/>
      <c r="H204" s="425"/>
      <c r="I204" s="425"/>
      <c r="J204" s="425"/>
      <c r="K204" s="235"/>
      <c r="L204" s="425"/>
      <c r="M204" s="425"/>
      <c r="N204" s="425"/>
      <c r="O204" s="425"/>
      <c r="P204" s="425"/>
      <c r="Q204" s="235"/>
      <c r="R204" s="425"/>
      <c r="S204" s="425"/>
      <c r="T204" s="425"/>
      <c r="U204" s="425"/>
      <c r="V204" s="425"/>
      <c r="W204" s="425"/>
      <c r="X204" s="425"/>
      <c r="Y204" s="425"/>
      <c r="Z204" s="425"/>
      <c r="AA204" s="425"/>
      <c r="AB204" s="425"/>
      <c r="AC204" s="425"/>
    </row>
    <row r="205" ht="15.75" customHeight="1">
      <c r="A205" s="425"/>
      <c r="B205" s="425"/>
      <c r="C205" s="425"/>
      <c r="D205" s="425"/>
      <c r="E205" s="235"/>
      <c r="F205" s="425"/>
      <c r="G205" s="425"/>
      <c r="H205" s="425"/>
      <c r="I205" s="425"/>
      <c r="J205" s="425"/>
      <c r="K205" s="235"/>
      <c r="L205" s="425"/>
      <c r="M205" s="425"/>
      <c r="N205" s="425"/>
      <c r="O205" s="425"/>
      <c r="P205" s="425"/>
      <c r="Q205" s="235"/>
      <c r="R205" s="425"/>
      <c r="S205" s="425"/>
      <c r="T205" s="425"/>
      <c r="U205" s="425"/>
      <c r="V205" s="425"/>
      <c r="W205" s="425"/>
      <c r="X205" s="425"/>
      <c r="Y205" s="425"/>
      <c r="Z205" s="425"/>
      <c r="AA205" s="425"/>
      <c r="AB205" s="425"/>
      <c r="AC205" s="425"/>
    </row>
    <row r="206" ht="15.75" customHeight="1">
      <c r="A206" s="425"/>
      <c r="B206" s="425"/>
      <c r="C206" s="425"/>
      <c r="D206" s="425"/>
      <c r="E206" s="235"/>
      <c r="F206" s="425"/>
      <c r="G206" s="425"/>
      <c r="H206" s="425"/>
      <c r="I206" s="425"/>
      <c r="J206" s="425"/>
      <c r="K206" s="235"/>
      <c r="L206" s="425"/>
      <c r="M206" s="425"/>
      <c r="N206" s="425"/>
      <c r="O206" s="425"/>
      <c r="P206" s="425"/>
      <c r="Q206" s="235"/>
      <c r="R206" s="425"/>
      <c r="S206" s="425"/>
      <c r="T206" s="425"/>
      <c r="U206" s="425"/>
      <c r="V206" s="425"/>
      <c r="W206" s="425"/>
      <c r="X206" s="425"/>
      <c r="Y206" s="425"/>
      <c r="Z206" s="425"/>
      <c r="AA206" s="425"/>
      <c r="AB206" s="425"/>
      <c r="AC206" s="425"/>
    </row>
    <row r="207" ht="15.75" customHeight="1">
      <c r="A207" s="425"/>
      <c r="B207" s="425"/>
      <c r="C207" s="425"/>
      <c r="D207" s="425"/>
      <c r="E207" s="235"/>
      <c r="F207" s="425"/>
      <c r="G207" s="425"/>
      <c r="H207" s="425"/>
      <c r="I207" s="425"/>
      <c r="J207" s="425"/>
      <c r="K207" s="235"/>
      <c r="L207" s="425"/>
      <c r="M207" s="425"/>
      <c r="N207" s="425"/>
      <c r="O207" s="425"/>
      <c r="P207" s="425"/>
      <c r="Q207" s="235"/>
      <c r="R207" s="425"/>
      <c r="S207" s="425"/>
      <c r="T207" s="425"/>
      <c r="U207" s="425"/>
      <c r="V207" s="425"/>
      <c r="W207" s="425"/>
      <c r="X207" s="425"/>
      <c r="Y207" s="425"/>
      <c r="Z207" s="425"/>
      <c r="AA207" s="425"/>
      <c r="AB207" s="425"/>
      <c r="AC207" s="425"/>
    </row>
    <row r="208" ht="15.75" customHeight="1">
      <c r="A208" s="425"/>
      <c r="B208" s="425"/>
      <c r="C208" s="425"/>
      <c r="D208" s="425"/>
      <c r="E208" s="235"/>
      <c r="F208" s="425"/>
      <c r="G208" s="425"/>
      <c r="H208" s="425"/>
      <c r="I208" s="425"/>
      <c r="J208" s="425"/>
      <c r="K208" s="235"/>
      <c r="L208" s="425"/>
      <c r="M208" s="425"/>
      <c r="N208" s="425"/>
      <c r="O208" s="425"/>
      <c r="P208" s="425"/>
      <c r="Q208" s="235"/>
      <c r="R208" s="425"/>
      <c r="S208" s="425"/>
      <c r="T208" s="425"/>
      <c r="U208" s="425"/>
      <c r="V208" s="425"/>
      <c r="W208" s="425"/>
      <c r="X208" s="425"/>
      <c r="Y208" s="425"/>
      <c r="Z208" s="425"/>
      <c r="AA208" s="425"/>
      <c r="AB208" s="425"/>
      <c r="AC208" s="425"/>
    </row>
    <row r="209" ht="15.75" customHeight="1">
      <c r="A209" s="425"/>
      <c r="B209" s="425"/>
      <c r="C209" s="425"/>
      <c r="D209" s="425"/>
      <c r="E209" s="235"/>
      <c r="F209" s="425"/>
      <c r="G209" s="425"/>
      <c r="H209" s="425"/>
      <c r="I209" s="425"/>
      <c r="J209" s="425"/>
      <c r="K209" s="235"/>
      <c r="L209" s="425"/>
      <c r="M209" s="425"/>
      <c r="N209" s="425"/>
      <c r="O209" s="425"/>
      <c r="P209" s="425"/>
      <c r="Q209" s="235"/>
      <c r="R209" s="425"/>
      <c r="S209" s="425"/>
      <c r="T209" s="425"/>
      <c r="U209" s="425"/>
      <c r="V209" s="425"/>
      <c r="W209" s="425"/>
      <c r="X209" s="425"/>
      <c r="Y209" s="425"/>
      <c r="Z209" s="425"/>
      <c r="AA209" s="425"/>
      <c r="AB209" s="425"/>
      <c r="AC209" s="425"/>
    </row>
    <row r="210" ht="15.75" customHeight="1">
      <c r="A210" s="425"/>
      <c r="B210" s="425"/>
      <c r="C210" s="425"/>
      <c r="D210" s="425"/>
      <c r="E210" s="235"/>
      <c r="F210" s="425"/>
      <c r="G210" s="425"/>
      <c r="H210" s="425"/>
      <c r="I210" s="425"/>
      <c r="J210" s="425"/>
      <c r="K210" s="235"/>
      <c r="L210" s="425"/>
      <c r="M210" s="425"/>
      <c r="N210" s="425"/>
      <c r="O210" s="425"/>
      <c r="P210" s="425"/>
      <c r="Q210" s="235"/>
      <c r="R210" s="425"/>
      <c r="S210" s="425"/>
      <c r="T210" s="425"/>
      <c r="U210" s="425"/>
      <c r="V210" s="425"/>
      <c r="W210" s="425"/>
      <c r="X210" s="425"/>
      <c r="Y210" s="425"/>
      <c r="Z210" s="425"/>
      <c r="AA210" s="425"/>
      <c r="AB210" s="425"/>
      <c r="AC210" s="425"/>
    </row>
    <row r="211" ht="15.75" customHeight="1">
      <c r="A211" s="425"/>
      <c r="B211" s="425"/>
      <c r="C211" s="425"/>
      <c r="D211" s="425"/>
      <c r="E211" s="235"/>
      <c r="F211" s="425"/>
      <c r="G211" s="425"/>
      <c r="H211" s="425"/>
      <c r="I211" s="425"/>
      <c r="J211" s="425"/>
      <c r="K211" s="235"/>
      <c r="L211" s="425"/>
      <c r="M211" s="425"/>
      <c r="N211" s="425"/>
      <c r="O211" s="425"/>
      <c r="P211" s="425"/>
      <c r="Q211" s="235"/>
      <c r="R211" s="425"/>
      <c r="S211" s="425"/>
      <c r="T211" s="425"/>
      <c r="U211" s="425"/>
      <c r="V211" s="425"/>
      <c r="W211" s="425"/>
      <c r="X211" s="425"/>
      <c r="Y211" s="425"/>
      <c r="Z211" s="425"/>
      <c r="AA211" s="425"/>
      <c r="AB211" s="425"/>
      <c r="AC211" s="425"/>
    </row>
    <row r="212" ht="15.75" customHeight="1">
      <c r="A212" s="425"/>
      <c r="B212" s="425"/>
      <c r="C212" s="425"/>
      <c r="D212" s="425"/>
      <c r="E212" s="235"/>
      <c r="F212" s="425"/>
      <c r="G212" s="425"/>
      <c r="H212" s="425"/>
      <c r="I212" s="425"/>
      <c r="J212" s="425"/>
      <c r="K212" s="235"/>
      <c r="L212" s="425"/>
      <c r="M212" s="425"/>
      <c r="N212" s="425"/>
      <c r="O212" s="425"/>
      <c r="P212" s="425"/>
      <c r="Q212" s="235"/>
      <c r="R212" s="425"/>
      <c r="S212" s="425"/>
      <c r="T212" s="425"/>
      <c r="U212" s="425"/>
      <c r="V212" s="425"/>
      <c r="W212" s="425"/>
      <c r="X212" s="425"/>
      <c r="Y212" s="425"/>
      <c r="Z212" s="425"/>
      <c r="AA212" s="425"/>
      <c r="AB212" s="425"/>
      <c r="AC212" s="425"/>
    </row>
    <row r="213" ht="15.75" customHeight="1">
      <c r="A213" s="425"/>
      <c r="B213" s="425"/>
      <c r="C213" s="425"/>
      <c r="D213" s="425"/>
      <c r="E213" s="235"/>
      <c r="F213" s="425"/>
      <c r="G213" s="425"/>
      <c r="H213" s="425"/>
      <c r="I213" s="425"/>
      <c r="J213" s="425"/>
      <c r="K213" s="235"/>
      <c r="L213" s="425"/>
      <c r="M213" s="425"/>
      <c r="N213" s="425"/>
      <c r="O213" s="425"/>
      <c r="P213" s="425"/>
      <c r="Q213" s="235"/>
      <c r="R213" s="425"/>
      <c r="S213" s="425"/>
      <c r="T213" s="425"/>
      <c r="U213" s="425"/>
      <c r="V213" s="425"/>
      <c r="W213" s="425"/>
      <c r="X213" s="425"/>
      <c r="Y213" s="425"/>
      <c r="Z213" s="425"/>
      <c r="AA213" s="425"/>
      <c r="AB213" s="425"/>
      <c r="AC213" s="425"/>
    </row>
    <row r="214" ht="15.75" customHeight="1">
      <c r="A214" s="425"/>
      <c r="B214" s="425"/>
      <c r="C214" s="425"/>
      <c r="D214" s="425"/>
      <c r="E214" s="235"/>
      <c r="F214" s="425"/>
      <c r="G214" s="425"/>
      <c r="H214" s="425"/>
      <c r="I214" s="425"/>
      <c r="J214" s="425"/>
      <c r="K214" s="235"/>
      <c r="L214" s="425"/>
      <c r="M214" s="425"/>
      <c r="N214" s="425"/>
      <c r="O214" s="425"/>
      <c r="P214" s="425"/>
      <c r="Q214" s="235"/>
      <c r="R214" s="425"/>
      <c r="S214" s="425"/>
      <c r="T214" s="425"/>
      <c r="U214" s="425"/>
      <c r="V214" s="425"/>
      <c r="W214" s="425"/>
      <c r="X214" s="425"/>
      <c r="Y214" s="425"/>
      <c r="Z214" s="425"/>
      <c r="AA214" s="425"/>
      <c r="AB214" s="425"/>
      <c r="AC214" s="425"/>
    </row>
    <row r="215" ht="15.75" customHeight="1">
      <c r="A215" s="425"/>
      <c r="B215" s="425"/>
      <c r="C215" s="425"/>
      <c r="D215" s="425"/>
      <c r="E215" s="235"/>
      <c r="F215" s="425"/>
      <c r="G215" s="425"/>
      <c r="H215" s="425"/>
      <c r="I215" s="425"/>
      <c r="J215" s="425"/>
      <c r="K215" s="235"/>
      <c r="L215" s="425"/>
      <c r="M215" s="425"/>
      <c r="N215" s="425"/>
      <c r="O215" s="425"/>
      <c r="P215" s="425"/>
      <c r="Q215" s="235"/>
      <c r="R215" s="425"/>
      <c r="S215" s="425"/>
      <c r="T215" s="425"/>
      <c r="U215" s="425"/>
      <c r="V215" s="425"/>
      <c r="W215" s="425"/>
      <c r="X215" s="425"/>
      <c r="Y215" s="425"/>
      <c r="Z215" s="425"/>
      <c r="AA215" s="425"/>
      <c r="AB215" s="425"/>
      <c r="AC215" s="425"/>
    </row>
    <row r="216" ht="15.75" customHeight="1">
      <c r="A216" s="425"/>
      <c r="B216" s="425"/>
      <c r="C216" s="425"/>
      <c r="D216" s="425"/>
      <c r="E216" s="235"/>
      <c r="F216" s="425"/>
      <c r="G216" s="425"/>
      <c r="H216" s="425"/>
      <c r="I216" s="425"/>
      <c r="J216" s="425"/>
      <c r="K216" s="235"/>
      <c r="L216" s="425"/>
      <c r="M216" s="425"/>
      <c r="N216" s="425"/>
      <c r="O216" s="425"/>
      <c r="P216" s="425"/>
      <c r="Q216" s="23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</row>
    <row r="217" ht="15.75" customHeight="1">
      <c r="A217" s="425"/>
      <c r="B217" s="425"/>
      <c r="C217" s="425"/>
      <c r="D217" s="425"/>
      <c r="E217" s="235"/>
      <c r="F217" s="425"/>
      <c r="G217" s="425"/>
      <c r="H217" s="425"/>
      <c r="I217" s="425"/>
      <c r="J217" s="425"/>
      <c r="K217" s="235"/>
      <c r="L217" s="425"/>
      <c r="M217" s="425"/>
      <c r="N217" s="425"/>
      <c r="O217" s="425"/>
      <c r="P217" s="425"/>
      <c r="Q217" s="235"/>
      <c r="R217" s="425"/>
      <c r="S217" s="425"/>
      <c r="T217" s="425"/>
      <c r="U217" s="425"/>
      <c r="V217" s="425"/>
      <c r="W217" s="425"/>
      <c r="X217" s="425"/>
      <c r="Y217" s="425"/>
      <c r="Z217" s="425"/>
      <c r="AA217" s="425"/>
      <c r="AB217" s="425"/>
      <c r="AC217" s="425"/>
    </row>
    <row r="218" ht="15.75" customHeight="1">
      <c r="A218" s="425"/>
      <c r="B218" s="425"/>
      <c r="C218" s="425"/>
      <c r="D218" s="425"/>
      <c r="E218" s="235"/>
      <c r="F218" s="425"/>
      <c r="G218" s="425"/>
      <c r="H218" s="425"/>
      <c r="I218" s="425"/>
      <c r="J218" s="425"/>
      <c r="K218" s="235"/>
      <c r="L218" s="425"/>
      <c r="M218" s="425"/>
      <c r="N218" s="425"/>
      <c r="O218" s="425"/>
      <c r="P218" s="425"/>
      <c r="Q218" s="23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</row>
    <row r="219" ht="15.75" customHeight="1">
      <c r="A219" s="425"/>
      <c r="B219" s="425"/>
      <c r="C219" s="425"/>
      <c r="D219" s="425"/>
      <c r="E219" s="235"/>
      <c r="F219" s="425"/>
      <c r="G219" s="425"/>
      <c r="H219" s="425"/>
      <c r="I219" s="425"/>
      <c r="J219" s="425"/>
      <c r="K219" s="235"/>
      <c r="L219" s="425"/>
      <c r="M219" s="425"/>
      <c r="N219" s="425"/>
      <c r="O219" s="425"/>
      <c r="P219" s="425"/>
      <c r="Q219" s="235"/>
      <c r="R219" s="425"/>
      <c r="S219" s="425"/>
      <c r="T219" s="425"/>
      <c r="U219" s="425"/>
      <c r="V219" s="425"/>
      <c r="W219" s="425"/>
      <c r="X219" s="425"/>
      <c r="Y219" s="425"/>
      <c r="Z219" s="425"/>
      <c r="AA219" s="425"/>
      <c r="AB219" s="425"/>
      <c r="AC219" s="425"/>
    </row>
    <row r="220" ht="15.75" customHeight="1">
      <c r="A220" s="425"/>
      <c r="B220" s="425"/>
      <c r="C220" s="425"/>
      <c r="D220" s="425"/>
      <c r="E220" s="235"/>
      <c r="F220" s="425"/>
      <c r="G220" s="425"/>
      <c r="H220" s="425"/>
      <c r="I220" s="425"/>
      <c r="J220" s="425"/>
      <c r="K220" s="235"/>
      <c r="L220" s="425"/>
      <c r="M220" s="425"/>
      <c r="N220" s="425"/>
      <c r="O220" s="425"/>
      <c r="P220" s="425"/>
      <c r="Q220" s="235"/>
      <c r="R220" s="425"/>
      <c r="S220" s="425"/>
      <c r="T220" s="425"/>
      <c r="U220" s="425"/>
      <c r="V220" s="425"/>
      <c r="W220" s="425"/>
      <c r="X220" s="425"/>
      <c r="Y220" s="425"/>
      <c r="Z220" s="425"/>
      <c r="AA220" s="425"/>
      <c r="AB220" s="425"/>
      <c r="AC220" s="425"/>
    </row>
    <row r="221" ht="15.75" customHeight="1">
      <c r="A221" s="425"/>
      <c r="B221" s="425"/>
      <c r="C221" s="425"/>
      <c r="D221" s="425"/>
      <c r="E221" s="235"/>
      <c r="F221" s="425"/>
      <c r="G221" s="425"/>
      <c r="H221" s="425"/>
      <c r="I221" s="425"/>
      <c r="J221" s="425"/>
      <c r="K221" s="235"/>
      <c r="L221" s="425"/>
      <c r="M221" s="425"/>
      <c r="N221" s="425"/>
      <c r="O221" s="425"/>
      <c r="P221" s="425"/>
      <c r="Q221" s="235"/>
      <c r="R221" s="425"/>
      <c r="S221" s="425"/>
      <c r="T221" s="425"/>
      <c r="U221" s="425"/>
      <c r="V221" s="425"/>
      <c r="W221" s="425"/>
      <c r="X221" s="425"/>
      <c r="Y221" s="425"/>
      <c r="Z221" s="425"/>
      <c r="AA221" s="425"/>
      <c r="AB221" s="425"/>
      <c r="AC221" s="425"/>
    </row>
    <row r="222" ht="15.75" customHeight="1">
      <c r="A222" s="425"/>
      <c r="B222" s="425"/>
      <c r="C222" s="425"/>
      <c r="D222" s="425"/>
      <c r="E222" s="235"/>
      <c r="F222" s="425"/>
      <c r="G222" s="425"/>
      <c r="H222" s="425"/>
      <c r="I222" s="425"/>
      <c r="J222" s="425"/>
      <c r="K222" s="235"/>
      <c r="L222" s="425"/>
      <c r="M222" s="425"/>
      <c r="N222" s="425"/>
      <c r="O222" s="425"/>
      <c r="P222" s="425"/>
      <c r="Q222" s="235"/>
      <c r="R222" s="425"/>
      <c r="S222" s="425"/>
      <c r="T222" s="425"/>
      <c r="U222" s="425"/>
      <c r="V222" s="425"/>
      <c r="W222" s="425"/>
      <c r="X222" s="425"/>
      <c r="Y222" s="425"/>
      <c r="Z222" s="425"/>
      <c r="AA222" s="425"/>
      <c r="AB222" s="425"/>
      <c r="AC222" s="425"/>
    </row>
    <row r="223" ht="15.75" customHeight="1">
      <c r="A223" s="425"/>
      <c r="B223" s="425"/>
      <c r="C223" s="425"/>
      <c r="D223" s="425"/>
      <c r="E223" s="235"/>
      <c r="F223" s="425"/>
      <c r="G223" s="425"/>
      <c r="H223" s="425"/>
      <c r="I223" s="425"/>
      <c r="J223" s="425"/>
      <c r="K223" s="235"/>
      <c r="L223" s="425"/>
      <c r="M223" s="425"/>
      <c r="N223" s="425"/>
      <c r="O223" s="425"/>
      <c r="P223" s="425"/>
      <c r="Q223" s="235"/>
      <c r="R223" s="425"/>
      <c r="S223" s="425"/>
      <c r="T223" s="425"/>
      <c r="U223" s="425"/>
      <c r="V223" s="425"/>
      <c r="W223" s="425"/>
      <c r="X223" s="425"/>
      <c r="Y223" s="425"/>
      <c r="Z223" s="425"/>
      <c r="AA223" s="425"/>
      <c r="AB223" s="425"/>
      <c r="AC223" s="425"/>
    </row>
    <row r="224" ht="15.75" customHeight="1">
      <c r="A224" s="425"/>
      <c r="B224" s="425"/>
      <c r="C224" s="425"/>
      <c r="D224" s="425"/>
      <c r="E224" s="235"/>
      <c r="F224" s="425"/>
      <c r="G224" s="425"/>
      <c r="H224" s="425"/>
      <c r="I224" s="425"/>
      <c r="J224" s="425"/>
      <c r="K224" s="235"/>
      <c r="L224" s="425"/>
      <c r="M224" s="425"/>
      <c r="N224" s="425"/>
      <c r="O224" s="425"/>
      <c r="P224" s="425"/>
      <c r="Q224" s="235"/>
      <c r="R224" s="425"/>
      <c r="S224" s="425"/>
      <c r="T224" s="425"/>
      <c r="U224" s="425"/>
      <c r="V224" s="425"/>
      <c r="W224" s="425"/>
      <c r="X224" s="425"/>
      <c r="Y224" s="425"/>
      <c r="Z224" s="425"/>
      <c r="AA224" s="425"/>
      <c r="AB224" s="425"/>
      <c r="AC224" s="425"/>
    </row>
    <row r="225" ht="15.75" customHeight="1">
      <c r="A225" s="425"/>
      <c r="B225" s="425"/>
      <c r="C225" s="425"/>
      <c r="D225" s="425"/>
      <c r="E225" s="235"/>
      <c r="F225" s="425"/>
      <c r="G225" s="425"/>
      <c r="H225" s="425"/>
      <c r="I225" s="425"/>
      <c r="J225" s="425"/>
      <c r="K225" s="235"/>
      <c r="L225" s="425"/>
      <c r="M225" s="425"/>
      <c r="N225" s="425"/>
      <c r="O225" s="425"/>
      <c r="P225" s="425"/>
      <c r="Q225" s="235"/>
      <c r="R225" s="425"/>
      <c r="S225" s="425"/>
      <c r="T225" s="425"/>
      <c r="U225" s="425"/>
      <c r="V225" s="425"/>
      <c r="W225" s="425"/>
      <c r="X225" s="425"/>
      <c r="Y225" s="425"/>
      <c r="Z225" s="425"/>
      <c r="AA225" s="425"/>
      <c r="AB225" s="425"/>
      <c r="AC225" s="425"/>
    </row>
    <row r="226" ht="15.75" customHeight="1">
      <c r="A226" s="425"/>
      <c r="B226" s="425"/>
      <c r="C226" s="425"/>
      <c r="D226" s="425"/>
      <c r="E226" s="235"/>
      <c r="F226" s="425"/>
      <c r="G226" s="425"/>
      <c r="H226" s="425"/>
      <c r="I226" s="425"/>
      <c r="J226" s="425"/>
      <c r="K226" s="235"/>
      <c r="L226" s="425"/>
      <c r="M226" s="425"/>
      <c r="N226" s="425"/>
      <c r="O226" s="425"/>
      <c r="P226" s="425"/>
      <c r="Q226" s="235"/>
      <c r="R226" s="425"/>
      <c r="S226" s="425"/>
      <c r="T226" s="425"/>
      <c r="U226" s="425"/>
      <c r="V226" s="425"/>
      <c r="W226" s="425"/>
      <c r="X226" s="425"/>
      <c r="Y226" s="425"/>
      <c r="Z226" s="425"/>
      <c r="AA226" s="425"/>
      <c r="AB226" s="425"/>
      <c r="AC226" s="425"/>
    </row>
    <row r="227" ht="15.75" customHeight="1">
      <c r="A227" s="425"/>
      <c r="B227" s="425"/>
      <c r="C227" s="425"/>
      <c r="D227" s="425"/>
      <c r="E227" s="235"/>
      <c r="F227" s="425"/>
      <c r="G227" s="425"/>
      <c r="H227" s="425"/>
      <c r="I227" s="425"/>
      <c r="J227" s="425"/>
      <c r="K227" s="235"/>
      <c r="L227" s="425"/>
      <c r="M227" s="425"/>
      <c r="N227" s="425"/>
      <c r="O227" s="425"/>
      <c r="P227" s="425"/>
      <c r="Q227" s="235"/>
      <c r="R227" s="425"/>
      <c r="S227" s="425"/>
      <c r="T227" s="425"/>
      <c r="U227" s="425"/>
      <c r="V227" s="425"/>
      <c r="W227" s="425"/>
      <c r="X227" s="425"/>
      <c r="Y227" s="425"/>
      <c r="Z227" s="425"/>
      <c r="AA227" s="425"/>
      <c r="AB227" s="425"/>
      <c r="AC227" s="425"/>
    </row>
    <row r="228" ht="15.75" customHeight="1">
      <c r="A228" s="425"/>
      <c r="B228" s="425"/>
      <c r="C228" s="425"/>
      <c r="D228" s="425"/>
      <c r="E228" s="235"/>
      <c r="F228" s="425"/>
      <c r="G228" s="425"/>
      <c r="H228" s="425"/>
      <c r="I228" s="425"/>
      <c r="J228" s="425"/>
      <c r="K228" s="235"/>
      <c r="L228" s="425"/>
      <c r="M228" s="425"/>
      <c r="N228" s="425"/>
      <c r="O228" s="425"/>
      <c r="P228" s="425"/>
      <c r="Q228" s="235"/>
      <c r="R228" s="425"/>
      <c r="S228" s="425"/>
      <c r="T228" s="425"/>
      <c r="U228" s="425"/>
      <c r="V228" s="425"/>
      <c r="W228" s="425"/>
      <c r="X228" s="425"/>
      <c r="Y228" s="425"/>
      <c r="Z228" s="425"/>
      <c r="AA228" s="425"/>
      <c r="AB228" s="425"/>
      <c r="AC228" s="425"/>
    </row>
    <row r="229" ht="15.75" customHeight="1">
      <c r="A229" s="425"/>
      <c r="B229" s="425"/>
      <c r="C229" s="425"/>
      <c r="D229" s="425"/>
      <c r="E229" s="235"/>
      <c r="F229" s="425"/>
      <c r="G229" s="425"/>
      <c r="H229" s="425"/>
      <c r="I229" s="425"/>
      <c r="J229" s="425"/>
      <c r="K229" s="235"/>
      <c r="L229" s="425"/>
      <c r="M229" s="425"/>
      <c r="N229" s="425"/>
      <c r="O229" s="425"/>
      <c r="P229" s="425"/>
      <c r="Q229" s="235"/>
      <c r="R229" s="425"/>
      <c r="S229" s="425"/>
      <c r="T229" s="425"/>
      <c r="U229" s="425"/>
      <c r="V229" s="425"/>
      <c r="W229" s="425"/>
      <c r="X229" s="425"/>
      <c r="Y229" s="425"/>
      <c r="Z229" s="425"/>
      <c r="AA229" s="425"/>
      <c r="AB229" s="425"/>
      <c r="AC229" s="425"/>
    </row>
    <row r="230" ht="15.75" customHeight="1">
      <c r="A230" s="425"/>
      <c r="B230" s="425"/>
      <c r="C230" s="425"/>
      <c r="D230" s="425"/>
      <c r="E230" s="235"/>
      <c r="F230" s="425"/>
      <c r="G230" s="425"/>
      <c r="H230" s="425"/>
      <c r="I230" s="425"/>
      <c r="J230" s="425"/>
      <c r="K230" s="235"/>
      <c r="L230" s="425"/>
      <c r="M230" s="425"/>
      <c r="N230" s="425"/>
      <c r="O230" s="425"/>
      <c r="P230" s="425"/>
      <c r="Q230" s="235"/>
      <c r="R230" s="425"/>
      <c r="S230" s="425"/>
      <c r="T230" s="425"/>
      <c r="U230" s="425"/>
      <c r="V230" s="425"/>
      <c r="W230" s="425"/>
      <c r="X230" s="425"/>
      <c r="Y230" s="425"/>
      <c r="Z230" s="425"/>
      <c r="AA230" s="425"/>
      <c r="AB230" s="425"/>
      <c r="AC230" s="425"/>
    </row>
    <row r="231" ht="15.75" customHeight="1">
      <c r="A231" s="425"/>
      <c r="B231" s="425"/>
      <c r="C231" s="425"/>
      <c r="D231" s="425"/>
      <c r="E231" s="235"/>
      <c r="F231" s="425"/>
      <c r="G231" s="425"/>
      <c r="H231" s="425"/>
      <c r="I231" s="425"/>
      <c r="J231" s="425"/>
      <c r="K231" s="235"/>
      <c r="L231" s="425"/>
      <c r="M231" s="425"/>
      <c r="N231" s="425"/>
      <c r="O231" s="425"/>
      <c r="P231" s="425"/>
      <c r="Q231" s="235"/>
      <c r="R231" s="425"/>
      <c r="S231" s="425"/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</row>
    <row r="232" ht="15.75" customHeight="1">
      <c r="A232" s="425"/>
      <c r="B232" s="425"/>
      <c r="C232" s="425"/>
      <c r="D232" s="425"/>
      <c r="E232" s="235"/>
      <c r="F232" s="425"/>
      <c r="G232" s="425"/>
      <c r="H232" s="425"/>
      <c r="I232" s="425"/>
      <c r="J232" s="425"/>
      <c r="K232" s="235"/>
      <c r="L232" s="425"/>
      <c r="M232" s="425"/>
      <c r="N232" s="425"/>
      <c r="O232" s="425"/>
      <c r="P232" s="425"/>
      <c r="Q232" s="235"/>
      <c r="R232" s="425"/>
      <c r="S232" s="425"/>
      <c r="T232" s="425"/>
      <c r="U232" s="425"/>
      <c r="V232" s="425"/>
      <c r="W232" s="425"/>
      <c r="X232" s="425"/>
      <c r="Y232" s="425"/>
      <c r="Z232" s="425"/>
      <c r="AA232" s="425"/>
      <c r="AB232" s="425"/>
      <c r="AC232" s="425"/>
    </row>
    <row r="233" ht="15.75" customHeight="1">
      <c r="A233" s="425"/>
      <c r="B233" s="425"/>
      <c r="C233" s="425"/>
      <c r="D233" s="425"/>
      <c r="E233" s="235"/>
      <c r="F233" s="425"/>
      <c r="G233" s="425"/>
      <c r="H233" s="425"/>
      <c r="I233" s="425"/>
      <c r="J233" s="425"/>
      <c r="K233" s="235"/>
      <c r="L233" s="425"/>
      <c r="M233" s="425"/>
      <c r="N233" s="425"/>
      <c r="O233" s="425"/>
      <c r="P233" s="425"/>
      <c r="Q233" s="235"/>
      <c r="R233" s="425"/>
      <c r="S233" s="425"/>
      <c r="T233" s="425"/>
      <c r="U233" s="425"/>
      <c r="V233" s="425"/>
      <c r="W233" s="425"/>
      <c r="X233" s="425"/>
      <c r="Y233" s="425"/>
      <c r="Z233" s="425"/>
      <c r="AA233" s="425"/>
      <c r="AB233" s="425"/>
      <c r="AC233" s="425"/>
    </row>
    <row r="234" ht="15.75" customHeight="1">
      <c r="A234" s="425"/>
      <c r="B234" s="425"/>
      <c r="C234" s="425"/>
      <c r="D234" s="425"/>
      <c r="E234" s="235"/>
      <c r="F234" s="425"/>
      <c r="G234" s="425"/>
      <c r="H234" s="425"/>
      <c r="I234" s="425"/>
      <c r="J234" s="425"/>
      <c r="K234" s="235"/>
      <c r="L234" s="425"/>
      <c r="M234" s="425"/>
      <c r="N234" s="425"/>
      <c r="O234" s="425"/>
      <c r="P234" s="425"/>
      <c r="Q234" s="235"/>
      <c r="R234" s="425"/>
      <c r="S234" s="425"/>
      <c r="T234" s="425"/>
      <c r="U234" s="425"/>
      <c r="V234" s="425"/>
      <c r="W234" s="425"/>
      <c r="X234" s="425"/>
      <c r="Y234" s="425"/>
      <c r="Z234" s="425"/>
      <c r="AA234" s="425"/>
      <c r="AB234" s="425"/>
      <c r="AC234" s="425"/>
    </row>
    <row r="235" ht="15.75" customHeight="1">
      <c r="A235" s="425"/>
      <c r="B235" s="425"/>
      <c r="C235" s="425"/>
      <c r="D235" s="425"/>
      <c r="E235" s="235"/>
      <c r="F235" s="425"/>
      <c r="G235" s="425"/>
      <c r="H235" s="425"/>
      <c r="I235" s="425"/>
      <c r="J235" s="425"/>
      <c r="K235" s="235"/>
      <c r="L235" s="425"/>
      <c r="M235" s="425"/>
      <c r="N235" s="425"/>
      <c r="O235" s="425"/>
      <c r="P235" s="425"/>
      <c r="Q235" s="235"/>
      <c r="R235" s="425"/>
      <c r="S235" s="425"/>
      <c r="T235" s="425"/>
      <c r="U235" s="425"/>
      <c r="V235" s="425"/>
      <c r="W235" s="425"/>
      <c r="X235" s="425"/>
      <c r="Y235" s="425"/>
      <c r="Z235" s="425"/>
      <c r="AA235" s="425"/>
      <c r="AB235" s="425"/>
      <c r="AC235" s="425"/>
    </row>
    <row r="236" ht="15.75" customHeight="1">
      <c r="A236" s="425"/>
      <c r="B236" s="425"/>
      <c r="C236" s="425"/>
      <c r="D236" s="425"/>
      <c r="E236" s="235"/>
      <c r="F236" s="425"/>
      <c r="G236" s="425"/>
      <c r="H236" s="425"/>
      <c r="I236" s="425"/>
      <c r="J236" s="425"/>
      <c r="K236" s="235"/>
      <c r="L236" s="425"/>
      <c r="M236" s="425"/>
      <c r="N236" s="425"/>
      <c r="O236" s="425"/>
      <c r="P236" s="425"/>
      <c r="Q236" s="235"/>
      <c r="R236" s="425"/>
      <c r="S236" s="425"/>
      <c r="T236" s="425"/>
      <c r="U236" s="425"/>
      <c r="V236" s="425"/>
      <c r="W236" s="425"/>
      <c r="X236" s="425"/>
      <c r="Y236" s="425"/>
      <c r="Z236" s="425"/>
      <c r="AA236" s="425"/>
      <c r="AB236" s="425"/>
      <c r="AC236" s="425"/>
    </row>
    <row r="237" ht="15.75" customHeight="1">
      <c r="A237" s="425"/>
      <c r="B237" s="425"/>
      <c r="C237" s="425"/>
      <c r="D237" s="425"/>
      <c r="E237" s="235"/>
      <c r="F237" s="425"/>
      <c r="G237" s="425"/>
      <c r="H237" s="425"/>
      <c r="I237" s="425"/>
      <c r="J237" s="425"/>
      <c r="K237" s="235"/>
      <c r="L237" s="425"/>
      <c r="M237" s="425"/>
      <c r="N237" s="425"/>
      <c r="O237" s="425"/>
      <c r="P237" s="425"/>
      <c r="Q237" s="235"/>
      <c r="R237" s="425"/>
      <c r="S237" s="425"/>
      <c r="T237" s="425"/>
      <c r="U237" s="425"/>
      <c r="V237" s="425"/>
      <c r="W237" s="425"/>
      <c r="X237" s="425"/>
      <c r="Y237" s="425"/>
      <c r="Z237" s="425"/>
      <c r="AA237" s="425"/>
      <c r="AB237" s="425"/>
      <c r="AC237" s="425"/>
    </row>
    <row r="238" ht="15.75" customHeight="1">
      <c r="A238" s="425"/>
      <c r="B238" s="425"/>
      <c r="C238" s="425"/>
      <c r="D238" s="425"/>
      <c r="E238" s="235"/>
      <c r="F238" s="425"/>
      <c r="G238" s="425"/>
      <c r="H238" s="425"/>
      <c r="I238" s="425"/>
      <c r="J238" s="425"/>
      <c r="K238" s="235"/>
      <c r="L238" s="425"/>
      <c r="M238" s="425"/>
      <c r="N238" s="425"/>
      <c r="O238" s="425"/>
      <c r="P238" s="425"/>
      <c r="Q238" s="235"/>
      <c r="R238" s="425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5"/>
      <c r="AC238" s="425"/>
    </row>
    <row r="239" ht="15.75" customHeight="1">
      <c r="A239" s="425"/>
      <c r="B239" s="425"/>
      <c r="C239" s="425"/>
      <c r="D239" s="425"/>
      <c r="E239" s="235"/>
      <c r="F239" s="425"/>
      <c r="G239" s="425"/>
      <c r="H239" s="425"/>
      <c r="I239" s="425"/>
      <c r="J239" s="425"/>
      <c r="K239" s="235"/>
      <c r="L239" s="425"/>
      <c r="M239" s="425"/>
      <c r="N239" s="425"/>
      <c r="O239" s="425"/>
      <c r="P239" s="425"/>
      <c r="Q239" s="235"/>
      <c r="R239" s="425"/>
      <c r="S239" s="425"/>
      <c r="T239" s="425"/>
      <c r="U239" s="425"/>
      <c r="V239" s="425"/>
      <c r="W239" s="425"/>
      <c r="X239" s="425"/>
      <c r="Y239" s="425"/>
      <c r="Z239" s="425"/>
      <c r="AA239" s="425"/>
      <c r="AB239" s="425"/>
      <c r="AC239" s="425"/>
    </row>
    <row r="240" ht="15.75" customHeight="1">
      <c r="A240" s="425"/>
      <c r="B240" s="425"/>
      <c r="C240" s="425"/>
      <c r="D240" s="425"/>
      <c r="E240" s="235"/>
      <c r="F240" s="425"/>
      <c r="G240" s="425"/>
      <c r="H240" s="425"/>
      <c r="I240" s="425"/>
      <c r="J240" s="425"/>
      <c r="K240" s="235"/>
      <c r="L240" s="425"/>
      <c r="M240" s="425"/>
      <c r="N240" s="425"/>
      <c r="O240" s="425"/>
      <c r="P240" s="425"/>
      <c r="Q240" s="235"/>
      <c r="R240" s="425"/>
      <c r="S240" s="425"/>
      <c r="T240" s="425"/>
      <c r="U240" s="425"/>
      <c r="V240" s="425"/>
      <c r="W240" s="425"/>
      <c r="X240" s="425"/>
      <c r="Y240" s="425"/>
      <c r="Z240" s="425"/>
      <c r="AA240" s="425"/>
      <c r="AB240" s="425"/>
      <c r="AC240" s="425"/>
    </row>
    <row r="241" ht="15.75" customHeight="1">
      <c r="A241" s="425"/>
      <c r="B241" s="425"/>
      <c r="C241" s="425"/>
      <c r="D241" s="425"/>
      <c r="E241" s="235"/>
      <c r="F241" s="425"/>
      <c r="G241" s="425"/>
      <c r="H241" s="425"/>
      <c r="I241" s="425"/>
      <c r="J241" s="425"/>
      <c r="K241" s="235"/>
      <c r="L241" s="425"/>
      <c r="M241" s="425"/>
      <c r="N241" s="425"/>
      <c r="O241" s="425"/>
      <c r="P241" s="425"/>
      <c r="Q241" s="235"/>
      <c r="R241" s="425"/>
      <c r="S241" s="425"/>
      <c r="T241" s="425"/>
      <c r="U241" s="425"/>
      <c r="V241" s="425"/>
      <c r="W241" s="425"/>
      <c r="X241" s="425"/>
      <c r="Y241" s="425"/>
      <c r="Z241" s="425"/>
      <c r="AA241" s="425"/>
      <c r="AB241" s="425"/>
      <c r="AC241" s="425"/>
    </row>
    <row r="242" ht="15.75" customHeight="1">
      <c r="A242" s="425"/>
      <c r="B242" s="425"/>
      <c r="C242" s="425"/>
      <c r="D242" s="425"/>
      <c r="E242" s="235"/>
      <c r="F242" s="425"/>
      <c r="G242" s="425"/>
      <c r="H242" s="425"/>
      <c r="I242" s="425"/>
      <c r="J242" s="425"/>
      <c r="K242" s="235"/>
      <c r="L242" s="425"/>
      <c r="M242" s="425"/>
      <c r="N242" s="425"/>
      <c r="O242" s="425"/>
      <c r="P242" s="425"/>
      <c r="Q242" s="235"/>
      <c r="R242" s="425"/>
      <c r="S242" s="425"/>
      <c r="T242" s="425"/>
      <c r="U242" s="425"/>
      <c r="V242" s="425"/>
      <c r="W242" s="425"/>
      <c r="X242" s="425"/>
      <c r="Y242" s="425"/>
      <c r="Z242" s="425"/>
      <c r="AA242" s="425"/>
      <c r="AB242" s="425"/>
      <c r="AC242" s="425"/>
    </row>
    <row r="243" ht="15.75" customHeight="1">
      <c r="A243" s="425"/>
      <c r="B243" s="425"/>
      <c r="C243" s="425"/>
      <c r="D243" s="425"/>
      <c r="E243" s="235"/>
      <c r="F243" s="425"/>
      <c r="G243" s="425"/>
      <c r="H243" s="425"/>
      <c r="I243" s="425"/>
      <c r="J243" s="425"/>
      <c r="K243" s="235"/>
      <c r="L243" s="425"/>
      <c r="M243" s="425"/>
      <c r="N243" s="425"/>
      <c r="O243" s="425"/>
      <c r="P243" s="425"/>
      <c r="Q243" s="235"/>
      <c r="R243" s="425"/>
      <c r="S243" s="425"/>
      <c r="T243" s="425"/>
      <c r="U243" s="425"/>
      <c r="V243" s="425"/>
      <c r="W243" s="425"/>
      <c r="X243" s="425"/>
      <c r="Y243" s="425"/>
      <c r="Z243" s="425"/>
      <c r="AA243" s="425"/>
      <c r="AB243" s="425"/>
      <c r="AC243" s="425"/>
    </row>
    <row r="244" ht="15.75" customHeight="1">
      <c r="A244" s="425"/>
      <c r="B244" s="425"/>
      <c r="C244" s="425"/>
      <c r="D244" s="425"/>
      <c r="E244" s="235"/>
      <c r="F244" s="425"/>
      <c r="G244" s="425"/>
      <c r="H244" s="425"/>
      <c r="I244" s="425"/>
      <c r="J244" s="425"/>
      <c r="K244" s="235"/>
      <c r="L244" s="425"/>
      <c r="M244" s="425"/>
      <c r="N244" s="425"/>
      <c r="O244" s="425"/>
      <c r="P244" s="425"/>
      <c r="Q244" s="235"/>
      <c r="R244" s="425"/>
      <c r="S244" s="425"/>
      <c r="T244" s="425"/>
      <c r="U244" s="425"/>
      <c r="V244" s="425"/>
      <c r="W244" s="425"/>
      <c r="X244" s="425"/>
      <c r="Y244" s="425"/>
      <c r="Z244" s="425"/>
      <c r="AA244" s="425"/>
      <c r="AB244" s="425"/>
      <c r="AC244" s="425"/>
    </row>
    <row r="245" ht="15.75" customHeight="1">
      <c r="A245" s="425"/>
      <c r="B245" s="425"/>
      <c r="C245" s="425"/>
      <c r="D245" s="425"/>
      <c r="E245" s="235"/>
      <c r="F245" s="425"/>
      <c r="G245" s="425"/>
      <c r="H245" s="425"/>
      <c r="I245" s="425"/>
      <c r="J245" s="425"/>
      <c r="K245" s="235"/>
      <c r="L245" s="425"/>
      <c r="M245" s="425"/>
      <c r="N245" s="425"/>
      <c r="O245" s="425"/>
      <c r="P245" s="425"/>
      <c r="Q245" s="235"/>
      <c r="R245" s="425"/>
      <c r="S245" s="425"/>
      <c r="T245" s="425"/>
      <c r="U245" s="425"/>
      <c r="V245" s="425"/>
      <c r="W245" s="425"/>
      <c r="X245" s="425"/>
      <c r="Y245" s="425"/>
      <c r="Z245" s="425"/>
      <c r="AA245" s="425"/>
      <c r="AB245" s="425"/>
      <c r="AC245" s="425"/>
    </row>
    <row r="246" ht="15.75" customHeight="1">
      <c r="A246" s="425"/>
      <c r="B246" s="425"/>
      <c r="C246" s="425"/>
      <c r="D246" s="425"/>
      <c r="E246" s="235"/>
      <c r="F246" s="425"/>
      <c r="G246" s="425"/>
      <c r="H246" s="425"/>
      <c r="I246" s="425"/>
      <c r="J246" s="425"/>
      <c r="K246" s="235"/>
      <c r="L246" s="425"/>
      <c r="M246" s="425"/>
      <c r="N246" s="425"/>
      <c r="O246" s="425"/>
      <c r="P246" s="425"/>
      <c r="Q246" s="235"/>
      <c r="R246" s="425"/>
      <c r="S246" s="425"/>
      <c r="T246" s="425"/>
      <c r="U246" s="425"/>
      <c r="V246" s="425"/>
      <c r="W246" s="425"/>
      <c r="X246" s="425"/>
      <c r="Y246" s="425"/>
      <c r="Z246" s="425"/>
      <c r="AA246" s="425"/>
      <c r="AB246" s="425"/>
      <c r="AC246" s="425"/>
    </row>
    <row r="247" ht="15.75" customHeight="1">
      <c r="A247" s="425"/>
      <c r="B247" s="425"/>
      <c r="C247" s="425"/>
      <c r="D247" s="425"/>
      <c r="E247" s="235"/>
      <c r="F247" s="425"/>
      <c r="G247" s="425"/>
      <c r="H247" s="425"/>
      <c r="I247" s="425"/>
      <c r="J247" s="425"/>
      <c r="K247" s="235"/>
      <c r="L247" s="425"/>
      <c r="M247" s="425"/>
      <c r="N247" s="425"/>
      <c r="O247" s="425"/>
      <c r="P247" s="425"/>
      <c r="Q247" s="235"/>
      <c r="R247" s="425"/>
      <c r="S247" s="425"/>
      <c r="T247" s="425"/>
      <c r="U247" s="425"/>
      <c r="V247" s="425"/>
      <c r="W247" s="425"/>
      <c r="X247" s="425"/>
      <c r="Y247" s="425"/>
      <c r="Z247" s="425"/>
      <c r="AA247" s="425"/>
      <c r="AB247" s="425"/>
      <c r="AC247" s="425"/>
    </row>
    <row r="248" ht="15.75" customHeight="1">
      <c r="A248" s="425"/>
      <c r="B248" s="425"/>
      <c r="C248" s="425"/>
      <c r="D248" s="425"/>
      <c r="E248" s="235"/>
      <c r="F248" s="425"/>
      <c r="G248" s="425"/>
      <c r="H248" s="425"/>
      <c r="I248" s="425"/>
      <c r="J248" s="425"/>
      <c r="K248" s="235"/>
      <c r="L248" s="425"/>
      <c r="M248" s="425"/>
      <c r="N248" s="425"/>
      <c r="O248" s="425"/>
      <c r="P248" s="425"/>
      <c r="Q248" s="235"/>
      <c r="R248" s="425"/>
      <c r="S248" s="425"/>
      <c r="T248" s="425"/>
      <c r="U248" s="425"/>
      <c r="V248" s="425"/>
      <c r="W248" s="425"/>
      <c r="X248" s="425"/>
      <c r="Y248" s="425"/>
      <c r="Z248" s="425"/>
      <c r="AA248" s="425"/>
      <c r="AB248" s="425"/>
      <c r="AC248" s="425"/>
    </row>
    <row r="249" ht="15.75" customHeight="1">
      <c r="A249" s="425"/>
      <c r="B249" s="425"/>
      <c r="C249" s="425"/>
      <c r="D249" s="425"/>
      <c r="E249" s="235"/>
      <c r="F249" s="425"/>
      <c r="G249" s="425"/>
      <c r="H249" s="425"/>
      <c r="I249" s="425"/>
      <c r="J249" s="425"/>
      <c r="K249" s="235"/>
      <c r="L249" s="425"/>
      <c r="M249" s="425"/>
      <c r="N249" s="425"/>
      <c r="O249" s="425"/>
      <c r="P249" s="425"/>
      <c r="Q249" s="235"/>
      <c r="R249" s="425"/>
      <c r="S249" s="425"/>
      <c r="T249" s="425"/>
      <c r="U249" s="425"/>
      <c r="V249" s="425"/>
      <c r="W249" s="425"/>
      <c r="X249" s="425"/>
      <c r="Y249" s="425"/>
      <c r="Z249" s="425"/>
      <c r="AA249" s="425"/>
      <c r="AB249" s="425"/>
      <c r="AC249" s="425"/>
    </row>
    <row r="250" ht="15.75" customHeight="1">
      <c r="A250" s="425"/>
      <c r="B250" s="425"/>
      <c r="C250" s="425"/>
      <c r="D250" s="425"/>
      <c r="E250" s="235"/>
      <c r="F250" s="425"/>
      <c r="G250" s="425"/>
      <c r="H250" s="425"/>
      <c r="I250" s="425"/>
      <c r="J250" s="425"/>
      <c r="K250" s="235"/>
      <c r="L250" s="425"/>
      <c r="M250" s="425"/>
      <c r="N250" s="425"/>
      <c r="O250" s="425"/>
      <c r="P250" s="425"/>
      <c r="Q250" s="235"/>
      <c r="R250" s="425"/>
      <c r="S250" s="425"/>
      <c r="T250" s="425"/>
      <c r="U250" s="425"/>
      <c r="V250" s="425"/>
      <c r="W250" s="425"/>
      <c r="X250" s="425"/>
      <c r="Y250" s="425"/>
      <c r="Z250" s="425"/>
      <c r="AA250" s="425"/>
      <c r="AB250" s="425"/>
      <c r="AC250" s="425"/>
    </row>
    <row r="251" ht="15.75" customHeight="1">
      <c r="A251" s="425"/>
      <c r="B251" s="425"/>
      <c r="C251" s="425"/>
      <c r="D251" s="425"/>
      <c r="E251" s="235"/>
      <c r="F251" s="425"/>
      <c r="G251" s="425"/>
      <c r="H251" s="425"/>
      <c r="I251" s="425"/>
      <c r="J251" s="425"/>
      <c r="K251" s="235"/>
      <c r="L251" s="425"/>
      <c r="M251" s="425"/>
      <c r="N251" s="425"/>
      <c r="O251" s="425"/>
      <c r="P251" s="425"/>
      <c r="Q251" s="235"/>
      <c r="R251" s="425"/>
      <c r="S251" s="425"/>
      <c r="T251" s="425"/>
      <c r="U251" s="425"/>
      <c r="V251" s="425"/>
      <c r="W251" s="425"/>
      <c r="X251" s="425"/>
      <c r="Y251" s="425"/>
      <c r="Z251" s="425"/>
      <c r="AA251" s="425"/>
      <c r="AB251" s="425"/>
      <c r="AC251" s="425"/>
    </row>
    <row r="252" ht="15.75" customHeight="1">
      <c r="A252" s="425"/>
      <c r="B252" s="425"/>
      <c r="C252" s="425"/>
      <c r="D252" s="425"/>
      <c r="E252" s="235"/>
      <c r="F252" s="425"/>
      <c r="G252" s="425"/>
      <c r="H252" s="425"/>
      <c r="I252" s="425"/>
      <c r="J252" s="425"/>
      <c r="K252" s="235"/>
      <c r="L252" s="425"/>
      <c r="M252" s="425"/>
      <c r="N252" s="425"/>
      <c r="O252" s="425"/>
      <c r="P252" s="425"/>
      <c r="Q252" s="235"/>
      <c r="R252" s="425"/>
      <c r="S252" s="425"/>
      <c r="T252" s="425"/>
      <c r="U252" s="425"/>
      <c r="V252" s="425"/>
      <c r="W252" s="425"/>
      <c r="X252" s="425"/>
      <c r="Y252" s="425"/>
      <c r="Z252" s="425"/>
      <c r="AA252" s="425"/>
      <c r="AB252" s="425"/>
      <c r="AC252" s="425"/>
    </row>
    <row r="253" ht="15.75" customHeight="1">
      <c r="A253" s="425"/>
      <c r="B253" s="425"/>
      <c r="C253" s="425"/>
      <c r="D253" s="425"/>
      <c r="E253" s="235"/>
      <c r="F253" s="425"/>
      <c r="G253" s="425"/>
      <c r="H253" s="425"/>
      <c r="I253" s="425"/>
      <c r="J253" s="425"/>
      <c r="K253" s="235"/>
      <c r="L253" s="425"/>
      <c r="M253" s="425"/>
      <c r="N253" s="425"/>
      <c r="O253" s="425"/>
      <c r="P253" s="425"/>
      <c r="Q253" s="235"/>
      <c r="R253" s="425"/>
      <c r="S253" s="425"/>
      <c r="T253" s="425"/>
      <c r="U253" s="425"/>
      <c r="V253" s="425"/>
      <c r="W253" s="425"/>
      <c r="X253" s="425"/>
      <c r="Y253" s="425"/>
      <c r="Z253" s="425"/>
      <c r="AA253" s="425"/>
      <c r="AB253" s="425"/>
      <c r="AC253" s="425"/>
    </row>
    <row r="254" ht="15.75" customHeight="1">
      <c r="A254" s="425"/>
      <c r="B254" s="425"/>
      <c r="C254" s="425"/>
      <c r="D254" s="425"/>
      <c r="E254" s="235"/>
      <c r="F254" s="425"/>
      <c r="G254" s="425"/>
      <c r="H254" s="425"/>
      <c r="I254" s="425"/>
      <c r="J254" s="425"/>
      <c r="K254" s="235"/>
      <c r="L254" s="425"/>
      <c r="M254" s="425"/>
      <c r="N254" s="425"/>
      <c r="O254" s="425"/>
      <c r="P254" s="425"/>
      <c r="Q254" s="235"/>
      <c r="R254" s="425"/>
      <c r="S254" s="425"/>
      <c r="T254" s="425"/>
      <c r="U254" s="425"/>
      <c r="V254" s="425"/>
      <c r="W254" s="425"/>
      <c r="X254" s="425"/>
      <c r="Y254" s="425"/>
      <c r="Z254" s="425"/>
      <c r="AA254" s="425"/>
      <c r="AB254" s="425"/>
      <c r="AC254" s="425"/>
    </row>
    <row r="255" ht="15.75" customHeight="1">
      <c r="A255" s="425"/>
      <c r="B255" s="425"/>
      <c r="C255" s="425"/>
      <c r="D255" s="425"/>
      <c r="E255" s="235"/>
      <c r="F255" s="425"/>
      <c r="G255" s="425"/>
      <c r="H255" s="425"/>
      <c r="I255" s="425"/>
      <c r="J255" s="425"/>
      <c r="K255" s="235"/>
      <c r="L255" s="425"/>
      <c r="M255" s="425"/>
      <c r="N255" s="425"/>
      <c r="O255" s="425"/>
      <c r="P255" s="425"/>
      <c r="Q255" s="235"/>
      <c r="R255" s="425"/>
      <c r="S255" s="425"/>
      <c r="T255" s="425"/>
      <c r="U255" s="425"/>
      <c r="V255" s="425"/>
      <c r="W255" s="425"/>
      <c r="X255" s="425"/>
      <c r="Y255" s="425"/>
      <c r="Z255" s="425"/>
      <c r="AA255" s="425"/>
      <c r="AB255" s="425"/>
      <c r="AC255" s="425"/>
    </row>
    <row r="256" ht="15.75" customHeight="1">
      <c r="A256" s="425"/>
      <c r="B256" s="425"/>
      <c r="C256" s="425"/>
      <c r="D256" s="425"/>
      <c r="E256" s="235"/>
      <c r="F256" s="425"/>
      <c r="G256" s="425"/>
      <c r="H256" s="425"/>
      <c r="I256" s="425"/>
      <c r="J256" s="425"/>
      <c r="K256" s="235"/>
      <c r="L256" s="425"/>
      <c r="M256" s="425"/>
      <c r="N256" s="425"/>
      <c r="O256" s="425"/>
      <c r="P256" s="425"/>
      <c r="Q256" s="235"/>
      <c r="R256" s="425"/>
      <c r="S256" s="425"/>
      <c r="T256" s="425"/>
      <c r="U256" s="425"/>
      <c r="V256" s="425"/>
      <c r="W256" s="425"/>
      <c r="X256" s="425"/>
      <c r="Y256" s="425"/>
      <c r="Z256" s="425"/>
      <c r="AA256" s="425"/>
      <c r="AB256" s="425"/>
      <c r="AC256" s="425"/>
    </row>
    <row r="257" ht="15.75" customHeight="1">
      <c r="A257" s="425"/>
      <c r="B257" s="425"/>
      <c r="C257" s="425"/>
      <c r="D257" s="425"/>
      <c r="E257" s="235"/>
      <c r="F257" s="425"/>
      <c r="G257" s="425"/>
      <c r="H257" s="425"/>
      <c r="I257" s="425"/>
      <c r="J257" s="425"/>
      <c r="K257" s="235"/>
      <c r="L257" s="425"/>
      <c r="M257" s="425"/>
      <c r="N257" s="425"/>
      <c r="O257" s="425"/>
      <c r="P257" s="425"/>
      <c r="Q257" s="235"/>
      <c r="R257" s="425"/>
      <c r="S257" s="425"/>
      <c r="T257" s="425"/>
      <c r="U257" s="425"/>
      <c r="V257" s="425"/>
      <c r="W257" s="425"/>
      <c r="X257" s="425"/>
      <c r="Y257" s="425"/>
      <c r="Z257" s="425"/>
      <c r="AA257" s="425"/>
      <c r="AB257" s="425"/>
      <c r="AC257" s="425"/>
    </row>
    <row r="258" ht="15.75" customHeight="1">
      <c r="A258" s="425"/>
      <c r="B258" s="425"/>
      <c r="C258" s="425"/>
      <c r="D258" s="425"/>
      <c r="E258" s="235"/>
      <c r="F258" s="425"/>
      <c r="G258" s="425"/>
      <c r="H258" s="425"/>
      <c r="I258" s="425"/>
      <c r="J258" s="425"/>
      <c r="K258" s="235"/>
      <c r="L258" s="425"/>
      <c r="M258" s="425"/>
      <c r="N258" s="425"/>
      <c r="O258" s="425"/>
      <c r="P258" s="425"/>
      <c r="Q258" s="235"/>
      <c r="R258" s="425"/>
      <c r="S258" s="425"/>
      <c r="T258" s="425"/>
      <c r="U258" s="425"/>
      <c r="V258" s="425"/>
      <c r="W258" s="425"/>
      <c r="X258" s="425"/>
      <c r="Y258" s="425"/>
      <c r="Z258" s="425"/>
      <c r="AA258" s="425"/>
      <c r="AB258" s="425"/>
      <c r="AC258" s="425"/>
    </row>
    <row r="259" ht="15.75" customHeight="1">
      <c r="A259" s="425"/>
      <c r="B259" s="425"/>
      <c r="C259" s="425"/>
      <c r="D259" s="425"/>
      <c r="E259" s="235"/>
      <c r="F259" s="425"/>
      <c r="G259" s="425"/>
      <c r="H259" s="425"/>
      <c r="I259" s="425"/>
      <c r="J259" s="425"/>
      <c r="K259" s="235"/>
      <c r="L259" s="425"/>
      <c r="M259" s="425"/>
      <c r="N259" s="425"/>
      <c r="O259" s="425"/>
      <c r="P259" s="425"/>
      <c r="Q259" s="235"/>
      <c r="R259" s="425"/>
      <c r="S259" s="425"/>
      <c r="T259" s="425"/>
      <c r="U259" s="425"/>
      <c r="V259" s="425"/>
      <c r="W259" s="425"/>
      <c r="X259" s="425"/>
      <c r="Y259" s="425"/>
      <c r="Z259" s="425"/>
      <c r="AA259" s="425"/>
      <c r="AB259" s="425"/>
      <c r="AC259" s="425"/>
    </row>
    <row r="260" ht="15.75" customHeight="1">
      <c r="A260" s="425"/>
      <c r="B260" s="425"/>
      <c r="C260" s="425"/>
      <c r="D260" s="425"/>
      <c r="E260" s="235"/>
      <c r="F260" s="425"/>
      <c r="G260" s="425"/>
      <c r="H260" s="425"/>
      <c r="I260" s="425"/>
      <c r="J260" s="425"/>
      <c r="K260" s="235"/>
      <c r="L260" s="425"/>
      <c r="M260" s="425"/>
      <c r="N260" s="425"/>
      <c r="O260" s="425"/>
      <c r="P260" s="425"/>
      <c r="Q260" s="235"/>
      <c r="R260" s="425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5"/>
      <c r="AC260" s="425"/>
    </row>
    <row r="261" ht="15.75" customHeight="1">
      <c r="A261" s="425"/>
      <c r="B261" s="425"/>
      <c r="C261" s="425"/>
      <c r="D261" s="425"/>
      <c r="E261" s="235"/>
      <c r="F261" s="425"/>
      <c r="G261" s="425"/>
      <c r="H261" s="425"/>
      <c r="I261" s="425"/>
      <c r="J261" s="425"/>
      <c r="K261" s="235"/>
      <c r="L261" s="425"/>
      <c r="M261" s="425"/>
      <c r="N261" s="425"/>
      <c r="O261" s="425"/>
      <c r="P261" s="425"/>
      <c r="Q261" s="235"/>
      <c r="R261" s="425"/>
      <c r="S261" s="425"/>
      <c r="T261" s="425"/>
      <c r="U261" s="425"/>
      <c r="V261" s="425"/>
      <c r="W261" s="425"/>
      <c r="X261" s="425"/>
      <c r="Y261" s="425"/>
      <c r="Z261" s="425"/>
      <c r="AA261" s="425"/>
      <c r="AB261" s="425"/>
      <c r="AC261" s="425"/>
    </row>
    <row r="262" ht="15.75" customHeight="1">
      <c r="A262" s="425"/>
      <c r="B262" s="425"/>
      <c r="C262" s="425"/>
      <c r="D262" s="425"/>
      <c r="E262" s="235"/>
      <c r="F262" s="425"/>
      <c r="G262" s="425"/>
      <c r="H262" s="425"/>
      <c r="I262" s="425"/>
      <c r="J262" s="425"/>
      <c r="K262" s="235"/>
      <c r="L262" s="425"/>
      <c r="M262" s="425"/>
      <c r="N262" s="425"/>
      <c r="O262" s="425"/>
      <c r="P262" s="425"/>
      <c r="Q262" s="235"/>
      <c r="R262" s="425"/>
      <c r="S262" s="425"/>
      <c r="T262" s="425"/>
      <c r="U262" s="425"/>
      <c r="V262" s="425"/>
      <c r="W262" s="425"/>
      <c r="X262" s="425"/>
      <c r="Y262" s="425"/>
      <c r="Z262" s="425"/>
      <c r="AA262" s="425"/>
      <c r="AB262" s="425"/>
      <c r="AC262" s="425"/>
    </row>
    <row r="263" ht="15.75" customHeight="1">
      <c r="A263" s="425"/>
      <c r="B263" s="425"/>
      <c r="C263" s="425"/>
      <c r="D263" s="425"/>
      <c r="E263" s="235"/>
      <c r="F263" s="425"/>
      <c r="G263" s="425"/>
      <c r="H263" s="425"/>
      <c r="I263" s="425"/>
      <c r="J263" s="425"/>
      <c r="K263" s="235"/>
      <c r="L263" s="425"/>
      <c r="M263" s="425"/>
      <c r="N263" s="425"/>
      <c r="O263" s="425"/>
      <c r="P263" s="425"/>
      <c r="Q263" s="235"/>
      <c r="R263" s="425"/>
      <c r="S263" s="425"/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</row>
    <row r="264" ht="15.75" customHeight="1">
      <c r="A264" s="425"/>
      <c r="B264" s="425"/>
      <c r="C264" s="425"/>
      <c r="D264" s="425"/>
      <c r="E264" s="235"/>
      <c r="F264" s="425"/>
      <c r="G264" s="425"/>
      <c r="H264" s="425"/>
      <c r="I264" s="425"/>
      <c r="J264" s="425"/>
      <c r="K264" s="235"/>
      <c r="L264" s="425"/>
      <c r="M264" s="425"/>
      <c r="N264" s="425"/>
      <c r="O264" s="425"/>
      <c r="P264" s="425"/>
      <c r="Q264" s="235"/>
      <c r="R264" s="425"/>
      <c r="S264" s="425"/>
      <c r="T264" s="425"/>
      <c r="U264" s="425"/>
      <c r="V264" s="425"/>
      <c r="W264" s="425"/>
      <c r="X264" s="425"/>
      <c r="Y264" s="425"/>
      <c r="Z264" s="425"/>
      <c r="AA264" s="425"/>
      <c r="AB264" s="425"/>
      <c r="AC264" s="425"/>
    </row>
    <row r="265" ht="15.75" customHeight="1">
      <c r="A265" s="425"/>
      <c r="B265" s="425"/>
      <c r="C265" s="425"/>
      <c r="D265" s="425"/>
      <c r="E265" s="235"/>
      <c r="F265" s="425"/>
      <c r="G265" s="425"/>
      <c r="H265" s="425"/>
      <c r="I265" s="425"/>
      <c r="J265" s="425"/>
      <c r="K265" s="235"/>
      <c r="L265" s="425"/>
      <c r="M265" s="425"/>
      <c r="N265" s="425"/>
      <c r="O265" s="425"/>
      <c r="P265" s="425"/>
      <c r="Q265" s="235"/>
      <c r="R265" s="425"/>
      <c r="S265" s="425"/>
      <c r="T265" s="425"/>
      <c r="U265" s="425"/>
      <c r="V265" s="425"/>
      <c r="W265" s="425"/>
      <c r="X265" s="425"/>
      <c r="Y265" s="425"/>
      <c r="Z265" s="425"/>
      <c r="AA265" s="425"/>
      <c r="AB265" s="425"/>
      <c r="AC265" s="425"/>
    </row>
    <row r="266" ht="15.75" customHeight="1">
      <c r="A266" s="425"/>
      <c r="B266" s="425"/>
      <c r="C266" s="425"/>
      <c r="D266" s="425"/>
      <c r="E266" s="235"/>
      <c r="F266" s="425"/>
      <c r="G266" s="425"/>
      <c r="H266" s="425"/>
      <c r="I266" s="425"/>
      <c r="J266" s="425"/>
      <c r="K266" s="235"/>
      <c r="L266" s="425"/>
      <c r="M266" s="425"/>
      <c r="N266" s="425"/>
      <c r="O266" s="425"/>
      <c r="P266" s="425"/>
      <c r="Q266" s="235"/>
      <c r="R266" s="425"/>
      <c r="S266" s="425"/>
      <c r="T266" s="425"/>
      <c r="U266" s="425"/>
      <c r="V266" s="425"/>
      <c r="W266" s="425"/>
      <c r="X266" s="425"/>
      <c r="Y266" s="425"/>
      <c r="Z266" s="425"/>
      <c r="AA266" s="425"/>
      <c r="AB266" s="425"/>
      <c r="AC266" s="425"/>
    </row>
    <row r="267" ht="15.75" customHeight="1">
      <c r="A267" s="425"/>
      <c r="B267" s="425"/>
      <c r="C267" s="425"/>
      <c r="D267" s="425"/>
      <c r="E267" s="235"/>
      <c r="F267" s="425"/>
      <c r="G267" s="425"/>
      <c r="H267" s="425"/>
      <c r="I267" s="425"/>
      <c r="J267" s="425"/>
      <c r="K267" s="235"/>
      <c r="L267" s="425"/>
      <c r="M267" s="425"/>
      <c r="N267" s="425"/>
      <c r="O267" s="425"/>
      <c r="P267" s="425"/>
      <c r="Q267" s="235"/>
      <c r="R267" s="425"/>
      <c r="S267" s="425"/>
      <c r="T267" s="425"/>
      <c r="U267" s="425"/>
      <c r="V267" s="425"/>
      <c r="W267" s="425"/>
      <c r="X267" s="425"/>
      <c r="Y267" s="425"/>
      <c r="Z267" s="425"/>
      <c r="AA267" s="425"/>
      <c r="AB267" s="425"/>
      <c r="AC267" s="425"/>
    </row>
    <row r="268" ht="15.75" customHeight="1">
      <c r="A268" s="425"/>
      <c r="B268" s="425"/>
      <c r="C268" s="425"/>
      <c r="D268" s="425"/>
      <c r="E268" s="235"/>
      <c r="F268" s="425"/>
      <c r="G268" s="425"/>
      <c r="H268" s="425"/>
      <c r="I268" s="425"/>
      <c r="J268" s="425"/>
      <c r="K268" s="235"/>
      <c r="L268" s="425"/>
      <c r="M268" s="425"/>
      <c r="N268" s="425"/>
      <c r="O268" s="425"/>
      <c r="P268" s="425"/>
      <c r="Q268" s="235"/>
      <c r="R268" s="425"/>
      <c r="S268" s="425"/>
      <c r="T268" s="425"/>
      <c r="U268" s="425"/>
      <c r="V268" s="425"/>
      <c r="W268" s="425"/>
      <c r="X268" s="425"/>
      <c r="Y268" s="425"/>
      <c r="Z268" s="425"/>
      <c r="AA268" s="425"/>
      <c r="AB268" s="425"/>
      <c r="AC268" s="425"/>
    </row>
    <row r="269" ht="15.75" customHeight="1">
      <c r="A269" s="425"/>
      <c r="B269" s="425"/>
      <c r="C269" s="425"/>
      <c r="D269" s="425"/>
      <c r="E269" s="235"/>
      <c r="F269" s="425"/>
      <c r="G269" s="425"/>
      <c r="H269" s="425"/>
      <c r="I269" s="425"/>
      <c r="J269" s="425"/>
      <c r="K269" s="235"/>
      <c r="L269" s="425"/>
      <c r="M269" s="425"/>
      <c r="N269" s="425"/>
      <c r="O269" s="425"/>
      <c r="P269" s="425"/>
      <c r="Q269" s="235"/>
      <c r="R269" s="425"/>
      <c r="S269" s="425"/>
      <c r="T269" s="425"/>
      <c r="U269" s="425"/>
      <c r="V269" s="425"/>
      <c r="W269" s="425"/>
      <c r="X269" s="425"/>
      <c r="Y269" s="425"/>
      <c r="Z269" s="425"/>
      <c r="AA269" s="425"/>
      <c r="AB269" s="425"/>
      <c r="AC269" s="425"/>
    </row>
    <row r="270" ht="15.75" customHeight="1">
      <c r="A270" s="425"/>
      <c r="B270" s="425"/>
      <c r="C270" s="425"/>
      <c r="D270" s="425"/>
      <c r="E270" s="235"/>
      <c r="F270" s="425"/>
      <c r="G270" s="425"/>
      <c r="H270" s="425"/>
      <c r="I270" s="425"/>
      <c r="J270" s="425"/>
      <c r="K270" s="235"/>
      <c r="L270" s="425"/>
      <c r="M270" s="425"/>
      <c r="N270" s="425"/>
      <c r="O270" s="425"/>
      <c r="P270" s="425"/>
      <c r="Q270" s="235"/>
      <c r="R270" s="425"/>
      <c r="S270" s="425"/>
      <c r="T270" s="425"/>
      <c r="U270" s="425"/>
      <c r="V270" s="425"/>
      <c r="W270" s="425"/>
      <c r="X270" s="425"/>
      <c r="Y270" s="425"/>
      <c r="Z270" s="425"/>
      <c r="AA270" s="425"/>
      <c r="AB270" s="425"/>
      <c r="AC270" s="425"/>
    </row>
    <row r="271" ht="15.75" customHeight="1">
      <c r="A271" s="425"/>
      <c r="B271" s="425"/>
      <c r="C271" s="425"/>
      <c r="D271" s="425"/>
      <c r="E271" s="235"/>
      <c r="F271" s="425"/>
      <c r="G271" s="425"/>
      <c r="H271" s="425"/>
      <c r="I271" s="425"/>
      <c r="J271" s="425"/>
      <c r="K271" s="235"/>
      <c r="L271" s="425"/>
      <c r="M271" s="425"/>
      <c r="N271" s="425"/>
      <c r="O271" s="425"/>
      <c r="P271" s="425"/>
      <c r="Q271" s="235"/>
      <c r="R271" s="425"/>
      <c r="S271" s="425"/>
      <c r="T271" s="425"/>
      <c r="U271" s="425"/>
      <c r="V271" s="425"/>
      <c r="W271" s="425"/>
      <c r="X271" s="425"/>
      <c r="Y271" s="425"/>
      <c r="Z271" s="425"/>
      <c r="AA271" s="425"/>
      <c r="AB271" s="425"/>
      <c r="AC271" s="425"/>
    </row>
    <row r="272" ht="15.75" customHeight="1">
      <c r="A272" s="425"/>
      <c r="B272" s="425"/>
      <c r="C272" s="425"/>
      <c r="D272" s="425"/>
      <c r="E272" s="235"/>
      <c r="F272" s="425"/>
      <c r="G272" s="425"/>
      <c r="H272" s="425"/>
      <c r="I272" s="425"/>
      <c r="J272" s="425"/>
      <c r="K272" s="235"/>
      <c r="L272" s="425"/>
      <c r="M272" s="425"/>
      <c r="N272" s="425"/>
      <c r="O272" s="425"/>
      <c r="P272" s="425"/>
      <c r="Q272" s="235"/>
      <c r="R272" s="425"/>
      <c r="S272" s="425"/>
      <c r="T272" s="425"/>
      <c r="U272" s="425"/>
      <c r="V272" s="425"/>
      <c r="W272" s="425"/>
      <c r="X272" s="425"/>
      <c r="Y272" s="425"/>
      <c r="Z272" s="425"/>
      <c r="AA272" s="425"/>
      <c r="AB272" s="425"/>
      <c r="AC272" s="425"/>
    </row>
    <row r="273" ht="15.75" customHeight="1">
      <c r="A273" s="425"/>
      <c r="B273" s="425"/>
      <c r="C273" s="425"/>
      <c r="D273" s="425"/>
      <c r="E273" s="235"/>
      <c r="F273" s="425"/>
      <c r="G273" s="425"/>
      <c r="H273" s="425"/>
      <c r="I273" s="425"/>
      <c r="J273" s="425"/>
      <c r="K273" s="235"/>
      <c r="L273" s="425"/>
      <c r="M273" s="425"/>
      <c r="N273" s="425"/>
      <c r="O273" s="425"/>
      <c r="P273" s="425"/>
      <c r="Q273" s="235"/>
      <c r="R273" s="425"/>
      <c r="S273" s="425"/>
      <c r="T273" s="425"/>
      <c r="U273" s="425"/>
      <c r="V273" s="425"/>
      <c r="W273" s="425"/>
      <c r="X273" s="425"/>
      <c r="Y273" s="425"/>
      <c r="Z273" s="425"/>
      <c r="AA273" s="425"/>
      <c r="AB273" s="425"/>
      <c r="AC273" s="425"/>
    </row>
    <row r="274" ht="15.75" customHeight="1">
      <c r="A274" s="425"/>
      <c r="B274" s="425"/>
      <c r="C274" s="425"/>
      <c r="D274" s="425"/>
      <c r="E274" s="235"/>
      <c r="F274" s="425"/>
      <c r="G274" s="425"/>
      <c r="H274" s="425"/>
      <c r="I274" s="425"/>
      <c r="J274" s="425"/>
      <c r="K274" s="235"/>
      <c r="L274" s="425"/>
      <c r="M274" s="425"/>
      <c r="N274" s="425"/>
      <c r="O274" s="425"/>
      <c r="P274" s="425"/>
      <c r="Q274" s="235"/>
      <c r="R274" s="425"/>
      <c r="S274" s="425"/>
      <c r="T274" s="425"/>
      <c r="U274" s="425"/>
      <c r="V274" s="425"/>
      <c r="W274" s="425"/>
      <c r="X274" s="425"/>
      <c r="Y274" s="425"/>
      <c r="Z274" s="425"/>
      <c r="AA274" s="425"/>
      <c r="AB274" s="425"/>
      <c r="AC274" s="425"/>
    </row>
    <row r="275" ht="15.75" customHeight="1">
      <c r="A275" s="425"/>
      <c r="B275" s="425"/>
      <c r="C275" s="425"/>
      <c r="D275" s="425"/>
      <c r="E275" s="235"/>
      <c r="F275" s="425"/>
      <c r="G275" s="425"/>
      <c r="H275" s="425"/>
      <c r="I275" s="425"/>
      <c r="J275" s="425"/>
      <c r="K275" s="235"/>
      <c r="L275" s="425"/>
      <c r="M275" s="425"/>
      <c r="N275" s="425"/>
      <c r="O275" s="425"/>
      <c r="P275" s="425"/>
      <c r="Q275" s="235"/>
      <c r="R275" s="425"/>
      <c r="S275" s="425"/>
      <c r="T275" s="425"/>
      <c r="U275" s="425"/>
      <c r="V275" s="425"/>
      <c r="W275" s="425"/>
      <c r="X275" s="425"/>
      <c r="Y275" s="425"/>
      <c r="Z275" s="425"/>
      <c r="AA275" s="425"/>
      <c r="AB275" s="425"/>
      <c r="AC275" s="425"/>
    </row>
    <row r="276" ht="15.75" customHeight="1">
      <c r="A276" s="425"/>
      <c r="B276" s="425"/>
      <c r="C276" s="425"/>
      <c r="D276" s="425"/>
      <c r="E276" s="235"/>
      <c r="F276" s="425"/>
      <c r="G276" s="425"/>
      <c r="H276" s="425"/>
      <c r="I276" s="425"/>
      <c r="J276" s="425"/>
      <c r="K276" s="235"/>
      <c r="L276" s="425"/>
      <c r="M276" s="425"/>
      <c r="N276" s="425"/>
      <c r="O276" s="425"/>
      <c r="P276" s="425"/>
      <c r="Q276" s="235"/>
      <c r="R276" s="425"/>
      <c r="S276" s="425"/>
      <c r="T276" s="425"/>
      <c r="U276" s="425"/>
      <c r="V276" s="425"/>
      <c r="W276" s="425"/>
      <c r="X276" s="425"/>
      <c r="Y276" s="425"/>
      <c r="Z276" s="425"/>
      <c r="AA276" s="425"/>
      <c r="AB276" s="425"/>
      <c r="AC276" s="425"/>
    </row>
    <row r="277" ht="15.75" customHeight="1">
      <c r="A277" s="425"/>
      <c r="B277" s="425"/>
      <c r="C277" s="425"/>
      <c r="D277" s="425"/>
      <c r="E277" s="235"/>
      <c r="F277" s="425"/>
      <c r="G277" s="425"/>
      <c r="H277" s="425"/>
      <c r="I277" s="425"/>
      <c r="J277" s="425"/>
      <c r="K277" s="235"/>
      <c r="L277" s="425"/>
      <c r="M277" s="425"/>
      <c r="N277" s="425"/>
      <c r="O277" s="425"/>
      <c r="P277" s="425"/>
      <c r="Q277" s="235"/>
      <c r="R277" s="425"/>
      <c r="S277" s="425"/>
      <c r="T277" s="425"/>
      <c r="U277" s="425"/>
      <c r="V277" s="425"/>
      <c r="W277" s="425"/>
      <c r="X277" s="425"/>
      <c r="Y277" s="425"/>
      <c r="Z277" s="425"/>
      <c r="AA277" s="425"/>
      <c r="AB277" s="425"/>
      <c r="AC277" s="425"/>
    </row>
    <row r="278" ht="15.75" customHeight="1">
      <c r="A278" s="425"/>
      <c r="B278" s="425"/>
      <c r="C278" s="425"/>
      <c r="D278" s="425"/>
      <c r="E278" s="235"/>
      <c r="F278" s="425"/>
      <c r="G278" s="425"/>
      <c r="H278" s="425"/>
      <c r="I278" s="425"/>
      <c r="J278" s="425"/>
      <c r="K278" s="235"/>
      <c r="L278" s="425"/>
      <c r="M278" s="425"/>
      <c r="N278" s="425"/>
      <c r="O278" s="425"/>
      <c r="P278" s="425"/>
      <c r="Q278" s="235"/>
      <c r="R278" s="425"/>
      <c r="S278" s="425"/>
      <c r="T278" s="425"/>
      <c r="U278" s="425"/>
      <c r="V278" s="425"/>
      <c r="W278" s="425"/>
      <c r="X278" s="425"/>
      <c r="Y278" s="425"/>
      <c r="Z278" s="425"/>
      <c r="AA278" s="425"/>
      <c r="AB278" s="425"/>
      <c r="AC278" s="425"/>
    </row>
    <row r="279" ht="15.75" customHeight="1">
      <c r="A279" s="425"/>
      <c r="B279" s="425"/>
      <c r="C279" s="425"/>
      <c r="D279" s="425"/>
      <c r="E279" s="235"/>
      <c r="F279" s="425"/>
      <c r="G279" s="425"/>
      <c r="H279" s="425"/>
      <c r="I279" s="425"/>
      <c r="J279" s="425"/>
      <c r="K279" s="235"/>
      <c r="L279" s="425"/>
      <c r="M279" s="425"/>
      <c r="N279" s="425"/>
      <c r="O279" s="425"/>
      <c r="P279" s="425"/>
      <c r="Q279" s="235"/>
      <c r="R279" s="425"/>
      <c r="S279" s="425"/>
      <c r="T279" s="425"/>
      <c r="U279" s="425"/>
      <c r="V279" s="425"/>
      <c r="W279" s="425"/>
      <c r="X279" s="425"/>
      <c r="Y279" s="425"/>
      <c r="Z279" s="425"/>
      <c r="AA279" s="425"/>
      <c r="AB279" s="425"/>
      <c r="AC279" s="425"/>
    </row>
    <row r="280" ht="15.75" customHeight="1">
      <c r="A280" s="425"/>
      <c r="B280" s="425"/>
      <c r="C280" s="425"/>
      <c r="D280" s="425"/>
      <c r="E280" s="235"/>
      <c r="F280" s="425"/>
      <c r="G280" s="425"/>
      <c r="H280" s="425"/>
      <c r="I280" s="425"/>
      <c r="J280" s="425"/>
      <c r="K280" s="235"/>
      <c r="L280" s="425"/>
      <c r="M280" s="425"/>
      <c r="N280" s="425"/>
      <c r="O280" s="425"/>
      <c r="P280" s="425"/>
      <c r="Q280" s="235"/>
      <c r="R280" s="425"/>
      <c r="S280" s="425"/>
      <c r="T280" s="425"/>
      <c r="U280" s="425"/>
      <c r="V280" s="425"/>
      <c r="W280" s="425"/>
      <c r="X280" s="425"/>
      <c r="Y280" s="425"/>
      <c r="Z280" s="425"/>
      <c r="AA280" s="425"/>
      <c r="AB280" s="425"/>
      <c r="AC280" s="425"/>
    </row>
    <row r="281" ht="15.75" customHeight="1">
      <c r="A281" s="425"/>
      <c r="B281" s="425"/>
      <c r="C281" s="425"/>
      <c r="D281" s="425"/>
      <c r="E281" s="235"/>
      <c r="F281" s="425"/>
      <c r="G281" s="425"/>
      <c r="H281" s="425"/>
      <c r="I281" s="425"/>
      <c r="J281" s="425"/>
      <c r="K281" s="235"/>
      <c r="L281" s="425"/>
      <c r="M281" s="425"/>
      <c r="N281" s="425"/>
      <c r="O281" s="425"/>
      <c r="P281" s="425"/>
      <c r="Q281" s="235"/>
      <c r="R281" s="425"/>
      <c r="S281" s="425"/>
      <c r="T281" s="425"/>
      <c r="U281" s="425"/>
      <c r="V281" s="425"/>
      <c r="W281" s="425"/>
      <c r="X281" s="425"/>
      <c r="Y281" s="425"/>
      <c r="Z281" s="425"/>
      <c r="AA281" s="425"/>
      <c r="AB281" s="425"/>
      <c r="AC281" s="425"/>
    </row>
    <row r="282" ht="15.75" customHeight="1">
      <c r="A282" s="425"/>
      <c r="B282" s="425"/>
      <c r="C282" s="425"/>
      <c r="D282" s="425"/>
      <c r="E282" s="235"/>
      <c r="F282" s="425"/>
      <c r="G282" s="425"/>
      <c r="H282" s="425"/>
      <c r="I282" s="425"/>
      <c r="J282" s="425"/>
      <c r="K282" s="235"/>
      <c r="L282" s="425"/>
      <c r="M282" s="425"/>
      <c r="N282" s="425"/>
      <c r="O282" s="425"/>
      <c r="P282" s="425"/>
      <c r="Q282" s="235"/>
      <c r="R282" s="425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5"/>
      <c r="AC282" s="425"/>
    </row>
    <row r="283" ht="15.75" customHeight="1">
      <c r="A283" s="425"/>
      <c r="B283" s="425"/>
      <c r="C283" s="425"/>
      <c r="D283" s="425"/>
      <c r="E283" s="235"/>
      <c r="F283" s="425"/>
      <c r="G283" s="425"/>
      <c r="H283" s="425"/>
      <c r="I283" s="425"/>
      <c r="J283" s="425"/>
      <c r="K283" s="235"/>
      <c r="L283" s="425"/>
      <c r="M283" s="425"/>
      <c r="N283" s="425"/>
      <c r="O283" s="425"/>
      <c r="P283" s="425"/>
      <c r="Q283" s="235"/>
      <c r="R283" s="425"/>
      <c r="S283" s="425"/>
      <c r="T283" s="425"/>
      <c r="U283" s="425"/>
      <c r="V283" s="425"/>
      <c r="W283" s="425"/>
      <c r="X283" s="425"/>
      <c r="Y283" s="425"/>
      <c r="Z283" s="425"/>
      <c r="AA283" s="425"/>
      <c r="AB283" s="425"/>
      <c r="AC283" s="425"/>
    </row>
    <row r="284" ht="15.75" customHeight="1">
      <c r="A284" s="425"/>
      <c r="B284" s="425"/>
      <c r="C284" s="425"/>
      <c r="D284" s="425"/>
      <c r="E284" s="235"/>
      <c r="F284" s="425"/>
      <c r="G284" s="425"/>
      <c r="H284" s="425"/>
      <c r="I284" s="425"/>
      <c r="J284" s="425"/>
      <c r="K284" s="235"/>
      <c r="L284" s="425"/>
      <c r="M284" s="425"/>
      <c r="N284" s="425"/>
      <c r="O284" s="425"/>
      <c r="P284" s="425"/>
      <c r="Q284" s="235"/>
      <c r="R284" s="425"/>
      <c r="S284" s="425"/>
      <c r="T284" s="425"/>
      <c r="U284" s="425"/>
      <c r="V284" s="425"/>
      <c r="W284" s="425"/>
      <c r="X284" s="425"/>
      <c r="Y284" s="425"/>
      <c r="Z284" s="425"/>
      <c r="AA284" s="425"/>
      <c r="AB284" s="425"/>
      <c r="AC284" s="425"/>
    </row>
    <row r="285" ht="15.75" customHeight="1">
      <c r="A285" s="425"/>
      <c r="B285" s="425"/>
      <c r="C285" s="425"/>
      <c r="D285" s="425"/>
      <c r="E285" s="235"/>
      <c r="F285" s="425"/>
      <c r="G285" s="425"/>
      <c r="H285" s="425"/>
      <c r="I285" s="425"/>
      <c r="J285" s="425"/>
      <c r="K285" s="235"/>
      <c r="L285" s="425"/>
      <c r="M285" s="425"/>
      <c r="N285" s="425"/>
      <c r="O285" s="425"/>
      <c r="P285" s="425"/>
      <c r="Q285" s="235"/>
      <c r="R285" s="425"/>
      <c r="S285" s="425"/>
      <c r="T285" s="425"/>
      <c r="U285" s="425"/>
      <c r="V285" s="425"/>
      <c r="W285" s="425"/>
      <c r="X285" s="425"/>
      <c r="Y285" s="425"/>
      <c r="Z285" s="425"/>
      <c r="AA285" s="425"/>
      <c r="AB285" s="425"/>
      <c r="AC285" s="425"/>
    </row>
    <row r="286" ht="15.75" customHeight="1">
      <c r="A286" s="425"/>
      <c r="B286" s="425"/>
      <c r="C286" s="425"/>
      <c r="D286" s="425"/>
      <c r="E286" s="235"/>
      <c r="F286" s="425"/>
      <c r="G286" s="425"/>
      <c r="H286" s="425"/>
      <c r="I286" s="425"/>
      <c r="J286" s="425"/>
      <c r="K286" s="235"/>
      <c r="L286" s="425"/>
      <c r="M286" s="425"/>
      <c r="N286" s="425"/>
      <c r="O286" s="425"/>
      <c r="P286" s="425"/>
      <c r="Q286" s="235"/>
      <c r="R286" s="425"/>
      <c r="S286" s="425"/>
      <c r="T286" s="425"/>
      <c r="U286" s="425"/>
      <c r="V286" s="425"/>
      <c r="W286" s="425"/>
      <c r="X286" s="425"/>
      <c r="Y286" s="425"/>
      <c r="Z286" s="425"/>
      <c r="AA286" s="425"/>
      <c r="AB286" s="425"/>
      <c r="AC286" s="425"/>
    </row>
    <row r="287" ht="15.75" customHeight="1">
      <c r="A287" s="425"/>
      <c r="B287" s="425"/>
      <c r="C287" s="425"/>
      <c r="D287" s="425"/>
      <c r="E287" s="235"/>
      <c r="F287" s="425"/>
      <c r="G287" s="425"/>
      <c r="H287" s="425"/>
      <c r="I287" s="425"/>
      <c r="J287" s="425"/>
      <c r="K287" s="235"/>
      <c r="L287" s="425"/>
      <c r="M287" s="425"/>
      <c r="N287" s="425"/>
      <c r="O287" s="425"/>
      <c r="P287" s="425"/>
      <c r="Q287" s="235"/>
      <c r="R287" s="425"/>
      <c r="S287" s="425"/>
      <c r="T287" s="425"/>
      <c r="U287" s="425"/>
      <c r="V287" s="425"/>
      <c r="W287" s="425"/>
      <c r="X287" s="425"/>
      <c r="Y287" s="425"/>
      <c r="Z287" s="425"/>
      <c r="AA287" s="425"/>
      <c r="AB287" s="425"/>
      <c r="AC287" s="425"/>
    </row>
    <row r="288" ht="15.75" customHeight="1">
      <c r="A288" s="425"/>
      <c r="B288" s="425"/>
      <c r="C288" s="425"/>
      <c r="D288" s="425"/>
      <c r="E288" s="235"/>
      <c r="F288" s="425"/>
      <c r="G288" s="425"/>
      <c r="H288" s="425"/>
      <c r="I288" s="425"/>
      <c r="J288" s="425"/>
      <c r="K288" s="235"/>
      <c r="L288" s="425"/>
      <c r="M288" s="425"/>
      <c r="N288" s="425"/>
      <c r="O288" s="425"/>
      <c r="P288" s="425"/>
      <c r="Q288" s="235"/>
      <c r="R288" s="425"/>
      <c r="S288" s="425"/>
      <c r="T288" s="425"/>
      <c r="U288" s="425"/>
      <c r="V288" s="425"/>
      <c r="W288" s="425"/>
      <c r="X288" s="425"/>
      <c r="Y288" s="425"/>
      <c r="Z288" s="425"/>
      <c r="AA288" s="425"/>
      <c r="AB288" s="425"/>
      <c r="AC288" s="425"/>
    </row>
    <row r="289" ht="15.75" customHeight="1">
      <c r="A289" s="425"/>
      <c r="B289" s="425"/>
      <c r="C289" s="425"/>
      <c r="D289" s="425"/>
      <c r="E289" s="235"/>
      <c r="F289" s="425"/>
      <c r="G289" s="425"/>
      <c r="H289" s="425"/>
      <c r="I289" s="425"/>
      <c r="J289" s="425"/>
      <c r="K289" s="235"/>
      <c r="L289" s="425"/>
      <c r="M289" s="425"/>
      <c r="N289" s="425"/>
      <c r="O289" s="425"/>
      <c r="P289" s="425"/>
      <c r="Q289" s="23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</row>
    <row r="290" ht="15.75" customHeight="1">
      <c r="A290" s="425"/>
      <c r="B290" s="425"/>
      <c r="C290" s="425"/>
      <c r="D290" s="425"/>
      <c r="E290" s="235"/>
      <c r="F290" s="425"/>
      <c r="G290" s="425"/>
      <c r="H290" s="425"/>
      <c r="I290" s="425"/>
      <c r="J290" s="425"/>
      <c r="K290" s="235"/>
      <c r="L290" s="425"/>
      <c r="M290" s="425"/>
      <c r="N290" s="425"/>
      <c r="O290" s="425"/>
      <c r="P290" s="425"/>
      <c r="Q290" s="23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</row>
    <row r="291" ht="15.75" customHeight="1">
      <c r="A291" s="425"/>
      <c r="B291" s="425"/>
      <c r="C291" s="425"/>
      <c r="D291" s="425"/>
      <c r="E291" s="235"/>
      <c r="F291" s="425"/>
      <c r="G291" s="425"/>
      <c r="H291" s="425"/>
      <c r="I291" s="425"/>
      <c r="J291" s="425"/>
      <c r="K291" s="235"/>
      <c r="L291" s="425"/>
      <c r="M291" s="425"/>
      <c r="N291" s="425"/>
      <c r="O291" s="425"/>
      <c r="P291" s="425"/>
      <c r="Q291" s="235"/>
      <c r="R291" s="425"/>
      <c r="S291" s="425"/>
      <c r="T291" s="425"/>
      <c r="U291" s="425"/>
      <c r="V291" s="425"/>
      <c r="W291" s="425"/>
      <c r="X291" s="425"/>
      <c r="Y291" s="425"/>
      <c r="Z291" s="425"/>
      <c r="AA291" s="425"/>
      <c r="AB291" s="425"/>
      <c r="AC291" s="425"/>
    </row>
    <row r="292" ht="15.75" customHeight="1">
      <c r="A292" s="425"/>
      <c r="B292" s="425"/>
      <c r="C292" s="425"/>
      <c r="D292" s="425"/>
      <c r="E292" s="235"/>
      <c r="F292" s="425"/>
      <c r="G292" s="425"/>
      <c r="H292" s="425"/>
      <c r="I292" s="425"/>
      <c r="J292" s="425"/>
      <c r="K292" s="235"/>
      <c r="L292" s="425"/>
      <c r="M292" s="425"/>
      <c r="N292" s="425"/>
      <c r="O292" s="425"/>
      <c r="P292" s="425"/>
      <c r="Q292" s="235"/>
      <c r="R292" s="425"/>
      <c r="S292" s="425"/>
      <c r="T292" s="425"/>
      <c r="U292" s="425"/>
      <c r="V292" s="425"/>
      <c r="W292" s="425"/>
      <c r="X292" s="425"/>
      <c r="Y292" s="425"/>
      <c r="Z292" s="425"/>
      <c r="AA292" s="425"/>
      <c r="AB292" s="425"/>
      <c r="AC292" s="425"/>
    </row>
    <row r="293" ht="15.75" customHeight="1">
      <c r="A293" s="425"/>
      <c r="B293" s="425"/>
      <c r="C293" s="425"/>
      <c r="D293" s="425"/>
      <c r="E293" s="235"/>
      <c r="F293" s="425"/>
      <c r="G293" s="425"/>
      <c r="H293" s="425"/>
      <c r="I293" s="425"/>
      <c r="J293" s="425"/>
      <c r="K293" s="235"/>
      <c r="L293" s="425"/>
      <c r="M293" s="425"/>
      <c r="N293" s="425"/>
      <c r="O293" s="425"/>
      <c r="P293" s="425"/>
      <c r="Q293" s="23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</row>
    <row r="294" ht="15.75" customHeight="1">
      <c r="A294" s="425"/>
      <c r="B294" s="425"/>
      <c r="C294" s="425"/>
      <c r="D294" s="425"/>
      <c r="E294" s="235"/>
      <c r="F294" s="425"/>
      <c r="G294" s="425"/>
      <c r="H294" s="425"/>
      <c r="I294" s="425"/>
      <c r="J294" s="425"/>
      <c r="K294" s="235"/>
      <c r="L294" s="425"/>
      <c r="M294" s="425"/>
      <c r="N294" s="425"/>
      <c r="O294" s="425"/>
      <c r="P294" s="425"/>
      <c r="Q294" s="23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</row>
    <row r="295" ht="15.75" customHeight="1">
      <c r="A295" s="425"/>
      <c r="B295" s="425"/>
      <c r="C295" s="425"/>
      <c r="D295" s="425"/>
      <c r="E295" s="235"/>
      <c r="F295" s="425"/>
      <c r="G295" s="425"/>
      <c r="H295" s="425"/>
      <c r="I295" s="425"/>
      <c r="J295" s="425"/>
      <c r="K295" s="235"/>
      <c r="L295" s="425"/>
      <c r="M295" s="425"/>
      <c r="N295" s="425"/>
      <c r="O295" s="425"/>
      <c r="P295" s="425"/>
      <c r="Q295" s="23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</row>
    <row r="296" ht="15.75" customHeight="1">
      <c r="A296" s="425"/>
      <c r="B296" s="425"/>
      <c r="C296" s="425"/>
      <c r="D296" s="425"/>
      <c r="E296" s="235"/>
      <c r="F296" s="425"/>
      <c r="G296" s="425"/>
      <c r="H296" s="425"/>
      <c r="I296" s="425"/>
      <c r="J296" s="425"/>
      <c r="K296" s="235"/>
      <c r="L296" s="425"/>
      <c r="M296" s="425"/>
      <c r="N296" s="425"/>
      <c r="O296" s="425"/>
      <c r="P296" s="425"/>
      <c r="Q296" s="23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</row>
    <row r="297" ht="15.75" customHeight="1">
      <c r="A297" s="425"/>
      <c r="B297" s="425"/>
      <c r="C297" s="425"/>
      <c r="D297" s="425"/>
      <c r="E297" s="235"/>
      <c r="F297" s="425"/>
      <c r="G297" s="425"/>
      <c r="H297" s="425"/>
      <c r="I297" s="425"/>
      <c r="J297" s="425"/>
      <c r="K297" s="235"/>
      <c r="L297" s="425"/>
      <c r="M297" s="425"/>
      <c r="N297" s="425"/>
      <c r="O297" s="425"/>
      <c r="P297" s="425"/>
      <c r="Q297" s="23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</row>
    <row r="298" ht="15.75" customHeight="1">
      <c r="A298" s="425"/>
      <c r="B298" s="425"/>
      <c r="C298" s="425"/>
      <c r="D298" s="425"/>
      <c r="E298" s="235"/>
      <c r="F298" s="425"/>
      <c r="G298" s="425"/>
      <c r="H298" s="425"/>
      <c r="I298" s="425"/>
      <c r="J298" s="425"/>
      <c r="K298" s="235"/>
      <c r="L298" s="425"/>
      <c r="M298" s="425"/>
      <c r="N298" s="425"/>
      <c r="O298" s="425"/>
      <c r="P298" s="425"/>
      <c r="Q298" s="235"/>
      <c r="R298" s="425"/>
      <c r="S298" s="425"/>
      <c r="T298" s="425"/>
      <c r="U298" s="425"/>
      <c r="V298" s="425"/>
      <c r="W298" s="425"/>
      <c r="X298" s="425"/>
      <c r="Y298" s="425"/>
      <c r="Z298" s="425"/>
      <c r="AA298" s="425"/>
      <c r="AB298" s="425"/>
      <c r="AC298" s="425"/>
    </row>
    <row r="299" ht="15.75" customHeight="1">
      <c r="A299" s="425"/>
      <c r="B299" s="425"/>
      <c r="C299" s="425"/>
      <c r="D299" s="425"/>
      <c r="E299" s="235"/>
      <c r="F299" s="425"/>
      <c r="G299" s="425"/>
      <c r="H299" s="425"/>
      <c r="I299" s="425"/>
      <c r="J299" s="425"/>
      <c r="K299" s="235"/>
      <c r="L299" s="425"/>
      <c r="M299" s="425"/>
      <c r="N299" s="425"/>
      <c r="O299" s="425"/>
      <c r="P299" s="425"/>
      <c r="Q299" s="23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</row>
    <row r="300" ht="15.75" customHeight="1">
      <c r="A300" s="425"/>
      <c r="B300" s="425"/>
      <c r="C300" s="425"/>
      <c r="D300" s="425"/>
      <c r="E300" s="235"/>
      <c r="F300" s="425"/>
      <c r="G300" s="425"/>
      <c r="H300" s="425"/>
      <c r="I300" s="425"/>
      <c r="J300" s="425"/>
      <c r="K300" s="235"/>
      <c r="L300" s="425"/>
      <c r="M300" s="425"/>
      <c r="N300" s="425"/>
      <c r="O300" s="425"/>
      <c r="P300" s="425"/>
      <c r="Q300" s="23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</row>
    <row r="301" ht="15.75" customHeight="1">
      <c r="A301" s="425"/>
      <c r="B301" s="425"/>
      <c r="C301" s="425"/>
      <c r="D301" s="425"/>
      <c r="E301" s="235"/>
      <c r="F301" s="425"/>
      <c r="G301" s="425"/>
      <c r="H301" s="425"/>
      <c r="I301" s="425"/>
      <c r="J301" s="425"/>
      <c r="K301" s="235"/>
      <c r="L301" s="425"/>
      <c r="M301" s="425"/>
      <c r="N301" s="425"/>
      <c r="O301" s="425"/>
      <c r="P301" s="425"/>
      <c r="Q301" s="235"/>
      <c r="R301" s="425"/>
      <c r="S301" s="425"/>
      <c r="T301" s="425"/>
      <c r="U301" s="425"/>
      <c r="V301" s="425"/>
      <c r="W301" s="425"/>
      <c r="X301" s="425"/>
      <c r="Y301" s="425"/>
      <c r="Z301" s="425"/>
      <c r="AA301" s="425"/>
      <c r="AB301" s="425"/>
      <c r="AC301" s="425"/>
    </row>
    <row r="302" ht="15.75" customHeight="1">
      <c r="A302" s="425"/>
      <c r="B302" s="425"/>
      <c r="C302" s="425"/>
      <c r="D302" s="425"/>
      <c r="E302" s="235"/>
      <c r="F302" s="425"/>
      <c r="G302" s="425"/>
      <c r="H302" s="425"/>
      <c r="I302" s="425"/>
      <c r="J302" s="425"/>
      <c r="K302" s="235"/>
      <c r="L302" s="425"/>
      <c r="M302" s="425"/>
      <c r="N302" s="425"/>
      <c r="O302" s="425"/>
      <c r="P302" s="425"/>
      <c r="Q302" s="23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</row>
    <row r="303" ht="15.75" customHeight="1">
      <c r="A303" s="425"/>
      <c r="B303" s="425"/>
      <c r="C303" s="425"/>
      <c r="D303" s="425"/>
      <c r="E303" s="235"/>
      <c r="F303" s="425"/>
      <c r="G303" s="425"/>
      <c r="H303" s="425"/>
      <c r="I303" s="425"/>
      <c r="J303" s="425"/>
      <c r="K303" s="235"/>
      <c r="L303" s="425"/>
      <c r="M303" s="425"/>
      <c r="N303" s="425"/>
      <c r="O303" s="425"/>
      <c r="P303" s="425"/>
      <c r="Q303" s="23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</row>
    <row r="304" ht="15.75" customHeight="1">
      <c r="A304" s="425"/>
      <c r="B304" s="425"/>
      <c r="C304" s="425"/>
      <c r="D304" s="425"/>
      <c r="E304" s="235"/>
      <c r="F304" s="425"/>
      <c r="G304" s="425"/>
      <c r="H304" s="425"/>
      <c r="I304" s="425"/>
      <c r="J304" s="425"/>
      <c r="K304" s="235"/>
      <c r="L304" s="425"/>
      <c r="M304" s="425"/>
      <c r="N304" s="425"/>
      <c r="O304" s="425"/>
      <c r="P304" s="425"/>
      <c r="Q304" s="23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</row>
    <row r="305" ht="15.75" customHeight="1">
      <c r="A305" s="425"/>
      <c r="B305" s="425"/>
      <c r="C305" s="425"/>
      <c r="D305" s="425"/>
      <c r="E305" s="235"/>
      <c r="F305" s="425"/>
      <c r="G305" s="425"/>
      <c r="H305" s="425"/>
      <c r="I305" s="425"/>
      <c r="J305" s="425"/>
      <c r="K305" s="235"/>
      <c r="L305" s="425"/>
      <c r="M305" s="425"/>
      <c r="N305" s="425"/>
      <c r="O305" s="425"/>
      <c r="P305" s="425"/>
      <c r="Q305" s="23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</row>
    <row r="306" ht="15.75" customHeight="1">
      <c r="A306" s="425"/>
      <c r="B306" s="425"/>
      <c r="C306" s="425"/>
      <c r="D306" s="425"/>
      <c r="E306" s="235"/>
      <c r="F306" s="425"/>
      <c r="G306" s="425"/>
      <c r="H306" s="425"/>
      <c r="I306" s="425"/>
      <c r="J306" s="425"/>
      <c r="K306" s="235"/>
      <c r="L306" s="425"/>
      <c r="M306" s="425"/>
      <c r="N306" s="425"/>
      <c r="O306" s="425"/>
      <c r="P306" s="425"/>
      <c r="Q306" s="23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</row>
    <row r="307" ht="15.75" customHeight="1">
      <c r="A307" s="425"/>
      <c r="B307" s="425"/>
      <c r="C307" s="425"/>
      <c r="D307" s="425"/>
      <c r="E307" s="235"/>
      <c r="F307" s="425"/>
      <c r="G307" s="425"/>
      <c r="H307" s="425"/>
      <c r="I307" s="425"/>
      <c r="J307" s="425"/>
      <c r="K307" s="235"/>
      <c r="L307" s="425"/>
      <c r="M307" s="425"/>
      <c r="N307" s="425"/>
      <c r="O307" s="425"/>
      <c r="P307" s="425"/>
      <c r="Q307" s="235"/>
      <c r="R307" s="425"/>
      <c r="S307" s="425"/>
      <c r="T307" s="425"/>
      <c r="U307" s="425"/>
      <c r="V307" s="425"/>
      <c r="W307" s="425"/>
      <c r="X307" s="425"/>
      <c r="Y307" s="425"/>
      <c r="Z307" s="425"/>
      <c r="AA307" s="425"/>
      <c r="AB307" s="425"/>
      <c r="AC307" s="425"/>
    </row>
    <row r="308" ht="15.75" customHeight="1">
      <c r="A308" s="425"/>
      <c r="B308" s="425"/>
      <c r="C308" s="425"/>
      <c r="D308" s="425"/>
      <c r="E308" s="235"/>
      <c r="F308" s="425"/>
      <c r="G308" s="425"/>
      <c r="H308" s="425"/>
      <c r="I308" s="425"/>
      <c r="J308" s="425"/>
      <c r="K308" s="235"/>
      <c r="L308" s="425"/>
      <c r="M308" s="425"/>
      <c r="N308" s="425"/>
      <c r="O308" s="425"/>
      <c r="P308" s="425"/>
      <c r="Q308" s="23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</row>
    <row r="309" ht="15.75" customHeight="1">
      <c r="A309" s="425"/>
      <c r="B309" s="425"/>
      <c r="C309" s="425"/>
      <c r="D309" s="425"/>
      <c r="E309" s="235"/>
      <c r="F309" s="425"/>
      <c r="G309" s="425"/>
      <c r="H309" s="425"/>
      <c r="I309" s="425"/>
      <c r="J309" s="425"/>
      <c r="K309" s="235"/>
      <c r="L309" s="425"/>
      <c r="M309" s="425"/>
      <c r="N309" s="425"/>
      <c r="O309" s="425"/>
      <c r="P309" s="425"/>
      <c r="Q309" s="23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</row>
    <row r="310" ht="15.75" customHeight="1">
      <c r="A310" s="425"/>
      <c r="B310" s="425"/>
      <c r="C310" s="425"/>
      <c r="D310" s="425"/>
      <c r="E310" s="235"/>
      <c r="F310" s="425"/>
      <c r="G310" s="425"/>
      <c r="H310" s="425"/>
      <c r="I310" s="425"/>
      <c r="J310" s="425"/>
      <c r="K310" s="235"/>
      <c r="L310" s="425"/>
      <c r="M310" s="425"/>
      <c r="N310" s="425"/>
      <c r="O310" s="425"/>
      <c r="P310" s="425"/>
      <c r="Q310" s="235"/>
      <c r="R310" s="425"/>
      <c r="S310" s="425"/>
      <c r="T310" s="425"/>
      <c r="U310" s="425"/>
      <c r="V310" s="425"/>
      <c r="W310" s="425"/>
      <c r="X310" s="425"/>
      <c r="Y310" s="425"/>
      <c r="Z310" s="425"/>
      <c r="AA310" s="425"/>
      <c r="AB310" s="425"/>
      <c r="AC310" s="425"/>
    </row>
    <row r="311" ht="15.75" customHeight="1">
      <c r="A311" s="425"/>
      <c r="B311" s="425"/>
      <c r="C311" s="425"/>
      <c r="D311" s="425"/>
      <c r="E311" s="235"/>
      <c r="F311" s="425"/>
      <c r="G311" s="425"/>
      <c r="H311" s="425"/>
      <c r="I311" s="425"/>
      <c r="J311" s="425"/>
      <c r="K311" s="235"/>
      <c r="L311" s="425"/>
      <c r="M311" s="425"/>
      <c r="N311" s="425"/>
      <c r="O311" s="425"/>
      <c r="P311" s="425"/>
      <c r="Q311" s="23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</row>
    <row r="312" ht="15.75" customHeight="1">
      <c r="A312" s="425"/>
      <c r="B312" s="425"/>
      <c r="C312" s="425"/>
      <c r="D312" s="425"/>
      <c r="E312" s="235"/>
      <c r="F312" s="425"/>
      <c r="G312" s="425"/>
      <c r="H312" s="425"/>
      <c r="I312" s="425"/>
      <c r="J312" s="425"/>
      <c r="K312" s="235"/>
      <c r="L312" s="425"/>
      <c r="M312" s="425"/>
      <c r="N312" s="425"/>
      <c r="O312" s="425"/>
      <c r="P312" s="425"/>
      <c r="Q312" s="23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</row>
    <row r="313" ht="15.75" customHeight="1">
      <c r="A313" s="425"/>
      <c r="B313" s="425"/>
      <c r="C313" s="425"/>
      <c r="D313" s="425"/>
      <c r="E313" s="235"/>
      <c r="F313" s="425"/>
      <c r="G313" s="425"/>
      <c r="H313" s="425"/>
      <c r="I313" s="425"/>
      <c r="J313" s="425"/>
      <c r="K313" s="235"/>
      <c r="L313" s="425"/>
      <c r="M313" s="425"/>
      <c r="N313" s="425"/>
      <c r="O313" s="425"/>
      <c r="P313" s="425"/>
      <c r="Q313" s="23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</row>
    <row r="314" ht="15.75" customHeight="1">
      <c r="A314" s="425"/>
      <c r="B314" s="425"/>
      <c r="C314" s="425"/>
      <c r="D314" s="425"/>
      <c r="E314" s="235"/>
      <c r="F314" s="425"/>
      <c r="G314" s="425"/>
      <c r="H314" s="425"/>
      <c r="I314" s="425"/>
      <c r="J314" s="425"/>
      <c r="K314" s="235"/>
      <c r="L314" s="425"/>
      <c r="M314" s="425"/>
      <c r="N314" s="425"/>
      <c r="O314" s="425"/>
      <c r="P314" s="425"/>
      <c r="Q314" s="235"/>
      <c r="R314" s="425"/>
      <c r="S314" s="425"/>
      <c r="T314" s="425"/>
      <c r="U314" s="425"/>
      <c r="V314" s="425"/>
      <c r="W314" s="425"/>
      <c r="X314" s="425"/>
      <c r="Y314" s="425"/>
      <c r="Z314" s="425"/>
      <c r="AA314" s="425"/>
      <c r="AB314" s="425"/>
      <c r="AC314" s="425"/>
    </row>
    <row r="315" ht="15.75" customHeight="1">
      <c r="A315" s="425"/>
      <c r="B315" s="425"/>
      <c r="C315" s="425"/>
      <c r="D315" s="425"/>
      <c r="E315" s="235"/>
      <c r="F315" s="425"/>
      <c r="G315" s="425"/>
      <c r="H315" s="425"/>
      <c r="I315" s="425"/>
      <c r="J315" s="425"/>
      <c r="K315" s="235"/>
      <c r="L315" s="425"/>
      <c r="M315" s="425"/>
      <c r="N315" s="425"/>
      <c r="O315" s="425"/>
      <c r="P315" s="425"/>
      <c r="Q315" s="235"/>
      <c r="R315" s="425"/>
      <c r="S315" s="425"/>
      <c r="T315" s="425"/>
      <c r="U315" s="425"/>
      <c r="V315" s="425"/>
      <c r="W315" s="425"/>
      <c r="X315" s="425"/>
      <c r="Y315" s="425"/>
      <c r="Z315" s="425"/>
      <c r="AA315" s="425"/>
      <c r="AB315" s="425"/>
      <c r="AC315" s="425"/>
    </row>
    <row r="316" ht="15.75" customHeight="1">
      <c r="A316" s="425"/>
      <c r="B316" s="425"/>
      <c r="C316" s="425"/>
      <c r="D316" s="425"/>
      <c r="E316" s="235"/>
      <c r="F316" s="425"/>
      <c r="G316" s="425"/>
      <c r="H316" s="425"/>
      <c r="I316" s="425"/>
      <c r="J316" s="425"/>
      <c r="K316" s="235"/>
      <c r="L316" s="425"/>
      <c r="M316" s="425"/>
      <c r="N316" s="425"/>
      <c r="O316" s="425"/>
      <c r="P316" s="425"/>
      <c r="Q316" s="235"/>
      <c r="R316" s="425"/>
      <c r="S316" s="425"/>
      <c r="T316" s="425"/>
      <c r="U316" s="425"/>
      <c r="V316" s="425"/>
      <c r="W316" s="425"/>
      <c r="X316" s="425"/>
      <c r="Y316" s="425"/>
      <c r="Z316" s="425"/>
      <c r="AA316" s="425"/>
      <c r="AB316" s="425"/>
      <c r="AC316" s="425"/>
    </row>
    <row r="317" ht="15.75" customHeight="1">
      <c r="A317" s="425"/>
      <c r="B317" s="425"/>
      <c r="C317" s="425"/>
      <c r="D317" s="425"/>
      <c r="E317" s="235"/>
      <c r="F317" s="425"/>
      <c r="G317" s="425"/>
      <c r="H317" s="425"/>
      <c r="I317" s="425"/>
      <c r="J317" s="425"/>
      <c r="K317" s="235"/>
      <c r="L317" s="425"/>
      <c r="M317" s="425"/>
      <c r="N317" s="425"/>
      <c r="O317" s="425"/>
      <c r="P317" s="425"/>
      <c r="Q317" s="235"/>
      <c r="R317" s="425"/>
      <c r="S317" s="425"/>
      <c r="T317" s="425"/>
      <c r="U317" s="425"/>
      <c r="V317" s="425"/>
      <c r="W317" s="425"/>
      <c r="X317" s="425"/>
      <c r="Y317" s="425"/>
      <c r="Z317" s="425"/>
      <c r="AA317" s="425"/>
      <c r="AB317" s="425"/>
      <c r="AC317" s="425"/>
    </row>
    <row r="318" ht="15.75" customHeight="1">
      <c r="A318" s="425"/>
      <c r="B318" s="425"/>
      <c r="C318" s="425"/>
      <c r="D318" s="425"/>
      <c r="E318" s="235"/>
      <c r="F318" s="425"/>
      <c r="G318" s="425"/>
      <c r="H318" s="425"/>
      <c r="I318" s="425"/>
      <c r="J318" s="425"/>
      <c r="K318" s="235"/>
      <c r="L318" s="425"/>
      <c r="M318" s="425"/>
      <c r="N318" s="425"/>
      <c r="O318" s="425"/>
      <c r="P318" s="425"/>
      <c r="Q318" s="235"/>
      <c r="R318" s="425"/>
      <c r="S318" s="425"/>
      <c r="T318" s="425"/>
      <c r="U318" s="425"/>
      <c r="V318" s="425"/>
      <c r="W318" s="425"/>
      <c r="X318" s="425"/>
      <c r="Y318" s="425"/>
      <c r="Z318" s="425"/>
      <c r="AA318" s="425"/>
      <c r="AB318" s="425"/>
      <c r="AC318" s="425"/>
    </row>
    <row r="319" ht="15.75" customHeight="1">
      <c r="A319" s="425"/>
      <c r="B319" s="425"/>
      <c r="C319" s="425"/>
      <c r="D319" s="425"/>
      <c r="E319" s="235"/>
      <c r="F319" s="425"/>
      <c r="G319" s="425"/>
      <c r="H319" s="425"/>
      <c r="I319" s="425"/>
      <c r="J319" s="425"/>
      <c r="K319" s="235"/>
      <c r="L319" s="425"/>
      <c r="M319" s="425"/>
      <c r="N319" s="425"/>
      <c r="O319" s="425"/>
      <c r="P319" s="425"/>
      <c r="Q319" s="235"/>
      <c r="R319" s="425"/>
      <c r="S319" s="425"/>
      <c r="T319" s="425"/>
      <c r="U319" s="425"/>
      <c r="V319" s="425"/>
      <c r="W319" s="425"/>
      <c r="X319" s="425"/>
      <c r="Y319" s="425"/>
      <c r="Z319" s="425"/>
      <c r="AA319" s="425"/>
      <c r="AB319" s="425"/>
      <c r="AC319" s="425"/>
    </row>
    <row r="320" ht="15.75" customHeight="1">
      <c r="A320" s="425"/>
      <c r="B320" s="425"/>
      <c r="C320" s="425"/>
      <c r="D320" s="425"/>
      <c r="E320" s="235"/>
      <c r="F320" s="425"/>
      <c r="G320" s="425"/>
      <c r="H320" s="425"/>
      <c r="I320" s="425"/>
      <c r="J320" s="425"/>
      <c r="K320" s="235"/>
      <c r="L320" s="425"/>
      <c r="M320" s="425"/>
      <c r="N320" s="425"/>
      <c r="O320" s="425"/>
      <c r="P320" s="425"/>
      <c r="Q320" s="235"/>
      <c r="R320" s="425"/>
      <c r="S320" s="425"/>
      <c r="T320" s="425"/>
      <c r="U320" s="425"/>
      <c r="V320" s="425"/>
      <c r="W320" s="425"/>
      <c r="X320" s="425"/>
      <c r="Y320" s="425"/>
      <c r="Z320" s="425"/>
      <c r="AA320" s="425"/>
      <c r="AB320" s="425"/>
      <c r="AC320" s="425"/>
    </row>
    <row r="321" ht="15.75" customHeight="1">
      <c r="A321" s="425"/>
      <c r="B321" s="425"/>
      <c r="C321" s="425"/>
      <c r="D321" s="425"/>
      <c r="E321" s="235"/>
      <c r="F321" s="425"/>
      <c r="G321" s="425"/>
      <c r="H321" s="425"/>
      <c r="I321" s="425"/>
      <c r="J321" s="425"/>
      <c r="K321" s="235"/>
      <c r="L321" s="425"/>
      <c r="M321" s="425"/>
      <c r="N321" s="425"/>
      <c r="O321" s="425"/>
      <c r="P321" s="425"/>
      <c r="Q321" s="235"/>
      <c r="R321" s="425"/>
      <c r="S321" s="425"/>
      <c r="T321" s="425"/>
      <c r="U321" s="425"/>
      <c r="V321" s="425"/>
      <c r="W321" s="425"/>
      <c r="X321" s="425"/>
      <c r="Y321" s="425"/>
      <c r="Z321" s="425"/>
      <c r="AA321" s="425"/>
      <c r="AB321" s="425"/>
      <c r="AC321" s="425"/>
    </row>
    <row r="322" ht="15.75" customHeight="1">
      <c r="A322" s="425"/>
      <c r="B322" s="425"/>
      <c r="C322" s="425"/>
      <c r="D322" s="425"/>
      <c r="E322" s="235"/>
      <c r="F322" s="425"/>
      <c r="G322" s="425"/>
      <c r="H322" s="425"/>
      <c r="I322" s="425"/>
      <c r="J322" s="425"/>
      <c r="K322" s="235"/>
      <c r="L322" s="425"/>
      <c r="M322" s="425"/>
      <c r="N322" s="425"/>
      <c r="O322" s="425"/>
      <c r="P322" s="425"/>
      <c r="Q322" s="235"/>
      <c r="R322" s="425"/>
      <c r="S322" s="425"/>
      <c r="T322" s="425"/>
      <c r="U322" s="425"/>
      <c r="V322" s="425"/>
      <c r="W322" s="425"/>
      <c r="X322" s="425"/>
      <c r="Y322" s="425"/>
      <c r="Z322" s="425"/>
      <c r="AA322" s="425"/>
      <c r="AB322" s="425"/>
      <c r="AC322" s="425"/>
    </row>
    <row r="323" ht="15.75" customHeight="1">
      <c r="A323" s="425"/>
      <c r="B323" s="425"/>
      <c r="C323" s="425"/>
      <c r="D323" s="425"/>
      <c r="E323" s="235"/>
      <c r="F323" s="425"/>
      <c r="G323" s="425"/>
      <c r="H323" s="425"/>
      <c r="I323" s="425"/>
      <c r="J323" s="425"/>
      <c r="K323" s="235"/>
      <c r="L323" s="425"/>
      <c r="M323" s="425"/>
      <c r="N323" s="425"/>
      <c r="O323" s="425"/>
      <c r="P323" s="425"/>
      <c r="Q323" s="235"/>
      <c r="R323" s="425"/>
      <c r="S323" s="425"/>
      <c r="T323" s="425"/>
      <c r="U323" s="425"/>
      <c r="V323" s="425"/>
      <c r="W323" s="425"/>
      <c r="X323" s="425"/>
      <c r="Y323" s="425"/>
      <c r="Z323" s="425"/>
      <c r="AA323" s="425"/>
      <c r="AB323" s="425"/>
      <c r="AC323" s="425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4:B5"/>
    <mergeCell ref="C4:C5"/>
    <mergeCell ref="D4:I4"/>
    <mergeCell ref="J4:O4"/>
    <mergeCell ref="P4:U4"/>
    <mergeCell ref="B37:C37"/>
    <mergeCell ref="B56:C5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6.0" topLeftCell="D17" activePane="bottomRight" state="frozen"/>
      <selection activeCell="D1" sqref="D1" pane="topRight"/>
      <selection activeCell="A17" sqref="A17" pane="bottomLeft"/>
      <selection activeCell="D17" sqref="D17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41.13"/>
    <col customWidth="1" min="4" max="4" width="11.25"/>
    <col customWidth="1" hidden="1" min="5" max="9" width="12.63"/>
    <col customWidth="1" min="10" max="10" width="12.63"/>
    <col customWidth="1" hidden="1" min="11" max="15" width="12.63"/>
    <col customWidth="1" min="16" max="16" width="11.38"/>
    <col customWidth="1" hidden="1" min="17" max="21" width="12.63"/>
    <col customWidth="1" min="22" max="29" width="12.63"/>
  </cols>
  <sheetData>
    <row r="1" ht="15.75" customHeight="1">
      <c r="A1" s="425"/>
      <c r="B1" s="1080" t="s">
        <v>353</v>
      </c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</row>
    <row r="2" ht="15.75" customHeight="1">
      <c r="A2" s="425"/>
      <c r="B2" s="237" t="s">
        <v>354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</row>
    <row r="3" ht="15.75" customHeight="1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</row>
    <row r="4" ht="15.75" customHeight="1">
      <c r="A4" s="237"/>
      <c r="B4" s="428" t="s">
        <v>165</v>
      </c>
      <c r="C4" s="428" t="s">
        <v>166</v>
      </c>
      <c r="D4" s="513" t="s">
        <v>167</v>
      </c>
      <c r="E4" s="10"/>
      <c r="F4" s="10"/>
      <c r="G4" s="10"/>
      <c r="H4" s="10"/>
      <c r="I4" s="12"/>
      <c r="J4" s="513" t="s">
        <v>168</v>
      </c>
      <c r="K4" s="10"/>
      <c r="L4" s="10"/>
      <c r="M4" s="10"/>
      <c r="N4" s="10"/>
      <c r="O4" s="12"/>
      <c r="P4" s="431" t="s">
        <v>169</v>
      </c>
      <c r="Q4" s="10"/>
      <c r="R4" s="10"/>
      <c r="S4" s="10"/>
      <c r="T4" s="10"/>
      <c r="U4" s="12"/>
      <c r="V4" s="1081"/>
      <c r="W4" s="1081"/>
      <c r="X4" s="1081"/>
      <c r="Y4" s="1081"/>
      <c r="Z4" s="1081"/>
      <c r="AA4" s="1081"/>
      <c r="AB4" s="1081"/>
      <c r="AC4" s="1081"/>
    </row>
    <row r="5" ht="17.25" customHeight="1">
      <c r="A5" s="1082"/>
      <c r="B5" s="433"/>
      <c r="C5" s="433"/>
      <c r="D5" s="436" t="s">
        <v>170</v>
      </c>
      <c r="E5" s="436" t="s">
        <v>18</v>
      </c>
      <c r="F5" s="436" t="s">
        <v>171</v>
      </c>
      <c r="G5" s="436" t="s">
        <v>18</v>
      </c>
      <c r="H5" s="436" t="s">
        <v>172</v>
      </c>
      <c r="I5" s="436" t="s">
        <v>260</v>
      </c>
      <c r="J5" s="436" t="s">
        <v>170</v>
      </c>
      <c r="K5" s="436" t="s">
        <v>18</v>
      </c>
      <c r="L5" s="436" t="s">
        <v>171</v>
      </c>
      <c r="M5" s="436" t="s">
        <v>18</v>
      </c>
      <c r="N5" s="436" t="s">
        <v>172</v>
      </c>
      <c r="O5" s="436" t="s">
        <v>260</v>
      </c>
      <c r="P5" s="436" t="s">
        <v>170</v>
      </c>
      <c r="Q5" s="436" t="s">
        <v>18</v>
      </c>
      <c r="R5" s="436" t="s">
        <v>171</v>
      </c>
      <c r="S5" s="436" t="s">
        <v>18</v>
      </c>
      <c r="T5" s="436" t="s">
        <v>172</v>
      </c>
      <c r="U5" s="436" t="s">
        <v>260</v>
      </c>
      <c r="V5" s="755"/>
      <c r="W5" s="755"/>
      <c r="X5" s="755"/>
      <c r="Y5" s="755"/>
      <c r="Z5" s="755"/>
      <c r="AA5" s="755"/>
      <c r="AB5" s="755"/>
      <c r="AC5" s="755"/>
    </row>
    <row r="6" ht="15.75" hidden="1" customHeight="1">
      <c r="A6" s="237"/>
      <c r="B6" s="1083"/>
      <c r="C6" s="1083" t="s">
        <v>76</v>
      </c>
      <c r="D6" s="1084">
        <v>0.0</v>
      </c>
      <c r="E6" s="1085"/>
      <c r="F6" s="1086"/>
      <c r="G6" s="1085"/>
      <c r="H6" s="1086"/>
      <c r="I6" s="1087"/>
      <c r="J6" s="1084">
        <v>0.0</v>
      </c>
      <c r="K6" s="1085"/>
      <c r="L6" s="1086"/>
      <c r="M6" s="1085"/>
      <c r="N6" s="1086"/>
      <c r="O6" s="1087"/>
      <c r="P6" s="1084">
        <v>0.0</v>
      </c>
      <c r="Q6" s="1085"/>
      <c r="R6" s="1086"/>
      <c r="S6" s="1085"/>
      <c r="T6" s="1086"/>
      <c r="U6" s="1087"/>
      <c r="V6" s="237"/>
      <c r="W6" s="237"/>
      <c r="X6" s="237"/>
      <c r="Y6" s="237"/>
      <c r="Z6" s="237"/>
      <c r="AA6" s="237"/>
      <c r="AB6" s="237"/>
      <c r="AC6" s="237"/>
    </row>
    <row r="7" ht="15.75" hidden="1" customHeight="1">
      <c r="A7" s="237"/>
      <c r="B7" s="1016"/>
      <c r="C7" s="1016" t="s">
        <v>83</v>
      </c>
      <c r="D7" s="1088">
        <v>0.0</v>
      </c>
      <c r="E7" s="1089"/>
      <c r="F7" s="1090"/>
      <c r="G7" s="1089"/>
      <c r="H7" s="1090"/>
      <c r="I7" s="1091"/>
      <c r="J7" s="1088">
        <v>0.0</v>
      </c>
      <c r="K7" s="1089"/>
      <c r="L7" s="1090"/>
      <c r="M7" s="1089"/>
      <c r="N7" s="1090"/>
      <c r="O7" s="1091"/>
      <c r="P7" s="1088">
        <v>0.0</v>
      </c>
      <c r="Q7" s="1089"/>
      <c r="R7" s="1090"/>
      <c r="S7" s="1089"/>
      <c r="T7" s="1090"/>
      <c r="U7" s="1091"/>
      <c r="V7" s="237"/>
      <c r="W7" s="237"/>
      <c r="X7" s="237"/>
      <c r="Y7" s="237"/>
      <c r="Z7" s="237"/>
      <c r="AA7" s="237"/>
      <c r="AB7" s="237"/>
      <c r="AC7" s="237"/>
    </row>
    <row r="8" ht="15.75" hidden="1" customHeight="1">
      <c r="A8" s="237"/>
      <c r="B8" s="1016"/>
      <c r="C8" s="1016" t="s">
        <v>90</v>
      </c>
      <c r="D8" s="1088">
        <v>0.0</v>
      </c>
      <c r="E8" s="1089"/>
      <c r="F8" s="1090"/>
      <c r="G8" s="1089"/>
      <c r="H8" s="1090"/>
      <c r="I8" s="1091"/>
      <c r="J8" s="1088">
        <v>0.0</v>
      </c>
      <c r="K8" s="1089"/>
      <c r="L8" s="1090"/>
      <c r="M8" s="1089"/>
      <c r="N8" s="1090"/>
      <c r="O8" s="1091"/>
      <c r="P8" s="1088">
        <v>0.0</v>
      </c>
      <c r="Q8" s="1089"/>
      <c r="R8" s="1090"/>
      <c r="S8" s="1089"/>
      <c r="T8" s="1090"/>
      <c r="U8" s="1091"/>
      <c r="V8" s="237"/>
      <c r="W8" s="237"/>
      <c r="X8" s="237"/>
      <c r="Y8" s="237"/>
      <c r="Z8" s="237"/>
      <c r="AA8" s="237"/>
      <c r="AB8" s="237"/>
      <c r="AC8" s="237"/>
    </row>
    <row r="9" ht="15.75" hidden="1" customHeight="1">
      <c r="A9" s="237"/>
      <c r="B9" s="1016"/>
      <c r="C9" s="1016" t="s">
        <v>97</v>
      </c>
      <c r="D9" s="1088">
        <v>0.0</v>
      </c>
      <c r="E9" s="1089"/>
      <c r="F9" s="1090"/>
      <c r="G9" s="1089"/>
      <c r="H9" s="1090"/>
      <c r="I9" s="1091"/>
      <c r="J9" s="1088">
        <v>0.0</v>
      </c>
      <c r="K9" s="1089"/>
      <c r="L9" s="1090"/>
      <c r="M9" s="1089"/>
      <c r="N9" s="1090"/>
      <c r="O9" s="1091"/>
      <c r="P9" s="1088">
        <v>0.0</v>
      </c>
      <c r="Q9" s="1089"/>
      <c r="R9" s="1090"/>
      <c r="S9" s="1089"/>
      <c r="T9" s="1090"/>
      <c r="U9" s="1091"/>
      <c r="V9" s="237"/>
      <c r="W9" s="237"/>
      <c r="X9" s="237"/>
      <c r="Y9" s="237"/>
      <c r="Z9" s="237"/>
      <c r="AA9" s="237"/>
      <c r="AB9" s="237"/>
      <c r="AC9" s="237"/>
    </row>
    <row r="10" ht="15.75" hidden="1" customHeight="1">
      <c r="A10" s="237"/>
      <c r="B10" s="1016"/>
      <c r="C10" s="1016" t="s">
        <v>104</v>
      </c>
      <c r="D10" s="1088">
        <f>SUM(D8:D9)-D27</f>
        <v>-174122.08</v>
      </c>
      <c r="E10" s="1089"/>
      <c r="F10" s="1090"/>
      <c r="G10" s="1089"/>
      <c r="H10" s="1090"/>
      <c r="I10" s="1091"/>
      <c r="J10" s="1088">
        <f>SUM(J8:J9)-J27</f>
        <v>-132839</v>
      </c>
      <c r="K10" s="1089"/>
      <c r="L10" s="1090"/>
      <c r="M10" s="1089"/>
      <c r="N10" s="1090"/>
      <c r="O10" s="1091"/>
      <c r="P10" s="1088">
        <f>SUM(P8:P9)-P27</f>
        <v>0</v>
      </c>
      <c r="Q10" s="1089"/>
      <c r="R10" s="1090"/>
      <c r="S10" s="1089"/>
      <c r="T10" s="1090"/>
      <c r="U10" s="1091"/>
      <c r="V10" s="237"/>
      <c r="W10" s="237"/>
      <c r="X10" s="237"/>
      <c r="Y10" s="237"/>
      <c r="Z10" s="237"/>
      <c r="AA10" s="237"/>
      <c r="AB10" s="237"/>
      <c r="AC10" s="237"/>
    </row>
    <row r="11" ht="15.75" hidden="1" customHeight="1">
      <c r="A11" s="237"/>
      <c r="B11" s="1016"/>
      <c r="C11" s="1016" t="s">
        <v>111</v>
      </c>
      <c r="D11" s="1088">
        <v>0.0</v>
      </c>
      <c r="E11" s="1089"/>
      <c r="F11" s="1090"/>
      <c r="G11" s="1089"/>
      <c r="H11" s="1090"/>
      <c r="I11" s="1091"/>
      <c r="J11" s="1088">
        <v>0.0</v>
      </c>
      <c r="K11" s="1089"/>
      <c r="L11" s="1090"/>
      <c r="M11" s="1089"/>
      <c r="N11" s="1090"/>
      <c r="O11" s="1091"/>
      <c r="P11" s="1088">
        <v>0.0</v>
      </c>
      <c r="Q11" s="1089"/>
      <c r="R11" s="1090"/>
      <c r="S11" s="1089"/>
      <c r="T11" s="1090"/>
      <c r="U11" s="1091"/>
      <c r="V11" s="237"/>
      <c r="W11" s="237"/>
      <c r="X11" s="237"/>
      <c r="Y11" s="237"/>
      <c r="Z11" s="237"/>
      <c r="AA11" s="237"/>
      <c r="AB11" s="237"/>
      <c r="AC11" s="237"/>
    </row>
    <row r="12" ht="15.75" hidden="1" customHeight="1">
      <c r="A12" s="237"/>
      <c r="B12" s="1016"/>
      <c r="C12" s="1016" t="s">
        <v>118</v>
      </c>
      <c r="D12" s="1088">
        <v>0.0</v>
      </c>
      <c r="E12" s="1089"/>
      <c r="F12" s="1090"/>
      <c r="G12" s="1089"/>
      <c r="H12" s="1090"/>
      <c r="I12" s="1091"/>
      <c r="J12" s="1088">
        <v>0.0</v>
      </c>
      <c r="K12" s="1089"/>
      <c r="L12" s="1090"/>
      <c r="M12" s="1089"/>
      <c r="N12" s="1090"/>
      <c r="O12" s="1091"/>
      <c r="P12" s="1088">
        <v>0.0</v>
      </c>
      <c r="Q12" s="1089"/>
      <c r="R12" s="1090"/>
      <c r="S12" s="1089"/>
      <c r="T12" s="1090"/>
      <c r="U12" s="1091"/>
      <c r="V12" s="237"/>
      <c r="W12" s="237"/>
      <c r="X12" s="237"/>
      <c r="Y12" s="237"/>
      <c r="Z12" s="237"/>
      <c r="AA12" s="237"/>
      <c r="AB12" s="237"/>
      <c r="AC12" s="237"/>
    </row>
    <row r="13" ht="15.75" hidden="1" customHeight="1">
      <c r="A13" s="237"/>
      <c r="B13" s="1016"/>
      <c r="C13" s="1016"/>
      <c r="D13" s="1088"/>
      <c r="E13" s="1089"/>
      <c r="F13" s="1090"/>
      <c r="G13" s="1089"/>
      <c r="H13" s="1090"/>
      <c r="I13" s="1091"/>
      <c r="J13" s="1088"/>
      <c r="K13" s="1089"/>
      <c r="L13" s="1090"/>
      <c r="M13" s="1089"/>
      <c r="N13" s="1090"/>
      <c r="O13" s="1091"/>
      <c r="P13" s="1088"/>
      <c r="Q13" s="1089"/>
      <c r="R13" s="1090"/>
      <c r="S13" s="1089"/>
      <c r="T13" s="1090"/>
      <c r="U13" s="1091"/>
      <c r="V13" s="237"/>
      <c r="W13" s="237"/>
      <c r="X13" s="237"/>
      <c r="Y13" s="237"/>
      <c r="Z13" s="237"/>
      <c r="AA13" s="237"/>
      <c r="AB13" s="237"/>
      <c r="AC13" s="237"/>
    </row>
    <row r="14" ht="15.75" hidden="1" customHeight="1">
      <c r="A14" s="237"/>
      <c r="B14" s="1092"/>
      <c r="C14" s="1092"/>
      <c r="D14" s="1093"/>
      <c r="E14" s="1094"/>
      <c r="F14" s="1095"/>
      <c r="G14" s="1094"/>
      <c r="H14" s="1095"/>
      <c r="I14" s="1096"/>
      <c r="J14" s="1093"/>
      <c r="K14" s="1094"/>
      <c r="L14" s="1095"/>
      <c r="M14" s="1094"/>
      <c r="N14" s="1095"/>
      <c r="O14" s="1096"/>
      <c r="P14" s="1093"/>
      <c r="Q14" s="1094"/>
      <c r="R14" s="1095"/>
      <c r="S14" s="1094"/>
      <c r="T14" s="1095"/>
      <c r="U14" s="1096"/>
      <c r="V14" s="237"/>
      <c r="W14" s="237"/>
      <c r="X14" s="237"/>
      <c r="Y14" s="237"/>
      <c r="Z14" s="237"/>
      <c r="AA14" s="237"/>
      <c r="AB14" s="237"/>
      <c r="AC14" s="237"/>
    </row>
    <row r="15" ht="15.75" customHeight="1">
      <c r="A15" s="237"/>
      <c r="B15" s="1097" t="s">
        <v>173</v>
      </c>
      <c r="C15" s="1097" t="s">
        <v>322</v>
      </c>
      <c r="D15" s="627">
        <f>SUM(D17:D19)</f>
        <v>174122.08</v>
      </c>
      <c r="E15" s="442"/>
      <c r="F15" s="627"/>
      <c r="G15" s="442"/>
      <c r="H15" s="627"/>
      <c r="I15" s="442"/>
      <c r="J15" s="627">
        <f>SUM(J17:J19)</f>
        <v>132839</v>
      </c>
      <c r="K15" s="442"/>
      <c r="L15" s="627"/>
      <c r="M15" s="442"/>
      <c r="N15" s="627"/>
      <c r="O15" s="442"/>
      <c r="P15" s="627">
        <f>SUM(P17:P19)</f>
        <v>0</v>
      </c>
      <c r="Q15" s="442"/>
      <c r="R15" s="627"/>
      <c r="S15" s="442"/>
      <c r="T15" s="627"/>
      <c r="U15" s="442"/>
      <c r="V15" s="237"/>
      <c r="W15" s="237"/>
      <c r="X15" s="237"/>
      <c r="Y15" s="237"/>
      <c r="Z15" s="237"/>
      <c r="AA15" s="237"/>
      <c r="AB15" s="237"/>
      <c r="AC15" s="237"/>
    </row>
    <row r="16" ht="15.75" customHeight="1">
      <c r="A16" s="237"/>
      <c r="B16" s="1083"/>
      <c r="C16" s="1083"/>
      <c r="E16" s="522"/>
      <c r="F16" s="610">
        <f>SUM(F17:F19)</f>
        <v>0</v>
      </c>
      <c r="G16" s="522"/>
      <c r="H16" s="610">
        <f>SUM(H17:H19)</f>
        <v>68730.26</v>
      </c>
      <c r="I16" s="524"/>
      <c r="J16" s="1098"/>
      <c r="K16" s="574"/>
      <c r="L16" s="610">
        <f>SUM(L17:L19)</f>
        <v>0</v>
      </c>
      <c r="M16" s="522"/>
      <c r="N16" s="610">
        <f>SUM(N17:N19)</f>
        <v>65950</v>
      </c>
      <c r="O16" s="524"/>
      <c r="P16" s="1098"/>
      <c r="Q16" s="446"/>
      <c r="R16" s="686">
        <f>SUM(R17:R19)</f>
        <v>0</v>
      </c>
      <c r="S16" s="446"/>
      <c r="T16" s="686">
        <f>SUM(T17:T19)</f>
        <v>0</v>
      </c>
      <c r="U16" s="446"/>
      <c r="V16" s="237"/>
      <c r="W16" s="237"/>
      <c r="X16" s="237"/>
      <c r="Y16" s="237"/>
      <c r="Z16" s="237"/>
      <c r="AA16" s="237"/>
      <c r="AB16" s="237"/>
      <c r="AC16" s="237"/>
    </row>
    <row r="17" ht="15.75" customHeight="1">
      <c r="A17" s="237"/>
      <c r="B17" s="1016" t="s">
        <v>23</v>
      </c>
      <c r="C17" s="1016" t="s">
        <v>355</v>
      </c>
      <c r="D17" s="662">
        <v>68730.26</v>
      </c>
      <c r="E17" s="538">
        <f t="shared" ref="E17:E18" si="1">D17/D$27</f>
        <v>0.3947245519</v>
      </c>
      <c r="F17" s="612">
        <v>0.0</v>
      </c>
      <c r="G17" s="521"/>
      <c r="H17" s="612">
        <f>D17-F17</f>
        <v>68730.26</v>
      </c>
      <c r="I17" s="464"/>
      <c r="J17" s="662">
        <v>65950.0</v>
      </c>
      <c r="K17" s="538">
        <f t="shared" ref="K17:K18" si="2">J17/J$27</f>
        <v>0.4964656464</v>
      </c>
      <c r="L17" s="612">
        <v>0.0</v>
      </c>
      <c r="M17" s="521"/>
      <c r="N17" s="612">
        <f>J17-L17</f>
        <v>65950</v>
      </c>
      <c r="O17" s="464"/>
      <c r="P17" s="685"/>
      <c r="Q17" s="716" t="str">
        <f t="shared" ref="Q17:Q18" si="3">P17/P$27</f>
        <v>#DIV/0!</v>
      </c>
      <c r="R17" s="685">
        <v>0.0</v>
      </c>
      <c r="S17" s="454"/>
      <c r="T17" s="685">
        <f>P17-R17</f>
        <v>0</v>
      </c>
      <c r="U17" s="454"/>
      <c r="V17" s="237"/>
      <c r="W17" s="237"/>
      <c r="X17" s="237"/>
      <c r="Y17" s="237"/>
      <c r="Z17" s="237"/>
      <c r="AA17" s="237"/>
      <c r="AB17" s="237"/>
      <c r="AC17" s="237"/>
    </row>
    <row r="18" ht="15.75" customHeight="1">
      <c r="A18" s="237"/>
      <c r="B18" s="1016"/>
      <c r="C18" s="1016" t="s">
        <v>356</v>
      </c>
      <c r="D18" s="662">
        <v>96510.25</v>
      </c>
      <c r="E18" s="538">
        <f t="shared" si="1"/>
        <v>0.5542677299</v>
      </c>
      <c r="F18" s="612">
        <v>0.0</v>
      </c>
      <c r="G18" s="521"/>
      <c r="H18" s="612"/>
      <c r="I18" s="464"/>
      <c r="J18" s="662">
        <v>66889.0</v>
      </c>
      <c r="K18" s="538">
        <f t="shared" si="2"/>
        <v>0.5035343536</v>
      </c>
      <c r="L18" s="612">
        <v>0.0</v>
      </c>
      <c r="M18" s="521"/>
      <c r="N18" s="612"/>
      <c r="O18" s="464"/>
      <c r="P18" s="685"/>
      <c r="Q18" s="716" t="str">
        <f t="shared" si="3"/>
        <v>#DIV/0!</v>
      </c>
      <c r="R18" s="685">
        <v>0.0</v>
      </c>
      <c r="S18" s="454"/>
      <c r="T18" s="685"/>
      <c r="U18" s="454"/>
      <c r="V18" s="237"/>
      <c r="W18" s="237"/>
      <c r="X18" s="237"/>
      <c r="Y18" s="237"/>
      <c r="Z18" s="237"/>
      <c r="AA18" s="237"/>
      <c r="AB18" s="237"/>
      <c r="AC18" s="237"/>
    </row>
    <row r="19" ht="15.75" customHeight="1">
      <c r="A19" s="237"/>
      <c r="B19" s="1016"/>
      <c r="C19" s="1016" t="s">
        <v>179</v>
      </c>
      <c r="D19" s="662">
        <f>4056+4825.57</f>
        <v>8881.57</v>
      </c>
      <c r="E19" s="521"/>
      <c r="F19" s="612"/>
      <c r="G19" s="521"/>
      <c r="H19" s="612"/>
      <c r="I19" s="464"/>
      <c r="J19" s="662"/>
      <c r="K19" s="521"/>
      <c r="L19" s="612"/>
      <c r="M19" s="521"/>
      <c r="N19" s="612"/>
      <c r="O19" s="464"/>
      <c r="P19" s="685"/>
      <c r="Q19" s="454"/>
      <c r="R19" s="685"/>
      <c r="S19" s="454"/>
      <c r="T19" s="685"/>
      <c r="U19" s="454"/>
      <c r="V19" s="237"/>
      <c r="W19" s="237"/>
      <c r="X19" s="237"/>
      <c r="Y19" s="237"/>
      <c r="Z19" s="237"/>
      <c r="AA19" s="237"/>
      <c r="AB19" s="237"/>
      <c r="AC19" s="237"/>
    </row>
    <row r="20" ht="15.75" customHeight="1">
      <c r="A20" s="237"/>
      <c r="B20" s="1016"/>
      <c r="C20" s="450" t="s">
        <v>263</v>
      </c>
      <c r="D20" s="662"/>
      <c r="E20" s="521"/>
      <c r="F20" s="612"/>
      <c r="G20" s="521"/>
      <c r="H20" s="612"/>
      <c r="I20" s="464"/>
      <c r="J20" s="662"/>
      <c r="K20" s="521"/>
      <c r="L20" s="612"/>
      <c r="M20" s="521"/>
      <c r="N20" s="612"/>
      <c r="O20" s="464"/>
      <c r="P20" s="685"/>
      <c r="Q20" s="454"/>
      <c r="R20" s="685"/>
      <c r="S20" s="454"/>
      <c r="T20" s="685"/>
      <c r="U20" s="454"/>
      <c r="V20" s="237"/>
      <c r="W20" s="237"/>
      <c r="X20" s="237"/>
      <c r="Y20" s="237"/>
      <c r="Z20" s="237"/>
      <c r="AA20" s="237"/>
      <c r="AB20" s="237"/>
      <c r="AC20" s="237"/>
    </row>
    <row r="21" ht="15.75" customHeight="1">
      <c r="A21" s="237"/>
      <c r="B21" s="1016"/>
      <c r="C21" s="1016"/>
      <c r="D21" s="662"/>
      <c r="E21" s="521"/>
      <c r="F21" s="612"/>
      <c r="G21" s="521"/>
      <c r="H21" s="612"/>
      <c r="I21" s="464"/>
      <c r="J21" s="662"/>
      <c r="K21" s="521"/>
      <c r="L21" s="612"/>
      <c r="M21" s="521"/>
      <c r="N21" s="612"/>
      <c r="O21" s="464"/>
      <c r="P21" s="685"/>
      <c r="Q21" s="454"/>
      <c r="R21" s="685"/>
      <c r="S21" s="454"/>
      <c r="T21" s="685"/>
      <c r="U21" s="454"/>
      <c r="V21" s="237"/>
      <c r="W21" s="237"/>
      <c r="X21" s="237"/>
      <c r="Y21" s="237"/>
      <c r="Z21" s="237"/>
      <c r="AA21" s="237"/>
      <c r="AB21" s="237"/>
      <c r="AC21" s="237"/>
    </row>
    <row r="22" ht="15.75" customHeight="1">
      <c r="A22" s="237"/>
      <c r="B22" s="1016" t="s">
        <v>21</v>
      </c>
      <c r="C22" s="1016" t="s">
        <v>21</v>
      </c>
      <c r="D22" s="699">
        <v>0.0</v>
      </c>
      <c r="E22" s="732"/>
      <c r="F22" s="732">
        <v>0.0</v>
      </c>
      <c r="G22" s="732"/>
      <c r="H22" s="732">
        <v>0.0</v>
      </c>
      <c r="I22" s="733"/>
      <c r="J22" s="699">
        <v>0.0</v>
      </c>
      <c r="K22" s="521"/>
      <c r="L22" s="612">
        <v>0.0</v>
      </c>
      <c r="M22" s="521"/>
      <c r="N22" s="612">
        <v>0.0</v>
      </c>
      <c r="O22" s="464"/>
      <c r="P22" s="700"/>
      <c r="Q22" s="454"/>
      <c r="R22" s="685">
        <v>0.0</v>
      </c>
      <c r="S22" s="454"/>
      <c r="T22" s="685">
        <v>0.0</v>
      </c>
      <c r="U22" s="454"/>
      <c r="V22" s="237"/>
      <c r="W22" s="237"/>
      <c r="X22" s="237"/>
      <c r="Y22" s="237"/>
      <c r="Z22" s="237"/>
      <c r="AA22" s="237"/>
      <c r="AB22" s="237"/>
      <c r="AC22" s="237"/>
    </row>
    <row r="23" ht="15.75" customHeight="1">
      <c r="A23" s="237"/>
      <c r="B23" s="1016" t="s">
        <v>22</v>
      </c>
      <c r="C23" s="1016" t="s">
        <v>22</v>
      </c>
      <c r="D23" s="699">
        <v>0.0</v>
      </c>
      <c r="E23" s="732"/>
      <c r="F23" s="732">
        <v>0.0</v>
      </c>
      <c r="G23" s="732"/>
      <c r="H23" s="732">
        <v>0.0</v>
      </c>
      <c r="I23" s="733"/>
      <c r="J23" s="699">
        <v>0.0</v>
      </c>
      <c r="K23" s="521"/>
      <c r="L23" s="612">
        <v>0.0</v>
      </c>
      <c r="M23" s="521"/>
      <c r="N23" s="612">
        <v>0.0</v>
      </c>
      <c r="O23" s="464"/>
      <c r="P23" s="700"/>
      <c r="Q23" s="454"/>
      <c r="R23" s="685">
        <v>0.0</v>
      </c>
      <c r="S23" s="454"/>
      <c r="T23" s="685">
        <v>0.0</v>
      </c>
      <c r="U23" s="454"/>
      <c r="V23" s="237"/>
      <c r="W23" s="237"/>
      <c r="X23" s="237"/>
      <c r="Y23" s="237"/>
      <c r="Z23" s="237"/>
      <c r="AA23" s="237"/>
      <c r="AB23" s="237"/>
      <c r="AC23" s="237"/>
    </row>
    <row r="24" ht="15.75" customHeight="1">
      <c r="A24" s="237"/>
      <c r="B24" s="1016" t="s">
        <v>23</v>
      </c>
      <c r="C24" s="1016" t="s">
        <v>180</v>
      </c>
      <c r="D24" s="662">
        <f>SUM(D17:D19)</f>
        <v>174122.08</v>
      </c>
      <c r="E24" s="662">
        <f t="shared" ref="E24:I24" si="4">SUM(E26:E28)</f>
        <v>0</v>
      </c>
      <c r="F24" s="662" t="str">
        <f t="shared" si="4"/>
        <v>#REF!</v>
      </c>
      <c r="G24" s="662">
        <f t="shared" si="4"/>
        <v>0</v>
      </c>
      <c r="H24" s="662" t="str">
        <f t="shared" si="4"/>
        <v>#REF!</v>
      </c>
      <c r="I24" s="662">
        <f t="shared" si="4"/>
        <v>0</v>
      </c>
      <c r="J24" s="662">
        <f>SUM(J17:J19)</f>
        <v>132839</v>
      </c>
      <c r="K24" s="521"/>
      <c r="L24" s="616">
        <f>SUM(L17:L19)</f>
        <v>0</v>
      </c>
      <c r="M24" s="521"/>
      <c r="N24" s="616">
        <f>SUM(N17:N19)</f>
        <v>65950</v>
      </c>
      <c r="O24" s="464"/>
      <c r="P24" s="685"/>
      <c r="Q24" s="454"/>
      <c r="R24" s="1041">
        <f>SUM(R17:R19)</f>
        <v>0</v>
      </c>
      <c r="S24" s="454"/>
      <c r="T24" s="1041">
        <f>SUM(T17:T19)</f>
        <v>0</v>
      </c>
      <c r="U24" s="454"/>
      <c r="V24" s="237"/>
      <c r="W24" s="237"/>
      <c r="X24" s="237"/>
      <c r="Y24" s="237"/>
      <c r="Z24" s="237"/>
      <c r="AA24" s="237"/>
      <c r="AB24" s="237"/>
      <c r="AC24" s="237"/>
    </row>
    <row r="25" ht="15.75" customHeight="1">
      <c r="A25" s="237"/>
      <c r="B25" s="1016"/>
      <c r="C25" s="1016"/>
      <c r="D25" s="662"/>
      <c r="E25" s="521"/>
      <c r="F25" s="521"/>
      <c r="G25" s="521"/>
      <c r="H25" s="521"/>
      <c r="I25" s="464"/>
      <c r="J25" s="662"/>
      <c r="K25" s="521"/>
      <c r="L25" s="521"/>
      <c r="M25" s="521"/>
      <c r="N25" s="521"/>
      <c r="O25" s="464"/>
      <c r="P25" s="685"/>
      <c r="Q25" s="454"/>
      <c r="R25" s="454"/>
      <c r="S25" s="454"/>
      <c r="T25" s="454"/>
      <c r="U25" s="454"/>
      <c r="V25" s="237"/>
      <c r="W25" s="237"/>
      <c r="X25" s="237"/>
      <c r="Y25" s="237"/>
      <c r="Z25" s="237"/>
      <c r="AA25" s="237"/>
      <c r="AB25" s="237"/>
      <c r="AC25" s="237"/>
    </row>
    <row r="26" ht="15.75" customHeight="1">
      <c r="A26" s="237"/>
      <c r="B26" s="1016"/>
      <c r="C26" s="1016" t="s">
        <v>181</v>
      </c>
      <c r="D26" s="662"/>
      <c r="E26" s="521"/>
      <c r="F26" s="521"/>
      <c r="G26" s="521"/>
      <c r="H26" s="521"/>
      <c r="I26" s="464"/>
      <c r="J26" s="662"/>
      <c r="K26" s="521"/>
      <c r="L26" s="521"/>
      <c r="M26" s="521"/>
      <c r="N26" s="521"/>
      <c r="O26" s="464"/>
      <c r="P26" s="685"/>
      <c r="Q26" s="454"/>
      <c r="R26" s="454"/>
      <c r="S26" s="454"/>
      <c r="T26" s="454"/>
      <c r="U26" s="454"/>
      <c r="V26" s="237"/>
      <c r="W26" s="237"/>
      <c r="X26" s="237"/>
      <c r="Y26" s="237"/>
      <c r="Z26" s="237"/>
      <c r="AA26" s="237"/>
      <c r="AB26" s="237"/>
      <c r="AC26" s="237"/>
    </row>
    <row r="27" ht="15.75" customHeight="1">
      <c r="A27" s="237"/>
      <c r="B27" s="1016"/>
      <c r="C27" s="1016" t="s">
        <v>182</v>
      </c>
      <c r="D27" s="662">
        <f>D22+D23+D24+D26</f>
        <v>174122.08</v>
      </c>
      <c r="E27" s="521"/>
      <c r="F27" s="612" t="str">
        <f>F22+F23+F24+F26</f>
        <v>#REF!</v>
      </c>
      <c r="G27" s="521"/>
      <c r="H27" s="612" t="str">
        <f>H22+H23+H24+H26</f>
        <v>#REF!</v>
      </c>
      <c r="I27" s="464"/>
      <c r="J27" s="662">
        <f>J22+J23+J24+J26</f>
        <v>132839</v>
      </c>
      <c r="K27" s="521"/>
      <c r="L27" s="612">
        <f>L22+L23+L24+L26</f>
        <v>0</v>
      </c>
      <c r="M27" s="521"/>
      <c r="N27" s="612">
        <f>N22+N23+N24+N26</f>
        <v>65950</v>
      </c>
      <c r="O27" s="464"/>
      <c r="P27" s="685"/>
      <c r="Q27" s="454"/>
      <c r="R27" s="685">
        <f>R22+R23+R24+R26</f>
        <v>0</v>
      </c>
      <c r="S27" s="454"/>
      <c r="T27" s="685">
        <f>T22+T23+T24+T26</f>
        <v>0</v>
      </c>
      <c r="U27" s="454"/>
      <c r="V27" s="237"/>
      <c r="W27" s="237"/>
      <c r="X27" s="237"/>
      <c r="Y27" s="237"/>
      <c r="Z27" s="237"/>
      <c r="AA27" s="237"/>
      <c r="AB27" s="237"/>
      <c r="AC27" s="237"/>
    </row>
    <row r="28" ht="15.75" customHeight="1">
      <c r="A28" s="237"/>
      <c r="B28" s="1016"/>
      <c r="C28" s="1016"/>
      <c r="D28" s="662"/>
      <c r="E28" s="538"/>
      <c r="F28" s="612"/>
      <c r="G28" s="612"/>
      <c r="H28" s="612"/>
      <c r="I28" s="693"/>
      <c r="J28" s="662"/>
      <c r="K28" s="538"/>
      <c r="L28" s="612"/>
      <c r="M28" s="612"/>
      <c r="N28" s="612"/>
      <c r="O28" s="693"/>
      <c r="P28" s="685"/>
      <c r="Q28" s="716"/>
      <c r="R28" s="685"/>
      <c r="S28" s="685"/>
      <c r="T28" s="685"/>
      <c r="U28" s="685"/>
      <c r="V28" s="237"/>
      <c r="W28" s="237"/>
      <c r="X28" s="237"/>
      <c r="Y28" s="237"/>
      <c r="Z28" s="237"/>
      <c r="AA28" s="237"/>
      <c r="AB28" s="237"/>
      <c r="AC28" s="237"/>
    </row>
    <row r="29" ht="15.75" customHeight="1">
      <c r="A29" s="237"/>
      <c r="B29" s="1064" t="s">
        <v>186</v>
      </c>
      <c r="C29" s="1065"/>
      <c r="D29" s="662"/>
      <c r="E29" s="521"/>
      <c r="F29" s="521"/>
      <c r="G29" s="521"/>
      <c r="H29" s="521"/>
      <c r="I29" s="464"/>
      <c r="J29" s="662"/>
      <c r="K29" s="521"/>
      <c r="L29" s="521"/>
      <c r="M29" s="521"/>
      <c r="N29" s="521"/>
      <c r="O29" s="464"/>
      <c r="P29" s="685"/>
      <c r="Q29" s="454"/>
      <c r="R29" s="454"/>
      <c r="S29" s="454"/>
      <c r="T29" s="454"/>
      <c r="U29" s="454"/>
      <c r="V29" s="237"/>
      <c r="W29" s="237"/>
      <c r="X29" s="237"/>
      <c r="Y29" s="237"/>
      <c r="Z29" s="237"/>
      <c r="AA29" s="237"/>
      <c r="AB29" s="237"/>
      <c r="AC29" s="237"/>
    </row>
    <row r="30" ht="15.75" customHeight="1">
      <c r="A30" s="237"/>
      <c r="B30" s="1016" t="s">
        <v>28</v>
      </c>
      <c r="C30" s="1016"/>
      <c r="D30" s="662"/>
      <c r="E30" s="521"/>
      <c r="F30" s="521"/>
      <c r="G30" s="521"/>
      <c r="H30" s="521"/>
      <c r="I30" s="464"/>
      <c r="J30" s="662"/>
      <c r="K30" s="521"/>
      <c r="L30" s="521"/>
      <c r="M30" s="521"/>
      <c r="N30" s="521"/>
      <c r="O30" s="464"/>
      <c r="P30" s="685"/>
      <c r="Q30" s="454"/>
      <c r="R30" s="454"/>
      <c r="S30" s="454"/>
      <c r="T30" s="454"/>
      <c r="U30" s="454"/>
      <c r="V30" s="237"/>
      <c r="W30" s="237"/>
      <c r="X30" s="237"/>
      <c r="Y30" s="237"/>
      <c r="Z30" s="237"/>
      <c r="AA30" s="237"/>
      <c r="AB30" s="237"/>
      <c r="AC30" s="237"/>
    </row>
    <row r="31" ht="15.75" customHeight="1">
      <c r="A31" s="237"/>
      <c r="B31" s="1016"/>
      <c r="C31" s="622" t="s">
        <v>187</v>
      </c>
      <c r="D31" s="662"/>
      <c r="E31" s="521"/>
      <c r="F31" s="521"/>
      <c r="G31" s="521"/>
      <c r="H31" s="521"/>
      <c r="I31" s="464"/>
      <c r="J31" s="662"/>
      <c r="K31" s="521"/>
      <c r="L31" s="521"/>
      <c r="M31" s="521"/>
      <c r="N31" s="521"/>
      <c r="O31" s="464"/>
      <c r="P31" s="685"/>
      <c r="Q31" s="454"/>
      <c r="R31" s="454"/>
      <c r="S31" s="454"/>
      <c r="T31" s="454"/>
      <c r="U31" s="454"/>
      <c r="V31" s="237"/>
      <c r="W31" s="237"/>
      <c r="X31" s="237"/>
      <c r="Y31" s="237"/>
      <c r="Z31" s="237"/>
      <c r="AA31" s="237"/>
      <c r="AB31" s="237"/>
      <c r="AC31" s="237"/>
    </row>
    <row r="32" ht="15.75" customHeight="1">
      <c r="A32" s="237"/>
      <c r="B32" s="1016"/>
      <c r="C32" s="1016" t="s">
        <v>188</v>
      </c>
      <c r="D32" s="452">
        <f>'MSBC CK Allocation'!C38</f>
        <v>167919.7876</v>
      </c>
      <c r="E32" s="538"/>
      <c r="F32" s="521"/>
      <c r="G32" s="521"/>
      <c r="H32" s="612"/>
      <c r="I32" s="464"/>
      <c r="J32" s="452">
        <f>'MSBC CK Allocation'!D38</f>
        <v>146927.3366</v>
      </c>
      <c r="K32" s="538"/>
      <c r="L32" s="521"/>
      <c r="M32" s="521"/>
      <c r="N32" s="612"/>
      <c r="O32" s="464"/>
      <c r="P32" s="459"/>
      <c r="Q32" s="716"/>
      <c r="R32" s="454"/>
      <c r="S32" s="454"/>
      <c r="T32" s="685"/>
      <c r="U32" s="454"/>
      <c r="V32" s="237"/>
      <c r="W32" s="237"/>
      <c r="X32" s="237"/>
      <c r="Y32" s="237"/>
      <c r="Z32" s="237"/>
      <c r="AA32" s="237"/>
      <c r="AB32" s="237"/>
      <c r="AC32" s="237"/>
    </row>
    <row r="33" ht="15.75" customHeight="1">
      <c r="A33" s="237"/>
      <c r="B33" s="1016"/>
      <c r="C33" s="1016" t="s">
        <v>189</v>
      </c>
      <c r="D33" s="452">
        <v>101593.54757728706</v>
      </c>
      <c r="E33" s="521"/>
      <c r="F33" s="521"/>
      <c r="G33" s="521"/>
      <c r="H33" s="612"/>
      <c r="I33" s="464"/>
      <c r="J33" s="452">
        <v>71757.0</v>
      </c>
      <c r="K33" s="521"/>
      <c r="L33" s="521"/>
      <c r="M33" s="521"/>
      <c r="N33" s="612"/>
      <c r="O33" s="464"/>
      <c r="P33" s="459"/>
      <c r="Q33" s="454"/>
      <c r="R33" s="454"/>
      <c r="S33" s="454"/>
      <c r="T33" s="685"/>
      <c r="U33" s="454"/>
      <c r="V33" s="237"/>
      <c r="W33" s="237"/>
      <c r="X33" s="237"/>
      <c r="Y33" s="237"/>
      <c r="Z33" s="237"/>
      <c r="AA33" s="237"/>
      <c r="AB33" s="237"/>
      <c r="AC33" s="237"/>
    </row>
    <row r="34" ht="15.75" customHeight="1">
      <c r="A34" s="237"/>
      <c r="B34" s="1016"/>
      <c r="C34" s="450" t="s">
        <v>357</v>
      </c>
      <c r="D34" s="452"/>
      <c r="E34" s="521"/>
      <c r="F34" s="521"/>
      <c r="G34" s="521"/>
      <c r="H34" s="612"/>
      <c r="I34" s="464"/>
      <c r="J34" s="452"/>
      <c r="K34" s="521"/>
      <c r="L34" s="521"/>
      <c r="M34" s="521"/>
      <c r="N34" s="612"/>
      <c r="O34" s="464"/>
      <c r="P34" s="459"/>
      <c r="Q34" s="454"/>
      <c r="R34" s="454"/>
      <c r="S34" s="454"/>
      <c r="T34" s="685"/>
      <c r="U34" s="454"/>
      <c r="V34" s="237"/>
      <c r="W34" s="237"/>
      <c r="X34" s="237"/>
      <c r="Y34" s="237"/>
      <c r="Z34" s="237"/>
      <c r="AA34" s="237"/>
      <c r="AB34" s="237"/>
      <c r="AC34" s="237"/>
    </row>
    <row r="35" ht="15.75" customHeight="1">
      <c r="A35" s="237"/>
      <c r="B35" s="1016"/>
      <c r="C35" s="1016" t="s">
        <v>22</v>
      </c>
      <c r="D35" s="452"/>
      <c r="E35" s="521"/>
      <c r="F35" s="521"/>
      <c r="G35" s="521"/>
      <c r="H35" s="612"/>
      <c r="I35" s="464"/>
      <c r="J35" s="452"/>
      <c r="K35" s="521"/>
      <c r="L35" s="521"/>
      <c r="M35" s="521"/>
      <c r="N35" s="612"/>
      <c r="O35" s="464"/>
      <c r="P35" s="459"/>
      <c r="Q35" s="454"/>
      <c r="R35" s="454"/>
      <c r="S35" s="454"/>
      <c r="T35" s="685"/>
      <c r="U35" s="454"/>
      <c r="V35" s="237"/>
      <c r="W35" s="237"/>
      <c r="X35" s="237"/>
      <c r="Y35" s="237"/>
      <c r="Z35" s="237"/>
      <c r="AA35" s="237"/>
      <c r="AB35" s="237"/>
      <c r="AC35" s="237"/>
    </row>
    <row r="36" ht="15.75" customHeight="1">
      <c r="A36" s="237"/>
      <c r="B36" s="1016"/>
      <c r="C36" s="1016" t="s">
        <v>190</v>
      </c>
      <c r="D36" s="452">
        <f>'Calculation Sheet for GST on Pu'!C30</f>
        <v>4270.743596</v>
      </c>
      <c r="E36" s="521"/>
      <c r="F36" s="521"/>
      <c r="G36" s="521"/>
      <c r="H36" s="612"/>
      <c r="I36" s="464"/>
      <c r="J36" s="452">
        <f>'Calculation Sheet for GST on Pu'!D30</f>
        <v>2951.319573</v>
      </c>
      <c r="K36" s="521"/>
      <c r="L36" s="521"/>
      <c r="M36" s="521"/>
      <c r="N36" s="612"/>
      <c r="O36" s="464"/>
      <c r="P36" s="459"/>
      <c r="Q36" s="454"/>
      <c r="R36" s="454"/>
      <c r="S36" s="454"/>
      <c r="T36" s="685"/>
      <c r="U36" s="454"/>
      <c r="V36" s="237"/>
      <c r="W36" s="237"/>
      <c r="X36" s="237"/>
      <c r="Y36" s="237"/>
      <c r="Z36" s="237"/>
      <c r="AA36" s="237"/>
      <c r="AB36" s="237"/>
      <c r="AC36" s="237"/>
    </row>
    <row r="37" ht="15.75" customHeight="1">
      <c r="A37" s="237"/>
      <c r="B37" s="1016"/>
      <c r="C37" s="1016" t="s">
        <v>191</v>
      </c>
      <c r="D37" s="452">
        <f>SUM(D32:D36)</f>
        <v>273784.0788</v>
      </c>
      <c r="E37" s="538">
        <f>D37/D$27</f>
        <v>1.572368529</v>
      </c>
      <c r="F37" s="521">
        <f>SUM(F32:F36)</f>
        <v>0</v>
      </c>
      <c r="G37" s="521"/>
      <c r="H37" s="612">
        <f>SUM(H32:H36)</f>
        <v>0</v>
      </c>
      <c r="I37" s="464"/>
      <c r="J37" s="452">
        <f>SUM(J32:J36)</f>
        <v>221635.6562</v>
      </c>
      <c r="K37" s="538">
        <f>J37/J$27</f>
        <v>1.668453212</v>
      </c>
      <c r="L37" s="521">
        <f>SUM(L32:L36)</f>
        <v>0</v>
      </c>
      <c r="M37" s="521"/>
      <c r="N37" s="612">
        <f>SUM(N32:N36)</f>
        <v>0</v>
      </c>
      <c r="O37" s="464"/>
      <c r="P37" s="459"/>
      <c r="Q37" s="716" t="str">
        <f>P37/P$27</f>
        <v>#DIV/0!</v>
      </c>
      <c r="R37" s="454">
        <f>SUM(R32:R36)</f>
        <v>0</v>
      </c>
      <c r="S37" s="454"/>
      <c r="T37" s="685">
        <f>SUM(T32:T36)</f>
        <v>0</v>
      </c>
      <c r="U37" s="454"/>
      <c r="V37" s="237"/>
      <c r="W37" s="237"/>
      <c r="X37" s="237"/>
      <c r="Y37" s="237"/>
      <c r="Z37" s="237"/>
      <c r="AA37" s="237"/>
      <c r="AB37" s="237"/>
      <c r="AC37" s="237"/>
    </row>
    <row r="38" ht="15.75" customHeight="1">
      <c r="A38" s="237"/>
      <c r="B38" s="1092"/>
      <c r="C38" s="1092" t="s">
        <v>192</v>
      </c>
      <c r="D38" s="470">
        <v>2354.0</v>
      </c>
      <c r="E38" s="526"/>
      <c r="F38" s="526"/>
      <c r="G38" s="526"/>
      <c r="H38" s="526"/>
      <c r="I38" s="528"/>
      <c r="J38" s="470">
        <v>3293.0</v>
      </c>
      <c r="K38" s="521"/>
      <c r="L38" s="521"/>
      <c r="M38" s="521"/>
      <c r="N38" s="521"/>
      <c r="O38" s="464"/>
      <c r="P38" s="472"/>
      <c r="Q38" s="454"/>
      <c r="R38" s="454"/>
      <c r="S38" s="454"/>
      <c r="T38" s="454"/>
      <c r="U38" s="454"/>
      <c r="V38" s="237"/>
      <c r="W38" s="237"/>
      <c r="X38" s="237"/>
      <c r="Y38" s="237"/>
      <c r="Z38" s="237"/>
      <c r="AA38" s="237"/>
      <c r="AB38" s="237"/>
      <c r="AC38" s="237"/>
    </row>
    <row r="39" ht="15.75" customHeight="1">
      <c r="A39" s="237"/>
      <c r="B39" s="1097"/>
      <c r="C39" s="1097" t="s">
        <v>193</v>
      </c>
      <c r="D39" s="475">
        <f>D37+D38</f>
        <v>276138.0788</v>
      </c>
      <c r="E39" s="581">
        <f>D39/D$27</f>
        <v>1.585887779</v>
      </c>
      <c r="F39" s="442">
        <f>F37+F38</f>
        <v>0</v>
      </c>
      <c r="G39" s="442"/>
      <c r="H39" s="627">
        <f>H37+H38</f>
        <v>0</v>
      </c>
      <c r="I39" s="442"/>
      <c r="J39" s="475">
        <f>J37+J38</f>
        <v>224928.6562</v>
      </c>
      <c r="K39" s="706">
        <f>J39/J$27</f>
        <v>1.693242619</v>
      </c>
      <c r="L39" s="1099">
        <f>L37+L38</f>
        <v>0</v>
      </c>
      <c r="M39" s="1099"/>
      <c r="N39" s="707">
        <f>N37+N38</f>
        <v>0</v>
      </c>
      <c r="O39" s="745"/>
      <c r="P39" s="475">
        <f>P37+P38</f>
        <v>0</v>
      </c>
      <c r="Q39" s="738" t="str">
        <f>P39/P$27</f>
        <v>#DIV/0!</v>
      </c>
      <c r="R39" s="736">
        <f>R37+R38</f>
        <v>0</v>
      </c>
      <c r="S39" s="736"/>
      <c r="T39" s="746">
        <f>T37+T38</f>
        <v>0</v>
      </c>
      <c r="U39" s="736"/>
      <c r="V39" s="237"/>
      <c r="W39" s="237"/>
      <c r="X39" s="237"/>
      <c r="Y39" s="237"/>
      <c r="Z39" s="237"/>
      <c r="AA39" s="237"/>
      <c r="AB39" s="237"/>
      <c r="AC39" s="237"/>
    </row>
    <row r="40" ht="15.75" customHeight="1">
      <c r="A40" s="237"/>
      <c r="B40" s="1097"/>
      <c r="C40" s="1097" t="s">
        <v>32</v>
      </c>
      <c r="D40" s="475">
        <f>D27-D39</f>
        <v>-102015.9988</v>
      </c>
      <c r="E40" s="442"/>
      <c r="F40" s="442"/>
      <c r="G40" s="442"/>
      <c r="H40" s="442"/>
      <c r="I40" s="442"/>
      <c r="J40" s="475">
        <f>J27-J39</f>
        <v>-92089.6562</v>
      </c>
      <c r="K40" s="1013"/>
      <c r="L40" s="1099"/>
      <c r="M40" s="1099"/>
      <c r="N40" s="1099"/>
      <c r="O40" s="745"/>
      <c r="P40" s="475">
        <f>P27-P39</f>
        <v>0</v>
      </c>
      <c r="Q40" s="736"/>
      <c r="R40" s="736"/>
      <c r="S40" s="736"/>
      <c r="T40" s="736"/>
      <c r="U40" s="736"/>
      <c r="V40" s="237"/>
      <c r="W40" s="237"/>
      <c r="X40" s="237"/>
      <c r="Y40" s="237"/>
      <c r="Z40" s="237"/>
      <c r="AA40" s="237"/>
      <c r="AB40" s="237"/>
      <c r="AC40" s="237"/>
    </row>
    <row r="41" ht="15.75" customHeight="1">
      <c r="A41" s="237"/>
      <c r="B41" s="1083" t="s">
        <v>23</v>
      </c>
      <c r="C41" s="1083" t="s">
        <v>202</v>
      </c>
      <c r="D41" s="448">
        <v>0.0</v>
      </c>
      <c r="E41" s="522"/>
      <c r="F41" s="522"/>
      <c r="G41" s="522"/>
      <c r="H41" s="522"/>
      <c r="I41" s="524"/>
      <c r="J41" s="448">
        <v>0.0</v>
      </c>
      <c r="K41" s="521"/>
      <c r="L41" s="521"/>
      <c r="M41" s="521"/>
      <c r="N41" s="521"/>
      <c r="O41" s="464"/>
      <c r="P41" s="482">
        <v>0.0</v>
      </c>
      <c r="Q41" s="454"/>
      <c r="R41" s="454"/>
      <c r="S41" s="454"/>
      <c r="T41" s="454"/>
      <c r="U41" s="454"/>
      <c r="V41" s="237"/>
      <c r="W41" s="237"/>
      <c r="X41" s="237"/>
      <c r="Y41" s="237"/>
      <c r="Z41" s="237"/>
      <c r="AA41" s="237"/>
      <c r="AB41" s="237"/>
      <c r="AC41" s="237"/>
    </row>
    <row r="42" ht="15.75" customHeight="1">
      <c r="A42" s="237"/>
      <c r="B42" s="1016" t="s">
        <v>23</v>
      </c>
      <c r="C42" s="1016" t="s">
        <v>201</v>
      </c>
      <c r="D42" s="452">
        <v>0.0</v>
      </c>
      <c r="E42" s="521"/>
      <c r="F42" s="521"/>
      <c r="G42" s="521"/>
      <c r="H42" s="521"/>
      <c r="I42" s="464"/>
      <c r="J42" s="452">
        <v>0.0</v>
      </c>
      <c r="K42" s="521"/>
      <c r="L42" s="521"/>
      <c r="M42" s="521"/>
      <c r="N42" s="521"/>
      <c r="O42" s="464"/>
      <c r="P42" s="459">
        <v>0.0</v>
      </c>
      <c r="Q42" s="454"/>
      <c r="R42" s="454"/>
      <c r="S42" s="454"/>
      <c r="T42" s="454"/>
      <c r="U42" s="454"/>
      <c r="V42" s="237"/>
      <c r="W42" s="237"/>
      <c r="X42" s="237"/>
      <c r="Y42" s="237"/>
      <c r="Z42" s="237"/>
      <c r="AA42" s="237"/>
      <c r="AB42" s="237"/>
      <c r="AC42" s="237"/>
    </row>
    <row r="43" ht="15.75" hidden="1" customHeight="1">
      <c r="A43" s="237"/>
      <c r="B43" s="1016" t="s">
        <v>21</v>
      </c>
      <c r="C43" s="1016" t="s">
        <v>202</v>
      </c>
      <c r="D43" s="452">
        <v>0.0</v>
      </c>
      <c r="E43" s="521"/>
      <c r="F43" s="521"/>
      <c r="G43" s="521"/>
      <c r="H43" s="521"/>
      <c r="I43" s="464"/>
      <c r="J43" s="452">
        <v>0.0</v>
      </c>
      <c r="K43" s="521"/>
      <c r="L43" s="521"/>
      <c r="M43" s="521"/>
      <c r="N43" s="521"/>
      <c r="O43" s="464"/>
      <c r="P43" s="459">
        <v>0.0</v>
      </c>
      <c r="Q43" s="454"/>
      <c r="R43" s="454"/>
      <c r="S43" s="454"/>
      <c r="T43" s="454"/>
      <c r="U43" s="454"/>
      <c r="V43" s="237"/>
      <c r="W43" s="237"/>
      <c r="X43" s="237"/>
      <c r="Y43" s="237"/>
      <c r="Z43" s="237"/>
      <c r="AA43" s="237"/>
      <c r="AB43" s="237"/>
      <c r="AC43" s="237"/>
    </row>
    <row r="44" ht="15.75" hidden="1" customHeight="1">
      <c r="A44" s="237"/>
      <c r="B44" s="1016" t="s">
        <v>21</v>
      </c>
      <c r="C44" s="1016" t="s">
        <v>201</v>
      </c>
      <c r="D44" s="452">
        <v>0.0</v>
      </c>
      <c r="E44" s="521"/>
      <c r="F44" s="521"/>
      <c r="G44" s="521"/>
      <c r="H44" s="521"/>
      <c r="I44" s="464"/>
      <c r="J44" s="452">
        <v>0.0</v>
      </c>
      <c r="K44" s="521"/>
      <c r="L44" s="521"/>
      <c r="M44" s="521"/>
      <c r="N44" s="521"/>
      <c r="O44" s="464"/>
      <c r="P44" s="459">
        <v>0.0</v>
      </c>
      <c r="Q44" s="454"/>
      <c r="R44" s="454"/>
      <c r="S44" s="454"/>
      <c r="T44" s="454"/>
      <c r="U44" s="454"/>
      <c r="V44" s="237"/>
      <c r="W44" s="237"/>
      <c r="X44" s="237"/>
      <c r="Y44" s="237"/>
      <c r="Z44" s="237"/>
      <c r="AA44" s="237"/>
      <c r="AB44" s="237"/>
      <c r="AC44" s="237"/>
    </row>
    <row r="45" ht="15.75" hidden="1" customHeight="1">
      <c r="A45" s="237"/>
      <c r="B45" s="1016" t="s">
        <v>22</v>
      </c>
      <c r="C45" s="1016" t="s">
        <v>202</v>
      </c>
      <c r="D45" s="452">
        <v>0.0</v>
      </c>
      <c r="E45" s="521"/>
      <c r="F45" s="521"/>
      <c r="G45" s="521"/>
      <c r="H45" s="521"/>
      <c r="I45" s="464"/>
      <c r="J45" s="452">
        <v>0.0</v>
      </c>
      <c r="K45" s="521"/>
      <c r="L45" s="521"/>
      <c r="M45" s="521"/>
      <c r="N45" s="521"/>
      <c r="O45" s="464"/>
      <c r="P45" s="459">
        <v>0.0</v>
      </c>
      <c r="Q45" s="454"/>
      <c r="R45" s="454"/>
      <c r="S45" s="454"/>
      <c r="T45" s="454"/>
      <c r="U45" s="454"/>
      <c r="V45" s="237"/>
      <c r="W45" s="237"/>
      <c r="X45" s="237"/>
      <c r="Y45" s="237"/>
      <c r="Z45" s="237"/>
      <c r="AA45" s="237"/>
      <c r="AB45" s="237"/>
      <c r="AC45" s="237"/>
    </row>
    <row r="46" ht="15.75" hidden="1" customHeight="1">
      <c r="A46" s="237"/>
      <c r="B46" s="1016" t="s">
        <v>22</v>
      </c>
      <c r="C46" s="1016" t="s">
        <v>201</v>
      </c>
      <c r="D46" s="452">
        <v>0.0</v>
      </c>
      <c r="E46" s="521"/>
      <c r="F46" s="521"/>
      <c r="G46" s="521"/>
      <c r="H46" s="521"/>
      <c r="I46" s="464"/>
      <c r="J46" s="452">
        <v>0.0</v>
      </c>
      <c r="K46" s="521"/>
      <c r="L46" s="521"/>
      <c r="M46" s="521"/>
      <c r="N46" s="521"/>
      <c r="O46" s="464"/>
      <c r="P46" s="459">
        <v>0.0</v>
      </c>
      <c r="Q46" s="454"/>
      <c r="R46" s="454"/>
      <c r="S46" s="454"/>
      <c r="T46" s="454"/>
      <c r="U46" s="454"/>
      <c r="V46" s="237"/>
      <c r="W46" s="237"/>
      <c r="X46" s="237"/>
      <c r="Y46" s="237"/>
      <c r="Z46" s="237"/>
      <c r="AA46" s="237"/>
      <c r="AB46" s="237"/>
      <c r="AC46" s="237"/>
    </row>
    <row r="47" ht="15.75" hidden="1" customHeight="1">
      <c r="A47" s="237"/>
      <c r="B47" s="1016"/>
      <c r="C47" s="1016"/>
      <c r="D47" s="452"/>
      <c r="E47" s="521"/>
      <c r="F47" s="521"/>
      <c r="G47" s="521"/>
      <c r="H47" s="521"/>
      <c r="I47" s="464"/>
      <c r="J47" s="452"/>
      <c r="K47" s="521"/>
      <c r="L47" s="521"/>
      <c r="M47" s="521"/>
      <c r="N47" s="521"/>
      <c r="O47" s="464"/>
      <c r="P47" s="459"/>
      <c r="Q47" s="454"/>
      <c r="R47" s="454"/>
      <c r="S47" s="454"/>
      <c r="T47" s="454"/>
      <c r="U47" s="454"/>
      <c r="V47" s="237"/>
      <c r="W47" s="237"/>
      <c r="X47" s="237"/>
      <c r="Y47" s="237"/>
      <c r="Z47" s="237"/>
      <c r="AA47" s="237"/>
      <c r="AB47" s="237"/>
      <c r="AC47" s="237"/>
    </row>
    <row r="48" ht="15.75" hidden="1" customHeight="1">
      <c r="A48" s="237"/>
      <c r="B48" s="1016"/>
      <c r="C48" s="1016"/>
      <c r="D48" s="452"/>
      <c r="E48" s="521"/>
      <c r="F48" s="521"/>
      <c r="G48" s="521"/>
      <c r="H48" s="521"/>
      <c r="I48" s="464"/>
      <c r="J48" s="452"/>
      <c r="K48" s="521"/>
      <c r="L48" s="521"/>
      <c r="M48" s="521"/>
      <c r="N48" s="521"/>
      <c r="O48" s="464"/>
      <c r="P48" s="459"/>
      <c r="Q48" s="454"/>
      <c r="R48" s="454"/>
      <c r="S48" s="454"/>
      <c r="T48" s="454"/>
      <c r="U48" s="454"/>
      <c r="V48" s="237"/>
      <c r="W48" s="237"/>
      <c r="X48" s="237"/>
      <c r="Y48" s="237"/>
      <c r="Z48" s="237"/>
      <c r="AA48" s="237"/>
      <c r="AB48" s="237"/>
      <c r="AC48" s="237"/>
    </row>
    <row r="49" ht="15.75" hidden="1" customHeight="1">
      <c r="A49" s="237"/>
      <c r="B49" s="1016"/>
      <c r="C49" s="1016"/>
      <c r="D49" s="452"/>
      <c r="E49" s="521"/>
      <c r="F49" s="521"/>
      <c r="G49" s="521"/>
      <c r="H49" s="521"/>
      <c r="I49" s="464"/>
      <c r="J49" s="452"/>
      <c r="K49" s="521"/>
      <c r="L49" s="521"/>
      <c r="M49" s="521"/>
      <c r="N49" s="521"/>
      <c r="O49" s="464"/>
      <c r="P49" s="459"/>
      <c r="Q49" s="454"/>
      <c r="R49" s="454"/>
      <c r="S49" s="454"/>
      <c r="T49" s="454"/>
      <c r="U49" s="454"/>
      <c r="V49" s="237"/>
      <c r="W49" s="237"/>
      <c r="X49" s="237"/>
      <c r="Y49" s="237"/>
      <c r="Z49" s="237"/>
      <c r="AA49" s="237"/>
      <c r="AB49" s="237"/>
      <c r="AC49" s="237"/>
    </row>
    <row r="50" ht="15.75" customHeight="1">
      <c r="A50" s="237"/>
      <c r="B50" s="1016"/>
      <c r="C50" s="1016" t="s">
        <v>358</v>
      </c>
      <c r="D50" s="452">
        <f>SUM(D41:D47)</f>
        <v>0</v>
      </c>
      <c r="E50" s="538" t="str">
        <f>D50/D14</f>
        <v>#DIV/0!</v>
      </c>
      <c r="F50" s="612">
        <f>SUM(F41:F47)</f>
        <v>0</v>
      </c>
      <c r="G50" s="538" t="str">
        <f>F50/F14</f>
        <v>#DIV/0!</v>
      </c>
      <c r="H50" s="612">
        <f>SUM(H41:H47)</f>
        <v>0</v>
      </c>
      <c r="I50" s="542"/>
      <c r="J50" s="452">
        <f>SUM(J41:J47)</f>
        <v>0</v>
      </c>
      <c r="K50" s="538" t="str">
        <f>J50/J14</f>
        <v>#DIV/0!</v>
      </c>
      <c r="L50" s="612">
        <f>SUM(L41:L47)</f>
        <v>0</v>
      </c>
      <c r="M50" s="538" t="str">
        <f>L50/L14</f>
        <v>#DIV/0!</v>
      </c>
      <c r="N50" s="612">
        <f>SUM(N41:N47)</f>
        <v>0</v>
      </c>
      <c r="O50" s="542"/>
      <c r="P50" s="459">
        <f>SUM(P41:P47)</f>
        <v>0</v>
      </c>
      <c r="Q50" s="716" t="str">
        <f>P50/P14</f>
        <v>#DIV/0!</v>
      </c>
      <c r="R50" s="685">
        <f>SUM(R41:R47)</f>
        <v>0</v>
      </c>
      <c r="S50" s="716" t="str">
        <f>R50/R14</f>
        <v>#DIV/0!</v>
      </c>
      <c r="T50" s="685">
        <f>SUM(T41:T47)</f>
        <v>0</v>
      </c>
      <c r="U50" s="716"/>
      <c r="V50" s="237"/>
      <c r="W50" s="237"/>
      <c r="X50" s="237"/>
      <c r="Y50" s="237"/>
      <c r="Z50" s="237"/>
      <c r="AA50" s="237"/>
      <c r="AB50" s="237"/>
      <c r="AC50" s="237"/>
    </row>
    <row r="51" ht="15.75" customHeight="1">
      <c r="A51" s="237"/>
      <c r="B51" s="1016"/>
      <c r="C51" s="1016"/>
      <c r="D51" s="452"/>
      <c r="E51" s="521"/>
      <c r="F51" s="521"/>
      <c r="G51" s="521"/>
      <c r="H51" s="521"/>
      <c r="I51" s="464"/>
      <c r="J51" s="452"/>
      <c r="K51" s="521"/>
      <c r="L51" s="521"/>
      <c r="M51" s="521"/>
      <c r="N51" s="521"/>
      <c r="O51" s="464"/>
      <c r="P51" s="459"/>
      <c r="Q51" s="454"/>
      <c r="R51" s="454"/>
      <c r="S51" s="454"/>
      <c r="T51" s="454"/>
      <c r="U51" s="454"/>
      <c r="V51" s="237"/>
      <c r="W51" s="237"/>
      <c r="X51" s="237"/>
      <c r="Y51" s="237"/>
      <c r="Z51" s="237"/>
      <c r="AA51" s="237"/>
      <c r="AB51" s="237"/>
      <c r="AC51" s="237"/>
    </row>
    <row r="52" ht="15.75" customHeight="1">
      <c r="A52" s="237"/>
      <c r="B52" s="1016"/>
      <c r="C52" s="1016"/>
      <c r="D52" s="452"/>
      <c r="E52" s="521"/>
      <c r="F52" s="521"/>
      <c r="G52" s="521"/>
      <c r="H52" s="521"/>
      <c r="I52" s="464"/>
      <c r="J52" s="452"/>
      <c r="K52" s="521"/>
      <c r="L52" s="521"/>
      <c r="M52" s="521"/>
      <c r="N52" s="521"/>
      <c r="O52" s="464"/>
      <c r="P52" s="459"/>
      <c r="Q52" s="454"/>
      <c r="R52" s="454"/>
      <c r="S52" s="454"/>
      <c r="T52" s="454"/>
      <c r="U52" s="454"/>
      <c r="V52" s="237"/>
      <c r="W52" s="237"/>
      <c r="X52" s="237"/>
      <c r="Y52" s="237"/>
      <c r="Z52" s="237"/>
      <c r="AA52" s="237"/>
      <c r="AB52" s="237"/>
      <c r="AC52" s="237"/>
    </row>
    <row r="53" ht="15.75" customHeight="1">
      <c r="A53" s="237"/>
      <c r="B53" s="1100"/>
      <c r="C53" s="742" t="s">
        <v>194</v>
      </c>
      <c r="D53" s="479"/>
      <c r="E53" s="1008"/>
      <c r="F53" s="1008"/>
      <c r="G53" s="1008"/>
      <c r="H53" s="1101">
        <f t="shared" ref="H53:H59" si="5">D53-F53</f>
        <v>0</v>
      </c>
      <c r="I53" s="1011"/>
      <c r="J53" s="479"/>
      <c r="K53" s="1008"/>
      <c r="L53" s="1008"/>
      <c r="M53" s="1008"/>
      <c r="N53" s="1101">
        <f t="shared" ref="N53:N59" si="6">J53-L53</f>
        <v>0</v>
      </c>
      <c r="O53" s="1011"/>
      <c r="P53" s="493"/>
      <c r="Q53" s="629"/>
      <c r="R53" s="629"/>
      <c r="S53" s="629"/>
      <c r="T53" s="705">
        <f t="shared" ref="T53:T59" si="7">P53-R53</f>
        <v>0</v>
      </c>
      <c r="U53" s="629"/>
      <c r="V53" s="237"/>
      <c r="W53" s="237"/>
      <c r="X53" s="237"/>
      <c r="Y53" s="237"/>
      <c r="Z53" s="237"/>
      <c r="AA53" s="237"/>
      <c r="AB53" s="237"/>
      <c r="AC53" s="237"/>
    </row>
    <row r="54" ht="15.75" hidden="1" customHeight="1">
      <c r="A54" s="237"/>
      <c r="B54" s="1083"/>
      <c r="C54" s="1083" t="s">
        <v>195</v>
      </c>
      <c r="D54" s="448"/>
      <c r="E54" s="522"/>
      <c r="F54" s="610"/>
      <c r="G54" s="522"/>
      <c r="H54" s="610">
        <f t="shared" si="5"/>
        <v>0</v>
      </c>
      <c r="I54" s="524"/>
      <c r="J54" s="448"/>
      <c r="K54" s="522"/>
      <c r="L54" s="610"/>
      <c r="M54" s="522"/>
      <c r="N54" s="610">
        <f t="shared" si="6"/>
        <v>0</v>
      </c>
      <c r="O54" s="524"/>
      <c r="P54" s="482"/>
      <c r="Q54" s="446"/>
      <c r="R54" s="686"/>
      <c r="S54" s="446"/>
      <c r="T54" s="686">
        <f t="shared" si="7"/>
        <v>0</v>
      </c>
      <c r="U54" s="446"/>
      <c r="V54" s="237"/>
      <c r="W54" s="237"/>
      <c r="X54" s="237"/>
      <c r="Y54" s="237"/>
      <c r="Z54" s="237"/>
      <c r="AA54" s="237"/>
      <c r="AB54" s="237"/>
      <c r="AC54" s="237"/>
    </row>
    <row r="55" ht="15.75" hidden="1" customHeight="1">
      <c r="A55" s="237"/>
      <c r="B55" s="1016"/>
      <c r="C55" s="1016" t="s">
        <v>196</v>
      </c>
      <c r="D55" s="452"/>
      <c r="E55" s="521"/>
      <c r="F55" s="521"/>
      <c r="G55" s="521"/>
      <c r="H55" s="612">
        <f t="shared" si="5"/>
        <v>0</v>
      </c>
      <c r="I55" s="464"/>
      <c r="J55" s="452"/>
      <c r="K55" s="521"/>
      <c r="L55" s="521"/>
      <c r="M55" s="521"/>
      <c r="N55" s="612">
        <f t="shared" si="6"/>
        <v>0</v>
      </c>
      <c r="O55" s="464"/>
      <c r="P55" s="459"/>
      <c r="Q55" s="454"/>
      <c r="R55" s="454"/>
      <c r="S55" s="454"/>
      <c r="T55" s="685">
        <f t="shared" si="7"/>
        <v>0</v>
      </c>
      <c r="U55" s="454"/>
      <c r="V55" s="237"/>
      <c r="W55" s="237"/>
      <c r="X55" s="237"/>
      <c r="Y55" s="237"/>
      <c r="Z55" s="237"/>
      <c r="AA55" s="237"/>
      <c r="AB55" s="237"/>
      <c r="AC55" s="237"/>
    </row>
    <row r="56" ht="15.75" hidden="1" customHeight="1">
      <c r="A56" s="237"/>
      <c r="B56" s="1016"/>
      <c r="C56" s="1016" t="s">
        <v>266</v>
      </c>
      <c r="D56" s="452"/>
      <c r="E56" s="521"/>
      <c r="F56" s="521"/>
      <c r="G56" s="521"/>
      <c r="H56" s="612">
        <f t="shared" si="5"/>
        <v>0</v>
      </c>
      <c r="I56" s="464"/>
      <c r="J56" s="452"/>
      <c r="K56" s="521"/>
      <c r="L56" s="521"/>
      <c r="M56" s="521"/>
      <c r="N56" s="612">
        <f t="shared" si="6"/>
        <v>0</v>
      </c>
      <c r="O56" s="464"/>
      <c r="P56" s="459"/>
      <c r="Q56" s="454"/>
      <c r="R56" s="454"/>
      <c r="S56" s="454"/>
      <c r="T56" s="685">
        <f t="shared" si="7"/>
        <v>0</v>
      </c>
      <c r="U56" s="454"/>
      <c r="V56" s="237"/>
      <c r="W56" s="237"/>
      <c r="X56" s="237"/>
      <c r="Y56" s="237"/>
      <c r="Z56" s="237"/>
      <c r="AA56" s="237"/>
      <c r="AB56" s="237"/>
      <c r="AC56" s="237"/>
    </row>
    <row r="57" ht="15.75" hidden="1" customHeight="1">
      <c r="A57" s="237"/>
      <c r="B57" s="1016"/>
      <c r="C57" s="1016" t="s">
        <v>197</v>
      </c>
      <c r="D57" s="452"/>
      <c r="E57" s="521"/>
      <c r="F57" s="521"/>
      <c r="G57" s="521"/>
      <c r="H57" s="612">
        <f t="shared" si="5"/>
        <v>0</v>
      </c>
      <c r="I57" s="464"/>
      <c r="J57" s="452"/>
      <c r="K57" s="521"/>
      <c r="L57" s="521"/>
      <c r="M57" s="521"/>
      <c r="N57" s="612">
        <f t="shared" si="6"/>
        <v>0</v>
      </c>
      <c r="O57" s="464"/>
      <c r="P57" s="459"/>
      <c r="Q57" s="454"/>
      <c r="R57" s="454"/>
      <c r="S57" s="454"/>
      <c r="T57" s="685">
        <f t="shared" si="7"/>
        <v>0</v>
      </c>
      <c r="U57" s="454"/>
      <c r="V57" s="237"/>
      <c r="W57" s="237"/>
      <c r="X57" s="237"/>
      <c r="Y57" s="237"/>
      <c r="Z57" s="237"/>
      <c r="AA57" s="237"/>
      <c r="AB57" s="237"/>
      <c r="AC57" s="237"/>
    </row>
    <row r="58" ht="15.75" hidden="1" customHeight="1">
      <c r="A58" s="237"/>
      <c r="B58" s="1016"/>
      <c r="C58" s="1016" t="s">
        <v>198</v>
      </c>
      <c r="D58" s="452"/>
      <c r="E58" s="521"/>
      <c r="F58" s="521"/>
      <c r="G58" s="521"/>
      <c r="H58" s="612">
        <f t="shared" si="5"/>
        <v>0</v>
      </c>
      <c r="I58" s="464"/>
      <c r="J58" s="452"/>
      <c r="K58" s="521"/>
      <c r="L58" s="521"/>
      <c r="M58" s="521"/>
      <c r="N58" s="612">
        <f t="shared" si="6"/>
        <v>0</v>
      </c>
      <c r="O58" s="464"/>
      <c r="P58" s="459"/>
      <c r="Q58" s="454"/>
      <c r="R58" s="454"/>
      <c r="S58" s="454"/>
      <c r="T58" s="685">
        <f t="shared" si="7"/>
        <v>0</v>
      </c>
      <c r="U58" s="454"/>
      <c r="V58" s="237"/>
      <c r="W58" s="237"/>
      <c r="X58" s="237"/>
      <c r="Y58" s="237"/>
      <c r="Z58" s="237"/>
      <c r="AA58" s="237"/>
      <c r="AB58" s="237"/>
      <c r="AC58" s="237"/>
    </row>
    <row r="59" ht="15.75" hidden="1" customHeight="1">
      <c r="A59" s="237"/>
      <c r="B59" s="1092"/>
      <c r="C59" s="1092" t="s">
        <v>199</v>
      </c>
      <c r="D59" s="470"/>
      <c r="E59" s="526"/>
      <c r="F59" s="526"/>
      <c r="G59" s="526"/>
      <c r="H59" s="664">
        <f t="shared" si="5"/>
        <v>0</v>
      </c>
      <c r="I59" s="528"/>
      <c r="J59" s="470"/>
      <c r="K59" s="526"/>
      <c r="L59" s="526"/>
      <c r="M59" s="526"/>
      <c r="N59" s="664">
        <f t="shared" si="6"/>
        <v>0</v>
      </c>
      <c r="O59" s="528"/>
      <c r="P59" s="472"/>
      <c r="Q59" s="525"/>
      <c r="R59" s="525"/>
      <c r="S59" s="525"/>
      <c r="T59" s="687">
        <f t="shared" si="7"/>
        <v>0</v>
      </c>
      <c r="U59" s="525"/>
      <c r="V59" s="237"/>
      <c r="W59" s="237"/>
      <c r="X59" s="237"/>
      <c r="Y59" s="237"/>
      <c r="Z59" s="237"/>
      <c r="AA59" s="237"/>
      <c r="AB59" s="237"/>
      <c r="AC59" s="237"/>
    </row>
    <row r="60" ht="15.75" customHeight="1">
      <c r="A60" s="237"/>
      <c r="B60" s="1097"/>
      <c r="C60" s="1097" t="s">
        <v>200</v>
      </c>
      <c r="D60" s="475">
        <f>SUM(D54:D59)</f>
        <v>0</v>
      </c>
      <c r="E60" s="442"/>
      <c r="F60" s="627">
        <f>SUM(F54:F59)</f>
        <v>0</v>
      </c>
      <c r="G60" s="442"/>
      <c r="H60" s="627">
        <f>SUM(H54:H59)</f>
        <v>0</v>
      </c>
      <c r="I60" s="442"/>
      <c r="J60" s="475">
        <f>SUM(J54:J59)</f>
        <v>0</v>
      </c>
      <c r="K60" s="442"/>
      <c r="L60" s="627">
        <f>SUM(L54:L59)</f>
        <v>0</v>
      </c>
      <c r="M60" s="442"/>
      <c r="N60" s="627">
        <f>SUM(N54:N59)</f>
        <v>0</v>
      </c>
      <c r="O60" s="442"/>
      <c r="P60" s="475">
        <f>SUM(P54:P59)</f>
        <v>0</v>
      </c>
      <c r="Q60" s="442"/>
      <c r="R60" s="627">
        <f>SUM(R54:R59)</f>
        <v>0</v>
      </c>
      <c r="S60" s="442"/>
      <c r="T60" s="627">
        <f>SUM(T54:T59)</f>
        <v>0</v>
      </c>
      <c r="U60" s="442"/>
      <c r="V60" s="237"/>
      <c r="W60" s="237"/>
      <c r="X60" s="237"/>
      <c r="Y60" s="237"/>
      <c r="Z60" s="237"/>
      <c r="AA60" s="237"/>
      <c r="AB60" s="237"/>
      <c r="AC60" s="237"/>
    </row>
    <row r="61" ht="15.75" hidden="1" customHeight="1">
      <c r="A61" s="237"/>
      <c r="B61" s="1083"/>
      <c r="C61" s="1083"/>
      <c r="D61" s="448"/>
      <c r="E61" s="522"/>
      <c r="F61" s="522"/>
      <c r="G61" s="522"/>
      <c r="H61" s="522"/>
      <c r="I61" s="524"/>
      <c r="J61" s="448"/>
      <c r="K61" s="522"/>
      <c r="L61" s="522"/>
      <c r="M61" s="522"/>
      <c r="N61" s="522"/>
      <c r="O61" s="524"/>
      <c r="P61" s="482"/>
      <c r="Q61" s="446"/>
      <c r="R61" s="446"/>
      <c r="S61" s="446"/>
      <c r="T61" s="446"/>
      <c r="U61" s="446"/>
      <c r="V61" s="237"/>
      <c r="W61" s="237"/>
      <c r="X61" s="237"/>
      <c r="Y61" s="237"/>
      <c r="Z61" s="237"/>
      <c r="AA61" s="237"/>
      <c r="AB61" s="237"/>
      <c r="AC61" s="237"/>
    </row>
    <row r="62" ht="15.75" hidden="1" customHeight="1">
      <c r="A62" s="237"/>
      <c r="B62" s="1016"/>
      <c r="C62" s="1016"/>
      <c r="D62" s="452"/>
      <c r="E62" s="521"/>
      <c r="F62" s="521"/>
      <c r="G62" s="521"/>
      <c r="H62" s="521"/>
      <c r="I62" s="464"/>
      <c r="J62" s="452"/>
      <c r="K62" s="521"/>
      <c r="L62" s="521"/>
      <c r="M62" s="521"/>
      <c r="N62" s="521"/>
      <c r="O62" s="464"/>
      <c r="P62" s="459"/>
      <c r="Q62" s="454"/>
      <c r="R62" s="454"/>
      <c r="S62" s="454"/>
      <c r="T62" s="454"/>
      <c r="U62" s="454"/>
      <c r="V62" s="237"/>
      <c r="W62" s="237"/>
      <c r="X62" s="237"/>
      <c r="Y62" s="237"/>
      <c r="Z62" s="237"/>
      <c r="AA62" s="237"/>
      <c r="AB62" s="237"/>
      <c r="AC62" s="237"/>
    </row>
    <row r="63" ht="15.75" hidden="1" customHeight="1">
      <c r="A63" s="237"/>
      <c r="B63" s="1016"/>
      <c r="C63" s="1016"/>
      <c r="D63" s="452"/>
      <c r="E63" s="521"/>
      <c r="F63" s="521"/>
      <c r="G63" s="521"/>
      <c r="H63" s="521"/>
      <c r="I63" s="464"/>
      <c r="J63" s="452"/>
      <c r="K63" s="521"/>
      <c r="L63" s="521"/>
      <c r="M63" s="521"/>
      <c r="N63" s="521"/>
      <c r="O63" s="464"/>
      <c r="P63" s="459"/>
      <c r="Q63" s="454"/>
      <c r="R63" s="454"/>
      <c r="S63" s="454"/>
      <c r="T63" s="454"/>
      <c r="U63" s="454"/>
      <c r="V63" s="237"/>
      <c r="W63" s="237"/>
      <c r="X63" s="237"/>
      <c r="Y63" s="237"/>
      <c r="Z63" s="237"/>
      <c r="AA63" s="237"/>
      <c r="AB63" s="237"/>
      <c r="AC63" s="237"/>
    </row>
    <row r="64" ht="15.75" hidden="1" customHeight="1">
      <c r="A64" s="237"/>
      <c r="B64" s="1016"/>
      <c r="C64" s="1016"/>
      <c r="D64" s="452"/>
      <c r="E64" s="521"/>
      <c r="F64" s="521"/>
      <c r="G64" s="521"/>
      <c r="H64" s="521"/>
      <c r="I64" s="464"/>
      <c r="J64" s="452"/>
      <c r="K64" s="521"/>
      <c r="L64" s="521"/>
      <c r="M64" s="521"/>
      <c r="N64" s="521"/>
      <c r="O64" s="464"/>
      <c r="P64" s="459"/>
      <c r="Q64" s="454"/>
      <c r="R64" s="454"/>
      <c r="S64" s="454"/>
      <c r="T64" s="454"/>
      <c r="U64" s="454"/>
      <c r="V64" s="237"/>
      <c r="W64" s="237"/>
      <c r="X64" s="237"/>
      <c r="Y64" s="237"/>
      <c r="Z64" s="237"/>
      <c r="AA64" s="237"/>
      <c r="AB64" s="237"/>
      <c r="AC64" s="237"/>
    </row>
    <row r="65" ht="15.75" hidden="1" customHeight="1">
      <c r="A65" s="237"/>
      <c r="B65" s="1016"/>
      <c r="C65" s="1016"/>
      <c r="D65" s="452"/>
      <c r="E65" s="521"/>
      <c r="F65" s="521"/>
      <c r="G65" s="521"/>
      <c r="H65" s="521"/>
      <c r="I65" s="464"/>
      <c r="J65" s="452"/>
      <c r="K65" s="521"/>
      <c r="L65" s="521"/>
      <c r="M65" s="521"/>
      <c r="N65" s="521"/>
      <c r="O65" s="464"/>
      <c r="P65" s="459"/>
      <c r="Q65" s="454"/>
      <c r="R65" s="454"/>
      <c r="S65" s="454"/>
      <c r="T65" s="454"/>
      <c r="U65" s="454"/>
      <c r="V65" s="237"/>
      <c r="W65" s="237"/>
      <c r="X65" s="237"/>
      <c r="Y65" s="237"/>
      <c r="Z65" s="237"/>
      <c r="AA65" s="237"/>
      <c r="AB65" s="237"/>
      <c r="AC65" s="237"/>
    </row>
    <row r="66" ht="15.75" hidden="1" customHeight="1">
      <c r="A66" s="237"/>
      <c r="B66" s="1016"/>
      <c r="C66" s="1016"/>
      <c r="D66" s="452"/>
      <c r="E66" s="521"/>
      <c r="F66" s="521"/>
      <c r="G66" s="521"/>
      <c r="H66" s="521"/>
      <c r="I66" s="464"/>
      <c r="J66" s="452"/>
      <c r="K66" s="521"/>
      <c r="L66" s="521"/>
      <c r="M66" s="521"/>
      <c r="N66" s="521"/>
      <c r="O66" s="464"/>
      <c r="P66" s="459"/>
      <c r="Q66" s="454"/>
      <c r="R66" s="454"/>
      <c r="S66" s="454"/>
      <c r="T66" s="454"/>
      <c r="U66" s="454"/>
      <c r="V66" s="237"/>
      <c r="W66" s="237"/>
      <c r="X66" s="237"/>
      <c r="Y66" s="237"/>
      <c r="Z66" s="237"/>
      <c r="AA66" s="237"/>
      <c r="AB66" s="237"/>
      <c r="AC66" s="237"/>
    </row>
    <row r="67" ht="15.75" hidden="1" customHeight="1">
      <c r="A67" s="237"/>
      <c r="B67" s="1016"/>
      <c r="C67" s="1016"/>
      <c r="D67" s="452"/>
      <c r="E67" s="521"/>
      <c r="F67" s="521"/>
      <c r="G67" s="521"/>
      <c r="H67" s="521"/>
      <c r="I67" s="464"/>
      <c r="J67" s="452"/>
      <c r="K67" s="521"/>
      <c r="L67" s="521"/>
      <c r="M67" s="521"/>
      <c r="N67" s="521"/>
      <c r="O67" s="464"/>
      <c r="P67" s="459"/>
      <c r="Q67" s="454"/>
      <c r="R67" s="454"/>
      <c r="S67" s="454"/>
      <c r="T67" s="454"/>
      <c r="U67" s="454"/>
      <c r="V67" s="237"/>
      <c r="W67" s="237"/>
      <c r="X67" s="237"/>
      <c r="Y67" s="237"/>
      <c r="Z67" s="237"/>
      <c r="AA67" s="237"/>
      <c r="AB67" s="237"/>
      <c r="AC67" s="237"/>
    </row>
    <row r="68" ht="15.75" customHeight="1">
      <c r="A68" s="237"/>
      <c r="B68" s="1016"/>
      <c r="C68" s="1016"/>
      <c r="D68" s="452"/>
      <c r="E68" s="521"/>
      <c r="F68" s="521"/>
      <c r="G68" s="521"/>
      <c r="H68" s="521"/>
      <c r="I68" s="464"/>
      <c r="J68" s="452"/>
      <c r="K68" s="521"/>
      <c r="L68" s="521"/>
      <c r="M68" s="521"/>
      <c r="N68" s="521"/>
      <c r="O68" s="464"/>
      <c r="P68" s="459"/>
      <c r="Q68" s="454"/>
      <c r="R68" s="454"/>
      <c r="S68" s="454"/>
      <c r="T68" s="454"/>
      <c r="U68" s="454"/>
      <c r="V68" s="237"/>
      <c r="W68" s="237"/>
      <c r="X68" s="237"/>
      <c r="Y68" s="237"/>
      <c r="Z68" s="237"/>
      <c r="AA68" s="237"/>
      <c r="AB68" s="237"/>
      <c r="AC68" s="237"/>
    </row>
    <row r="69" ht="15.75" customHeight="1">
      <c r="A69" s="237"/>
      <c r="B69" s="1016"/>
      <c r="C69" s="1016"/>
      <c r="D69" s="452"/>
      <c r="E69" s="538"/>
      <c r="F69" s="521"/>
      <c r="G69" s="538"/>
      <c r="H69" s="521"/>
      <c r="I69" s="542"/>
      <c r="J69" s="452"/>
      <c r="K69" s="538"/>
      <c r="L69" s="521"/>
      <c r="M69" s="538"/>
      <c r="N69" s="521"/>
      <c r="O69" s="542"/>
      <c r="P69" s="459"/>
      <c r="Q69" s="716"/>
      <c r="R69" s="454"/>
      <c r="S69" s="716"/>
      <c r="T69" s="454"/>
      <c r="U69" s="716"/>
      <c r="V69" s="237"/>
      <c r="W69" s="237"/>
      <c r="X69" s="237"/>
      <c r="Y69" s="237"/>
      <c r="Z69" s="237"/>
      <c r="AA69" s="237"/>
      <c r="AB69" s="237"/>
      <c r="AC69" s="237"/>
    </row>
    <row r="70" ht="15.75" customHeight="1">
      <c r="A70" s="237"/>
      <c r="B70" s="1016"/>
      <c r="C70" s="1016"/>
      <c r="D70" s="452"/>
      <c r="E70" s="521"/>
      <c r="F70" s="521"/>
      <c r="G70" s="521"/>
      <c r="H70" s="521"/>
      <c r="I70" s="464"/>
      <c r="J70" s="452"/>
      <c r="K70" s="521"/>
      <c r="L70" s="521"/>
      <c r="M70" s="521"/>
      <c r="N70" s="521"/>
      <c r="O70" s="464"/>
      <c r="P70" s="459"/>
      <c r="Q70" s="454"/>
      <c r="R70" s="454"/>
      <c r="S70" s="454"/>
      <c r="T70" s="454"/>
      <c r="U70" s="454"/>
      <c r="V70" s="237"/>
      <c r="W70" s="237"/>
      <c r="X70" s="237"/>
      <c r="Y70" s="237"/>
      <c r="Z70" s="237"/>
      <c r="AA70" s="237"/>
      <c r="AB70" s="237"/>
      <c r="AC70" s="237"/>
    </row>
    <row r="71" ht="15.75" customHeight="1">
      <c r="A71" s="237"/>
      <c r="B71" s="1102" t="s">
        <v>204</v>
      </c>
      <c r="C71" s="766"/>
      <c r="D71" s="470"/>
      <c r="E71" s="526"/>
      <c r="F71" s="526"/>
      <c r="G71" s="526"/>
      <c r="H71" s="526"/>
      <c r="I71" s="528"/>
      <c r="J71" s="470"/>
      <c r="K71" s="526"/>
      <c r="L71" s="526"/>
      <c r="M71" s="526"/>
      <c r="N71" s="526"/>
      <c r="O71" s="528"/>
      <c r="P71" s="472"/>
      <c r="Q71" s="525"/>
      <c r="R71" s="525"/>
      <c r="S71" s="525"/>
      <c r="T71" s="525"/>
      <c r="U71" s="525"/>
      <c r="V71" s="237"/>
      <c r="W71" s="237"/>
      <c r="X71" s="237"/>
      <c r="Y71" s="237"/>
      <c r="Z71" s="237"/>
      <c r="AA71" s="237"/>
      <c r="AB71" s="237"/>
      <c r="AC71" s="237"/>
    </row>
    <row r="72" ht="15.75" customHeight="1">
      <c r="A72" s="237"/>
      <c r="B72" s="1100"/>
      <c r="C72" s="742" t="s">
        <v>205</v>
      </c>
      <c r="D72" s="444">
        <f>SUM(D73:D78)</f>
        <v>39752.03</v>
      </c>
      <c r="E72" s="529">
        <f t="shared" ref="E72:E75" si="8">D72/D$27</f>
        <v>0.2282997653</v>
      </c>
      <c r="F72" s="609">
        <f>SUM(F73:F78)</f>
        <v>0</v>
      </c>
      <c r="G72" s="529" t="str">
        <f t="shared" ref="G72:G75" si="9">F72/F$27</f>
        <v>#REF!</v>
      </c>
      <c r="H72" s="609">
        <f>SUM(H73:H78)</f>
        <v>37003.03</v>
      </c>
      <c r="I72" s="531" t="str">
        <f t="shared" ref="I72:I75" si="10">H72/H$27</f>
        <v>#REF!</v>
      </c>
      <c r="J72" s="444">
        <f>SUM(J73:J78)</f>
        <v>3715</v>
      </c>
      <c r="K72" s="529">
        <f t="shared" ref="K72:K75" si="11">J72/J$27</f>
        <v>0.02796618463</v>
      </c>
      <c r="L72" s="609">
        <f>SUM(L73:L78)</f>
        <v>0</v>
      </c>
      <c r="M72" s="529" t="str">
        <f t="shared" ref="M72:M75" si="12">L72/L$27</f>
        <v>#DIV/0!</v>
      </c>
      <c r="N72" s="609">
        <f>SUM(N73:N78)</f>
        <v>1555</v>
      </c>
      <c r="O72" s="531">
        <f t="shared" ref="O72:O75" si="13">N72/N$27</f>
        <v>0.02357846854</v>
      </c>
      <c r="P72" s="475">
        <f>SUM(P73:P78)</f>
        <v>0</v>
      </c>
      <c r="Q72" s="581" t="str">
        <f t="shared" ref="Q72:Q75" si="14">P72/P$27</f>
        <v>#DIV/0!</v>
      </c>
      <c r="R72" s="627">
        <f>SUM(R73:R78)</f>
        <v>0</v>
      </c>
      <c r="S72" s="581" t="str">
        <f t="shared" ref="S72:S75" si="15">R72/R$27</f>
        <v>#DIV/0!</v>
      </c>
      <c r="T72" s="627">
        <f>SUM(T73:T78)</f>
        <v>0</v>
      </c>
      <c r="U72" s="581" t="str">
        <f t="shared" ref="U72:U75" si="16">T72/T$27</f>
        <v>#DIV/0!</v>
      </c>
      <c r="V72" s="237"/>
      <c r="W72" s="237"/>
      <c r="X72" s="237"/>
      <c r="Y72" s="237"/>
      <c r="Z72" s="237"/>
      <c r="AA72" s="237"/>
      <c r="AB72" s="237"/>
      <c r="AC72" s="237"/>
    </row>
    <row r="73" ht="15.75" customHeight="1">
      <c r="A73" s="237"/>
      <c r="B73" s="1083"/>
      <c r="C73" s="1083" t="s">
        <v>268</v>
      </c>
      <c r="D73" s="1103">
        <v>2749.0</v>
      </c>
      <c r="E73" s="725">
        <f t="shared" si="8"/>
        <v>0.01578777373</v>
      </c>
      <c r="F73" s="686"/>
      <c r="G73" s="725" t="str">
        <f t="shared" si="9"/>
        <v>#REF!</v>
      </c>
      <c r="H73" s="686"/>
      <c r="I73" s="725" t="str">
        <f t="shared" si="10"/>
        <v>#REF!</v>
      </c>
      <c r="J73" s="1104">
        <v>2160.0</v>
      </c>
      <c r="K73" s="535">
        <f t="shared" si="11"/>
        <v>0.01626028501</v>
      </c>
      <c r="L73" s="610"/>
      <c r="M73" s="533" t="str">
        <f t="shared" si="12"/>
        <v>#DIV/0!</v>
      </c>
      <c r="N73" s="610"/>
      <c r="O73" s="536">
        <f t="shared" si="13"/>
        <v>0</v>
      </c>
      <c r="P73" s="1105"/>
      <c r="Q73" s="725" t="str">
        <f t="shared" si="14"/>
        <v>#DIV/0!</v>
      </c>
      <c r="R73" s="686"/>
      <c r="S73" s="725" t="str">
        <f t="shared" si="15"/>
        <v>#DIV/0!</v>
      </c>
      <c r="T73" s="686"/>
      <c r="U73" s="725" t="str">
        <f t="shared" si="16"/>
        <v>#DIV/0!</v>
      </c>
      <c r="V73" s="237"/>
      <c r="W73" s="237"/>
      <c r="X73" s="237"/>
      <c r="Y73" s="237"/>
      <c r="Z73" s="237"/>
      <c r="AA73" s="237"/>
      <c r="AB73" s="237"/>
      <c r="AC73" s="237"/>
    </row>
    <row r="74" ht="15.75" customHeight="1">
      <c r="A74" s="237"/>
      <c r="B74" s="1016"/>
      <c r="C74" s="1106" t="s">
        <v>269</v>
      </c>
      <c r="D74" s="452">
        <v>0.0</v>
      </c>
      <c r="E74" s="538">
        <f t="shared" si="8"/>
        <v>0</v>
      </c>
      <c r="F74" s="612"/>
      <c r="G74" s="538" t="str">
        <f t="shared" si="9"/>
        <v>#REF!</v>
      </c>
      <c r="H74" s="612"/>
      <c r="I74" s="542" t="str">
        <f t="shared" si="10"/>
        <v>#REF!</v>
      </c>
      <c r="J74" s="448">
        <v>0.0</v>
      </c>
      <c r="K74" s="538">
        <f t="shared" si="11"/>
        <v>0</v>
      </c>
      <c r="L74" s="612"/>
      <c r="M74" s="538" t="str">
        <f t="shared" si="12"/>
        <v>#DIV/0!</v>
      </c>
      <c r="N74" s="612"/>
      <c r="O74" s="542">
        <f t="shared" si="13"/>
        <v>0</v>
      </c>
      <c r="P74" s="482"/>
      <c r="Q74" s="716" t="str">
        <f t="shared" si="14"/>
        <v>#DIV/0!</v>
      </c>
      <c r="R74" s="685"/>
      <c r="S74" s="716" t="str">
        <f t="shared" si="15"/>
        <v>#DIV/0!</v>
      </c>
      <c r="T74" s="685"/>
      <c r="U74" s="716" t="str">
        <f t="shared" si="16"/>
        <v>#DIV/0!</v>
      </c>
      <c r="V74" s="237"/>
      <c r="W74" s="237"/>
      <c r="X74" s="237"/>
      <c r="Y74" s="237"/>
      <c r="Z74" s="237"/>
      <c r="AA74" s="237"/>
      <c r="AB74" s="237"/>
      <c r="AC74" s="237"/>
    </row>
    <row r="75" ht="15.75" customHeight="1">
      <c r="A75" s="237"/>
      <c r="B75" s="1016"/>
      <c r="C75" s="1016" t="s">
        <v>212</v>
      </c>
      <c r="D75" s="452">
        <v>0.0</v>
      </c>
      <c r="E75" s="538">
        <f t="shared" si="8"/>
        <v>0</v>
      </c>
      <c r="F75" s="612"/>
      <c r="G75" s="538" t="str">
        <f t="shared" si="9"/>
        <v>#REF!</v>
      </c>
      <c r="H75" s="612"/>
      <c r="I75" s="542" t="str">
        <f t="shared" si="10"/>
        <v>#REF!</v>
      </c>
      <c r="J75" s="452">
        <v>0.0</v>
      </c>
      <c r="K75" s="538">
        <f t="shared" si="11"/>
        <v>0</v>
      </c>
      <c r="L75" s="612"/>
      <c r="M75" s="538" t="str">
        <f t="shared" si="12"/>
        <v>#DIV/0!</v>
      </c>
      <c r="N75" s="612"/>
      <c r="O75" s="542">
        <f t="shared" si="13"/>
        <v>0</v>
      </c>
      <c r="P75" s="459"/>
      <c r="Q75" s="716" t="str">
        <f t="shared" si="14"/>
        <v>#DIV/0!</v>
      </c>
      <c r="R75" s="685"/>
      <c r="S75" s="716" t="str">
        <f t="shared" si="15"/>
        <v>#DIV/0!</v>
      </c>
      <c r="T75" s="685"/>
      <c r="U75" s="716" t="str">
        <f t="shared" si="16"/>
        <v>#DIV/0!</v>
      </c>
      <c r="V75" s="237"/>
      <c r="W75" s="237"/>
      <c r="X75" s="237"/>
      <c r="Y75" s="237"/>
      <c r="Z75" s="237"/>
      <c r="AA75" s="237"/>
      <c r="AB75" s="237"/>
      <c r="AC75" s="237"/>
    </row>
    <row r="76" ht="15.75" customHeight="1">
      <c r="A76" s="237"/>
      <c r="B76" s="1016"/>
      <c r="C76" s="1016" t="s">
        <v>307</v>
      </c>
      <c r="D76" s="452">
        <v>0.0</v>
      </c>
      <c r="E76" s="538"/>
      <c r="F76" s="612"/>
      <c r="G76" s="538"/>
      <c r="H76" s="612"/>
      <c r="I76" s="542"/>
      <c r="J76" s="452">
        <v>0.0</v>
      </c>
      <c r="K76" s="538"/>
      <c r="L76" s="612"/>
      <c r="M76" s="538"/>
      <c r="N76" s="612"/>
      <c r="O76" s="542"/>
      <c r="P76" s="459"/>
      <c r="Q76" s="716"/>
      <c r="R76" s="685"/>
      <c r="S76" s="716"/>
      <c r="T76" s="685"/>
      <c r="U76" s="716"/>
      <c r="V76" s="237"/>
      <c r="W76" s="237"/>
      <c r="X76" s="237"/>
      <c r="Y76" s="237"/>
      <c r="Z76" s="237"/>
      <c r="AA76" s="237"/>
      <c r="AB76" s="237"/>
      <c r="AC76" s="237"/>
    </row>
    <row r="77" ht="15.75" customHeight="1">
      <c r="A77" s="237"/>
      <c r="B77" s="1016"/>
      <c r="C77" s="1106" t="s">
        <v>345</v>
      </c>
      <c r="D77" s="452">
        <v>0.0</v>
      </c>
      <c r="E77" s="538">
        <f t="shared" ref="E77:E78" si="17">D77/D$27</f>
        <v>0</v>
      </c>
      <c r="F77" s="612"/>
      <c r="G77" s="538" t="str">
        <f t="shared" ref="G77:G78" si="18">F77/F$27</f>
        <v>#REF!</v>
      </c>
      <c r="H77" s="612"/>
      <c r="I77" s="542" t="str">
        <f t="shared" ref="I77:I78" si="19">H77/H$27</f>
        <v>#REF!</v>
      </c>
      <c r="J77" s="452">
        <v>0.0</v>
      </c>
      <c r="K77" s="538">
        <f t="shared" ref="K77:K78" si="20">J77/J$27</f>
        <v>0</v>
      </c>
      <c r="L77" s="612"/>
      <c r="M77" s="538" t="str">
        <f t="shared" ref="M77:M78" si="21">L77/L$27</f>
        <v>#DIV/0!</v>
      </c>
      <c r="N77" s="612"/>
      <c r="O77" s="542">
        <f t="shared" ref="O77:O78" si="22">N77/N$27</f>
        <v>0</v>
      </c>
      <c r="P77" s="459"/>
      <c r="Q77" s="716" t="str">
        <f t="shared" ref="Q77:Q78" si="23">P77/P$27</f>
        <v>#DIV/0!</v>
      </c>
      <c r="R77" s="685"/>
      <c r="S77" s="716" t="str">
        <f t="shared" ref="S77:S78" si="24">R77/R$27</f>
        <v>#DIV/0!</v>
      </c>
      <c r="T77" s="685"/>
      <c r="U77" s="716" t="str">
        <f t="shared" ref="U77:U78" si="25">T77/T$27</f>
        <v>#DIV/0!</v>
      </c>
      <c r="V77" s="237"/>
      <c r="W77" s="237"/>
      <c r="X77" s="237"/>
      <c r="Y77" s="237"/>
      <c r="Z77" s="237"/>
      <c r="AA77" s="237"/>
      <c r="AB77" s="237"/>
      <c r="AC77" s="237"/>
    </row>
    <row r="78" ht="15.75" customHeight="1">
      <c r="A78" s="237"/>
      <c r="B78" s="1016"/>
      <c r="C78" s="1016" t="s">
        <v>271</v>
      </c>
      <c r="D78" s="452">
        <f>(22735.06)+14267.97</f>
        <v>37003.03</v>
      </c>
      <c r="E78" s="538">
        <f t="shared" si="17"/>
        <v>0.2125119916</v>
      </c>
      <c r="F78" s="521">
        <v>0.0</v>
      </c>
      <c r="G78" s="538" t="str">
        <f t="shared" si="18"/>
        <v>#REF!</v>
      </c>
      <c r="H78" s="612">
        <f>D78-F78</f>
        <v>37003.03</v>
      </c>
      <c r="I78" s="542" t="str">
        <f t="shared" si="19"/>
        <v>#REF!</v>
      </c>
      <c r="J78" s="452">
        <v>1555.0</v>
      </c>
      <c r="K78" s="538">
        <f t="shared" si="20"/>
        <v>0.01170589962</v>
      </c>
      <c r="L78" s="521">
        <v>0.0</v>
      </c>
      <c r="M78" s="538" t="str">
        <f t="shared" si="21"/>
        <v>#DIV/0!</v>
      </c>
      <c r="N78" s="612">
        <f>J78-L78</f>
        <v>1555</v>
      </c>
      <c r="O78" s="542">
        <f t="shared" si="22"/>
        <v>0.02357846854</v>
      </c>
      <c r="P78" s="459"/>
      <c r="Q78" s="716" t="str">
        <f t="shared" si="23"/>
        <v>#DIV/0!</v>
      </c>
      <c r="R78" s="454">
        <v>0.0</v>
      </c>
      <c r="S78" s="716" t="str">
        <f t="shared" si="24"/>
        <v>#DIV/0!</v>
      </c>
      <c r="T78" s="685">
        <f>P78-R78</f>
        <v>0</v>
      </c>
      <c r="U78" s="716" t="str">
        <f t="shared" si="25"/>
        <v>#DIV/0!</v>
      </c>
      <c r="V78" s="237"/>
      <c r="W78" s="237"/>
      <c r="X78" s="237"/>
      <c r="Y78" s="237"/>
      <c r="Z78" s="237"/>
      <c r="AA78" s="237"/>
      <c r="AB78" s="237"/>
      <c r="AC78" s="237"/>
    </row>
    <row r="79" ht="15.75" customHeight="1">
      <c r="A79" s="237"/>
      <c r="B79" s="1092"/>
      <c r="C79" s="1107"/>
      <c r="D79" s="470"/>
      <c r="E79" s="526"/>
      <c r="F79" s="526"/>
      <c r="G79" s="526"/>
      <c r="H79" s="526"/>
      <c r="I79" s="528"/>
      <c r="J79" s="470"/>
      <c r="K79" s="526"/>
      <c r="L79" s="526"/>
      <c r="M79" s="526"/>
      <c r="N79" s="526"/>
      <c r="O79" s="528"/>
      <c r="P79" s="472"/>
      <c r="Q79" s="525"/>
      <c r="R79" s="525"/>
      <c r="S79" s="525"/>
      <c r="T79" s="525"/>
      <c r="U79" s="525"/>
      <c r="V79" s="237"/>
      <c r="W79" s="237"/>
      <c r="X79" s="237"/>
      <c r="Y79" s="237"/>
      <c r="Z79" s="237"/>
      <c r="AA79" s="237"/>
      <c r="AB79" s="237"/>
      <c r="AC79" s="237"/>
    </row>
    <row r="80" ht="15.75" customHeight="1">
      <c r="A80" s="237"/>
      <c r="B80" s="1100"/>
      <c r="C80" s="742" t="s">
        <v>35</v>
      </c>
      <c r="D80" s="444">
        <f>SUM(D81:D85)</f>
        <v>65245.94</v>
      </c>
      <c r="E80" s="529">
        <f>D80/D$27</f>
        <v>0.374713764</v>
      </c>
      <c r="F80" s="609">
        <f>SUM(F81:F85)</f>
        <v>0</v>
      </c>
      <c r="G80" s="529" t="str">
        <f>F80/F$27</f>
        <v>#REF!</v>
      </c>
      <c r="H80" s="609">
        <f>SUM(H81:H84)</f>
        <v>0</v>
      </c>
      <c r="I80" s="556"/>
      <c r="J80" s="444">
        <f>SUM(J81:J85)</f>
        <v>20427</v>
      </c>
      <c r="K80" s="529">
        <f>J80/J$27</f>
        <v>0.153772612</v>
      </c>
      <c r="L80" s="609">
        <f>SUM(L81:L85)</f>
        <v>0</v>
      </c>
      <c r="M80" s="529" t="str">
        <f>L80/L$27</f>
        <v>#DIV/0!</v>
      </c>
      <c r="N80" s="609">
        <f>SUM(N81:N84)</f>
        <v>0</v>
      </c>
      <c r="O80" s="556"/>
      <c r="P80" s="475">
        <f>SUM(P81:P85)</f>
        <v>0</v>
      </c>
      <c r="Q80" s="581" t="str">
        <f>P80/P$27</f>
        <v>#DIV/0!</v>
      </c>
      <c r="R80" s="627">
        <f>SUM(R81:R85)</f>
        <v>0</v>
      </c>
      <c r="S80" s="581" t="str">
        <f>R80/R$27</f>
        <v>#DIV/0!</v>
      </c>
      <c r="T80" s="627">
        <f>SUM(T81:T84)</f>
        <v>0</v>
      </c>
      <c r="U80" s="442"/>
      <c r="V80" s="237"/>
      <c r="W80" s="237"/>
      <c r="X80" s="237"/>
      <c r="Y80" s="237"/>
      <c r="Z80" s="237"/>
      <c r="AA80" s="237"/>
      <c r="AB80" s="237"/>
      <c r="AC80" s="237"/>
    </row>
    <row r="81" ht="15.75" customHeight="1">
      <c r="A81" s="237"/>
      <c r="B81" s="1083"/>
      <c r="C81" s="1083" t="s">
        <v>215</v>
      </c>
      <c r="D81" s="448"/>
      <c r="E81" s="522"/>
      <c r="F81" s="610"/>
      <c r="G81" s="522"/>
      <c r="H81" s="610"/>
      <c r="I81" s="524"/>
      <c r="J81" s="448"/>
      <c r="K81" s="522"/>
      <c r="L81" s="610"/>
      <c r="M81" s="522"/>
      <c r="N81" s="610"/>
      <c r="O81" s="524"/>
      <c r="P81" s="482"/>
      <c r="Q81" s="446"/>
      <c r="R81" s="686"/>
      <c r="S81" s="446"/>
      <c r="T81" s="686"/>
      <c r="U81" s="446"/>
      <c r="V81" s="237"/>
      <c r="W81" s="237"/>
      <c r="X81" s="237"/>
      <c r="Y81" s="237"/>
      <c r="Z81" s="237"/>
      <c r="AA81" s="237"/>
      <c r="AB81" s="237"/>
      <c r="AC81" s="237"/>
    </row>
    <row r="82" ht="15.75" customHeight="1">
      <c r="A82" s="237"/>
      <c r="B82" s="1016"/>
      <c r="C82" s="1016" t="s">
        <v>216</v>
      </c>
      <c r="D82" s="452"/>
      <c r="E82" s="521"/>
      <c r="F82" s="612"/>
      <c r="G82" s="521"/>
      <c r="H82" s="612"/>
      <c r="I82" s="464"/>
      <c r="J82" s="470"/>
      <c r="K82" s="521"/>
      <c r="L82" s="612"/>
      <c r="M82" s="521"/>
      <c r="N82" s="612"/>
      <c r="O82" s="464"/>
      <c r="P82" s="472"/>
      <c r="Q82" s="454"/>
      <c r="R82" s="685"/>
      <c r="S82" s="454"/>
      <c r="T82" s="685"/>
      <c r="U82" s="454"/>
      <c r="V82" s="237"/>
      <c r="W82" s="237"/>
      <c r="X82" s="237"/>
      <c r="Y82" s="237"/>
      <c r="Z82" s="237"/>
      <c r="AA82" s="237"/>
      <c r="AB82" s="237"/>
      <c r="AC82" s="237"/>
    </row>
    <row r="83" ht="15.75" customHeight="1">
      <c r="A83" s="237"/>
      <c r="B83" s="1016"/>
      <c r="C83" s="450" t="s">
        <v>272</v>
      </c>
      <c r="D83" s="459">
        <v>10262.85</v>
      </c>
      <c r="E83" s="541">
        <f t="shared" ref="E83:E84" si="26">D83/D17</f>
        <v>0.1493206922</v>
      </c>
      <c r="F83" s="612"/>
      <c r="G83" s="538"/>
      <c r="H83" s="612"/>
      <c r="I83" s="551"/>
      <c r="J83" s="884">
        <v>9948.0</v>
      </c>
      <c r="K83" s="541">
        <f t="shared" ref="K83:K84" si="27">J83/J17</f>
        <v>0.1508415466</v>
      </c>
      <c r="L83" s="612"/>
      <c r="M83" s="538"/>
      <c r="N83" s="612"/>
      <c r="O83" s="464"/>
      <c r="P83" s="790"/>
      <c r="Q83" s="716" t="str">
        <f t="shared" ref="Q83:Q84" si="28">P83/P17</f>
        <v>#DIV/0!</v>
      </c>
      <c r="R83" s="685"/>
      <c r="S83" s="716"/>
      <c r="T83" s="685"/>
      <c r="U83" s="454"/>
      <c r="V83" s="237"/>
      <c r="W83" s="237"/>
      <c r="X83" s="237"/>
      <c r="Y83" s="237"/>
      <c r="Z83" s="237"/>
      <c r="AA83" s="237"/>
      <c r="AB83" s="237"/>
      <c r="AC83" s="237"/>
    </row>
    <row r="84" ht="15.75" customHeight="1">
      <c r="A84" s="237"/>
      <c r="B84" s="1016"/>
      <c r="C84" s="450" t="s">
        <v>308</v>
      </c>
      <c r="D84" s="452">
        <v>19603.09</v>
      </c>
      <c r="E84" s="538">
        <f t="shared" si="26"/>
        <v>0.2031192542</v>
      </c>
      <c r="F84" s="612"/>
      <c r="G84" s="538"/>
      <c r="H84" s="612"/>
      <c r="I84" s="464"/>
      <c r="J84" s="448">
        <v>9889.0</v>
      </c>
      <c r="K84" s="538">
        <f t="shared" si="27"/>
        <v>0.1478419471</v>
      </c>
      <c r="L84" s="612"/>
      <c r="M84" s="538"/>
      <c r="N84" s="612"/>
      <c r="O84" s="464"/>
      <c r="P84" s="482"/>
      <c r="Q84" s="716" t="str">
        <f t="shared" si="28"/>
        <v>#DIV/0!</v>
      </c>
      <c r="R84" s="685"/>
      <c r="S84" s="716"/>
      <c r="T84" s="685"/>
      <c r="U84" s="454"/>
      <c r="V84" s="237"/>
      <c r="W84" s="237"/>
      <c r="X84" s="237"/>
      <c r="Y84" s="237"/>
      <c r="Z84" s="237"/>
      <c r="AA84" s="237"/>
      <c r="AB84" s="237"/>
      <c r="AC84" s="237"/>
    </row>
    <row r="85" ht="15.75" customHeight="1">
      <c r="A85" s="237"/>
      <c r="B85" s="1016"/>
      <c r="C85" s="450" t="s">
        <v>348</v>
      </c>
      <c r="D85" s="452">
        <f>34800+580</f>
        <v>35380</v>
      </c>
      <c r="E85" s="538">
        <f>D85/D27</f>
        <v>0.2031907728</v>
      </c>
      <c r="F85" s="612"/>
      <c r="G85" s="538"/>
      <c r="H85" s="612"/>
      <c r="I85" s="464"/>
      <c r="J85" s="494">
        <v>590.0</v>
      </c>
      <c r="K85" s="538">
        <f>J85/J27</f>
        <v>0.004441466738</v>
      </c>
      <c r="L85" s="612"/>
      <c r="M85" s="538"/>
      <c r="N85" s="612"/>
      <c r="O85" s="464"/>
      <c r="P85" s="495"/>
      <c r="Q85" s="716" t="str">
        <f>P85/P27</f>
        <v>#DIV/0!</v>
      </c>
      <c r="R85" s="685"/>
      <c r="S85" s="716"/>
      <c r="T85" s="685"/>
      <c r="U85" s="454"/>
      <c r="V85" s="237"/>
      <c r="W85" s="237"/>
      <c r="X85" s="237"/>
      <c r="Y85" s="237"/>
      <c r="Z85" s="237"/>
      <c r="AA85" s="237"/>
      <c r="AB85" s="237"/>
      <c r="AC85" s="237"/>
    </row>
    <row r="86" ht="15.75" customHeight="1">
      <c r="A86" s="237"/>
      <c r="B86" s="1092"/>
      <c r="C86" s="1092"/>
      <c r="D86" s="470"/>
      <c r="E86" s="526"/>
      <c r="F86" s="526"/>
      <c r="G86" s="526"/>
      <c r="H86" s="526"/>
      <c r="I86" s="528"/>
      <c r="J86" s="470"/>
      <c r="K86" s="521"/>
      <c r="L86" s="521"/>
      <c r="M86" s="521"/>
      <c r="N86" s="521"/>
      <c r="O86" s="464"/>
      <c r="P86" s="472"/>
      <c r="Q86" s="454"/>
      <c r="R86" s="454"/>
      <c r="S86" s="454"/>
      <c r="T86" s="454"/>
      <c r="U86" s="454"/>
      <c r="V86" s="237"/>
      <c r="W86" s="237"/>
      <c r="X86" s="237"/>
      <c r="Y86" s="237"/>
      <c r="Z86" s="237"/>
      <c r="AA86" s="237"/>
      <c r="AB86" s="237"/>
      <c r="AC86" s="237"/>
    </row>
    <row r="87" ht="15.75" customHeight="1">
      <c r="A87" s="237"/>
      <c r="B87" s="1100"/>
      <c r="C87" s="742" t="s">
        <v>219</v>
      </c>
      <c r="D87" s="475">
        <f>SUM(D88:D91)</f>
        <v>0</v>
      </c>
      <c r="E87" s="581">
        <f>D87/D$27</f>
        <v>0</v>
      </c>
      <c r="F87" s="442">
        <f>SUM(F88:F91)</f>
        <v>0</v>
      </c>
      <c r="G87" s="581" t="str">
        <f>F87/F$27</f>
        <v>#REF!</v>
      </c>
      <c r="H87" s="627">
        <f>SUM(H88:H91)</f>
        <v>0</v>
      </c>
      <c r="I87" s="442"/>
      <c r="J87" s="475">
        <f>SUM(J88:J91)</f>
        <v>0</v>
      </c>
      <c r="K87" s="706">
        <f>J87/J$27</f>
        <v>0</v>
      </c>
      <c r="L87" s="1099">
        <f>SUM(L88:L91)</f>
        <v>0</v>
      </c>
      <c r="M87" s="743" t="str">
        <f>L87/L$27</f>
        <v>#DIV/0!</v>
      </c>
      <c r="N87" s="707">
        <f>SUM(N88:N91)</f>
        <v>0</v>
      </c>
      <c r="O87" s="745"/>
      <c r="P87" s="475">
        <f>SUM(P88:P91)</f>
        <v>0</v>
      </c>
      <c r="Q87" s="738" t="str">
        <f>P87/P$27</f>
        <v>#DIV/0!</v>
      </c>
      <c r="R87" s="736">
        <f>SUM(R88:R91)</f>
        <v>0</v>
      </c>
      <c r="S87" s="738" t="str">
        <f>R87/R$27</f>
        <v>#DIV/0!</v>
      </c>
      <c r="T87" s="746">
        <f>SUM(T88:T91)</f>
        <v>0</v>
      </c>
      <c r="U87" s="736"/>
      <c r="V87" s="237"/>
      <c r="W87" s="237"/>
      <c r="X87" s="237"/>
      <c r="Y87" s="237"/>
      <c r="Z87" s="237"/>
      <c r="AA87" s="237"/>
      <c r="AB87" s="237"/>
      <c r="AC87" s="237"/>
    </row>
    <row r="88" ht="15.75" customHeight="1">
      <c r="A88" s="237"/>
      <c r="B88" s="1083"/>
      <c r="C88" s="1083" t="s">
        <v>220</v>
      </c>
      <c r="D88" s="448"/>
      <c r="E88" s="533"/>
      <c r="F88" s="522"/>
      <c r="G88" s="533"/>
      <c r="H88" s="610"/>
      <c r="I88" s="524"/>
      <c r="J88" s="448"/>
      <c r="K88" s="538"/>
      <c r="L88" s="521"/>
      <c r="M88" s="538"/>
      <c r="N88" s="612"/>
      <c r="O88" s="464"/>
      <c r="P88" s="482"/>
      <c r="Q88" s="716"/>
      <c r="R88" s="454"/>
      <c r="S88" s="716"/>
      <c r="T88" s="685"/>
      <c r="U88" s="454"/>
      <c r="V88" s="237"/>
      <c r="W88" s="237"/>
      <c r="X88" s="237"/>
      <c r="Y88" s="237"/>
      <c r="Z88" s="237"/>
      <c r="AA88" s="237"/>
      <c r="AB88" s="237"/>
      <c r="AC88" s="237"/>
    </row>
    <row r="89" ht="15.75" customHeight="1">
      <c r="A89" s="237"/>
      <c r="B89" s="1016"/>
      <c r="C89" s="1016" t="s">
        <v>221</v>
      </c>
      <c r="D89" s="452"/>
      <c r="E89" s="538"/>
      <c r="F89" s="521"/>
      <c r="G89" s="538"/>
      <c r="H89" s="612"/>
      <c r="I89" s="464"/>
      <c r="J89" s="452"/>
      <c r="K89" s="538"/>
      <c r="L89" s="521"/>
      <c r="M89" s="538"/>
      <c r="N89" s="612"/>
      <c r="O89" s="464"/>
      <c r="P89" s="459"/>
      <c r="Q89" s="716"/>
      <c r="R89" s="454"/>
      <c r="S89" s="716"/>
      <c r="T89" s="685"/>
      <c r="U89" s="454"/>
      <c r="V89" s="237"/>
      <c r="W89" s="237"/>
      <c r="X89" s="237"/>
      <c r="Y89" s="237"/>
      <c r="Z89" s="237"/>
      <c r="AA89" s="237"/>
      <c r="AB89" s="237"/>
      <c r="AC89" s="237"/>
    </row>
    <row r="90" ht="15.75" customHeight="1">
      <c r="A90" s="237"/>
      <c r="B90" s="1016"/>
      <c r="C90" s="1016" t="s">
        <v>222</v>
      </c>
      <c r="D90" s="452"/>
      <c r="E90" s="521"/>
      <c r="F90" s="521"/>
      <c r="G90" s="521"/>
      <c r="H90" s="521"/>
      <c r="I90" s="464"/>
      <c r="J90" s="452"/>
      <c r="K90" s="521"/>
      <c r="L90" s="521"/>
      <c r="M90" s="521"/>
      <c r="N90" s="521"/>
      <c r="O90" s="464"/>
      <c r="P90" s="459"/>
      <c r="Q90" s="454"/>
      <c r="R90" s="454"/>
      <c r="S90" s="454"/>
      <c r="T90" s="454"/>
      <c r="U90" s="454"/>
      <c r="V90" s="237"/>
      <c r="W90" s="237"/>
      <c r="X90" s="237"/>
      <c r="Y90" s="237"/>
      <c r="Z90" s="237"/>
      <c r="AA90" s="237"/>
      <c r="AB90" s="237"/>
      <c r="AC90" s="237"/>
    </row>
    <row r="91" ht="15.75" customHeight="1">
      <c r="A91" s="237"/>
      <c r="B91" s="1016"/>
      <c r="C91" s="1016" t="s">
        <v>223</v>
      </c>
      <c r="D91" s="452"/>
      <c r="E91" s="521"/>
      <c r="F91" s="521"/>
      <c r="G91" s="521"/>
      <c r="H91" s="521"/>
      <c r="I91" s="464"/>
      <c r="J91" s="452"/>
      <c r="K91" s="521"/>
      <c r="L91" s="521"/>
      <c r="M91" s="521"/>
      <c r="N91" s="521"/>
      <c r="O91" s="464"/>
      <c r="P91" s="459"/>
      <c r="Q91" s="454"/>
      <c r="R91" s="454"/>
      <c r="S91" s="454"/>
      <c r="T91" s="454"/>
      <c r="U91" s="454"/>
      <c r="V91" s="237"/>
      <c r="W91" s="237"/>
      <c r="X91" s="237"/>
      <c r="Y91" s="237"/>
      <c r="Z91" s="237"/>
      <c r="AA91" s="237"/>
      <c r="AB91" s="237"/>
      <c r="AC91" s="237"/>
    </row>
    <row r="92" ht="15.75" customHeight="1">
      <c r="A92" s="237"/>
      <c r="B92" s="1092"/>
      <c r="C92" s="1107"/>
      <c r="D92" s="470"/>
      <c r="E92" s="526"/>
      <c r="F92" s="526"/>
      <c r="G92" s="526"/>
      <c r="H92" s="526"/>
      <c r="I92" s="528"/>
      <c r="J92" s="470"/>
      <c r="K92" s="521"/>
      <c r="L92" s="521"/>
      <c r="M92" s="521"/>
      <c r="N92" s="521"/>
      <c r="O92" s="464"/>
      <c r="P92" s="472"/>
      <c r="Q92" s="454"/>
      <c r="R92" s="454"/>
      <c r="S92" s="454"/>
      <c r="T92" s="454"/>
      <c r="U92" s="454"/>
      <c r="V92" s="237"/>
      <c r="W92" s="237"/>
      <c r="X92" s="237"/>
      <c r="Y92" s="237"/>
      <c r="Z92" s="237"/>
      <c r="AA92" s="237"/>
      <c r="AB92" s="237"/>
      <c r="AC92" s="237"/>
    </row>
    <row r="93" ht="15.75" customHeight="1">
      <c r="A93" s="237"/>
      <c r="B93" s="1100"/>
      <c r="C93" s="742" t="s">
        <v>37</v>
      </c>
      <c r="D93" s="475">
        <f>SUM(D94:D100)</f>
        <v>0</v>
      </c>
      <c r="E93" s="581">
        <f>D93/D$27</f>
        <v>0</v>
      </c>
      <c r="F93" s="627">
        <f>SUM(F94:F100)</f>
        <v>0</v>
      </c>
      <c r="G93" s="581" t="str">
        <f>F93/F$27</f>
        <v>#REF!</v>
      </c>
      <c r="H93" s="627">
        <f>SUM(H94:H100)</f>
        <v>0</v>
      </c>
      <c r="I93" s="442"/>
      <c r="J93" s="475">
        <f>SUM(J94:J100)</f>
        <v>0</v>
      </c>
      <c r="K93" s="706">
        <f>J93/J$27</f>
        <v>0</v>
      </c>
      <c r="L93" s="707">
        <f>SUM(L94:L100)</f>
        <v>0</v>
      </c>
      <c r="M93" s="743" t="str">
        <f>L93/L$27</f>
        <v>#DIV/0!</v>
      </c>
      <c r="N93" s="707">
        <f>SUM(N94:N100)</f>
        <v>0</v>
      </c>
      <c r="O93" s="745"/>
      <c r="P93" s="475">
        <f>SUM(P94:P100)</f>
        <v>0</v>
      </c>
      <c r="Q93" s="738" t="str">
        <f>P93/P$27</f>
        <v>#DIV/0!</v>
      </c>
      <c r="R93" s="746">
        <f>SUM(R94:R100)</f>
        <v>0</v>
      </c>
      <c r="S93" s="738" t="str">
        <f>R93/R$27</f>
        <v>#DIV/0!</v>
      </c>
      <c r="T93" s="746">
        <f>SUM(T94:T100)</f>
        <v>0</v>
      </c>
      <c r="U93" s="736"/>
      <c r="V93" s="237"/>
      <c r="W93" s="237"/>
      <c r="X93" s="237"/>
      <c r="Y93" s="237"/>
      <c r="Z93" s="237"/>
      <c r="AA93" s="237"/>
      <c r="AB93" s="237"/>
      <c r="AC93" s="237"/>
    </row>
    <row r="94" ht="15.75" customHeight="1">
      <c r="A94" s="237"/>
      <c r="B94" s="1083"/>
      <c r="C94" s="1083" t="s">
        <v>224</v>
      </c>
      <c r="D94" s="448"/>
      <c r="E94" s="533"/>
      <c r="F94" s="522"/>
      <c r="G94" s="533"/>
      <c r="H94" s="610"/>
      <c r="I94" s="524"/>
      <c r="J94" s="448"/>
      <c r="K94" s="538"/>
      <c r="L94" s="521"/>
      <c r="M94" s="538"/>
      <c r="N94" s="612"/>
      <c r="O94" s="464"/>
      <c r="P94" s="482"/>
      <c r="Q94" s="716"/>
      <c r="R94" s="454"/>
      <c r="S94" s="716"/>
      <c r="T94" s="685"/>
      <c r="U94" s="454"/>
      <c r="V94" s="237"/>
      <c r="W94" s="237"/>
      <c r="X94" s="237"/>
      <c r="Y94" s="237"/>
      <c r="Z94" s="237"/>
      <c r="AA94" s="237"/>
      <c r="AB94" s="237"/>
      <c r="AC94" s="237"/>
    </row>
    <row r="95" ht="15.75" customHeight="1">
      <c r="A95" s="237"/>
      <c r="B95" s="1016"/>
      <c r="C95" s="1016" t="s">
        <v>225</v>
      </c>
      <c r="D95" s="452"/>
      <c r="E95" s="538"/>
      <c r="F95" s="521"/>
      <c r="G95" s="538"/>
      <c r="H95" s="612"/>
      <c r="I95" s="464"/>
      <c r="J95" s="452"/>
      <c r="K95" s="538"/>
      <c r="L95" s="521"/>
      <c r="M95" s="538"/>
      <c r="N95" s="612"/>
      <c r="O95" s="464"/>
      <c r="P95" s="459"/>
      <c r="Q95" s="716"/>
      <c r="R95" s="454"/>
      <c r="S95" s="716"/>
      <c r="T95" s="685"/>
      <c r="U95" s="454"/>
      <c r="V95" s="237"/>
      <c r="W95" s="237"/>
      <c r="X95" s="237"/>
      <c r="Y95" s="237"/>
      <c r="Z95" s="237"/>
      <c r="AA95" s="237"/>
      <c r="AB95" s="237"/>
      <c r="AC95" s="237"/>
    </row>
    <row r="96" ht="15.75" customHeight="1">
      <c r="A96" s="237"/>
      <c r="B96" s="1016"/>
      <c r="C96" s="1016" t="s">
        <v>226</v>
      </c>
      <c r="D96" s="452"/>
      <c r="E96" s="538"/>
      <c r="F96" s="521"/>
      <c r="G96" s="538"/>
      <c r="H96" s="612"/>
      <c r="I96" s="464"/>
      <c r="J96" s="452"/>
      <c r="K96" s="538"/>
      <c r="L96" s="521"/>
      <c r="M96" s="538"/>
      <c r="N96" s="612"/>
      <c r="O96" s="464"/>
      <c r="P96" s="459"/>
      <c r="Q96" s="716"/>
      <c r="R96" s="454"/>
      <c r="S96" s="716"/>
      <c r="T96" s="685"/>
      <c r="U96" s="454"/>
      <c r="V96" s="237"/>
      <c r="W96" s="237"/>
      <c r="X96" s="237"/>
      <c r="Y96" s="237"/>
      <c r="Z96" s="237"/>
      <c r="AA96" s="237"/>
      <c r="AB96" s="237"/>
      <c r="AC96" s="237"/>
    </row>
    <row r="97" ht="15.75" customHeight="1">
      <c r="A97" s="237"/>
      <c r="B97" s="1016"/>
      <c r="C97" s="1016" t="s">
        <v>228</v>
      </c>
      <c r="D97" s="452"/>
      <c r="E97" s="538"/>
      <c r="F97" s="521"/>
      <c r="G97" s="538"/>
      <c r="H97" s="612"/>
      <c r="I97" s="464"/>
      <c r="J97" s="452"/>
      <c r="K97" s="538"/>
      <c r="L97" s="521"/>
      <c r="M97" s="538"/>
      <c r="N97" s="612"/>
      <c r="O97" s="464"/>
      <c r="P97" s="459"/>
      <c r="Q97" s="716"/>
      <c r="R97" s="454"/>
      <c r="S97" s="716"/>
      <c r="T97" s="685"/>
      <c r="U97" s="454"/>
      <c r="V97" s="237"/>
      <c r="W97" s="237"/>
      <c r="X97" s="237"/>
      <c r="Y97" s="237"/>
      <c r="Z97" s="237"/>
      <c r="AA97" s="237"/>
      <c r="AB97" s="237"/>
      <c r="AC97" s="237"/>
    </row>
    <row r="98" ht="15.75" customHeight="1">
      <c r="A98" s="237"/>
      <c r="B98" s="1016"/>
      <c r="C98" s="1016" t="s">
        <v>229</v>
      </c>
      <c r="D98" s="452"/>
      <c r="E98" s="538"/>
      <c r="F98" s="521"/>
      <c r="G98" s="538"/>
      <c r="H98" s="612"/>
      <c r="I98" s="464"/>
      <c r="J98" s="452"/>
      <c r="K98" s="538"/>
      <c r="L98" s="521"/>
      <c r="M98" s="538"/>
      <c r="N98" s="612"/>
      <c r="O98" s="464"/>
      <c r="P98" s="459"/>
      <c r="Q98" s="716"/>
      <c r="R98" s="454"/>
      <c r="S98" s="716"/>
      <c r="T98" s="685"/>
      <c r="U98" s="454"/>
      <c r="V98" s="237"/>
      <c r="W98" s="237"/>
      <c r="X98" s="237"/>
      <c r="Y98" s="237"/>
      <c r="Z98" s="237"/>
      <c r="AA98" s="237"/>
      <c r="AB98" s="237"/>
      <c r="AC98" s="237"/>
    </row>
    <row r="99" ht="15.75" customHeight="1">
      <c r="A99" s="237"/>
      <c r="B99" s="1016"/>
      <c r="C99" s="1016" t="s">
        <v>230</v>
      </c>
      <c r="D99" s="452"/>
      <c r="E99" s="538"/>
      <c r="F99" s="521"/>
      <c r="G99" s="538"/>
      <c r="H99" s="612"/>
      <c r="I99" s="464"/>
      <c r="J99" s="452"/>
      <c r="K99" s="538"/>
      <c r="L99" s="521"/>
      <c r="M99" s="538"/>
      <c r="N99" s="612"/>
      <c r="O99" s="464"/>
      <c r="P99" s="459"/>
      <c r="Q99" s="716"/>
      <c r="R99" s="454"/>
      <c r="S99" s="716"/>
      <c r="T99" s="685"/>
      <c r="U99" s="454"/>
      <c r="V99" s="237"/>
      <c r="W99" s="237"/>
      <c r="X99" s="237"/>
      <c r="Y99" s="237"/>
      <c r="Z99" s="237"/>
      <c r="AA99" s="237"/>
      <c r="AB99" s="237"/>
      <c r="AC99" s="237"/>
    </row>
    <row r="100" ht="15.75" customHeight="1">
      <c r="A100" s="237"/>
      <c r="B100" s="1016"/>
      <c r="C100" s="1016" t="s">
        <v>231</v>
      </c>
      <c r="D100" s="452"/>
      <c r="E100" s="538"/>
      <c r="F100" s="521"/>
      <c r="G100" s="538"/>
      <c r="H100" s="612"/>
      <c r="I100" s="464"/>
      <c r="J100" s="452"/>
      <c r="K100" s="538"/>
      <c r="L100" s="521"/>
      <c r="M100" s="538"/>
      <c r="N100" s="612"/>
      <c r="O100" s="464"/>
      <c r="P100" s="459"/>
      <c r="Q100" s="716"/>
      <c r="R100" s="454"/>
      <c r="S100" s="716"/>
      <c r="T100" s="685"/>
      <c r="U100" s="454"/>
      <c r="V100" s="237"/>
      <c r="W100" s="237"/>
      <c r="X100" s="237"/>
      <c r="Y100" s="237"/>
      <c r="Z100" s="237"/>
      <c r="AA100" s="237"/>
      <c r="AB100" s="237"/>
      <c r="AC100" s="237"/>
    </row>
    <row r="101" ht="15.75" customHeight="1">
      <c r="A101" s="237"/>
      <c r="B101" s="1016"/>
      <c r="C101" s="622"/>
      <c r="D101" s="452"/>
      <c r="E101" s="521"/>
      <c r="F101" s="521"/>
      <c r="G101" s="521"/>
      <c r="H101" s="612"/>
      <c r="I101" s="464"/>
      <c r="J101" s="452"/>
      <c r="K101" s="521"/>
      <c r="L101" s="521"/>
      <c r="M101" s="521"/>
      <c r="N101" s="612"/>
      <c r="O101" s="464"/>
      <c r="P101" s="459"/>
      <c r="Q101" s="454"/>
      <c r="R101" s="454"/>
      <c r="S101" s="454"/>
      <c r="T101" s="685"/>
      <c r="U101" s="454"/>
      <c r="V101" s="237"/>
      <c r="W101" s="237"/>
      <c r="X101" s="237"/>
      <c r="Y101" s="237"/>
      <c r="Z101" s="237"/>
      <c r="AA101" s="237"/>
      <c r="AB101" s="237"/>
      <c r="AC101" s="237"/>
    </row>
    <row r="102" ht="15.75" customHeight="1">
      <c r="A102" s="237"/>
      <c r="B102" s="1092"/>
      <c r="C102" s="1107"/>
      <c r="D102" s="470"/>
      <c r="E102" s="526"/>
      <c r="F102" s="526"/>
      <c r="G102" s="526"/>
      <c r="H102" s="526"/>
      <c r="I102" s="528"/>
      <c r="J102" s="470"/>
      <c r="K102" s="521"/>
      <c r="L102" s="521"/>
      <c r="M102" s="521"/>
      <c r="N102" s="521"/>
      <c r="O102" s="464"/>
      <c r="P102" s="472"/>
      <c r="Q102" s="454"/>
      <c r="R102" s="454"/>
      <c r="S102" s="454"/>
      <c r="T102" s="454"/>
      <c r="U102" s="454"/>
      <c r="V102" s="237"/>
      <c r="W102" s="237"/>
      <c r="X102" s="237"/>
      <c r="Y102" s="237"/>
      <c r="Z102" s="237"/>
      <c r="AA102" s="237"/>
      <c r="AB102" s="237"/>
      <c r="AC102" s="237"/>
    </row>
    <row r="103" ht="15.75" customHeight="1">
      <c r="A103" s="237"/>
      <c r="B103" s="1100"/>
      <c r="C103" s="742" t="s">
        <v>38</v>
      </c>
      <c r="D103" s="475">
        <f>SUM(D104)</f>
        <v>0</v>
      </c>
      <c r="E103" s="581">
        <f>D103/D$27</f>
        <v>0</v>
      </c>
      <c r="F103" s="442">
        <f>SUM(F104)</f>
        <v>0</v>
      </c>
      <c r="G103" s="581" t="str">
        <f>F103/F$27</f>
        <v>#REF!</v>
      </c>
      <c r="H103" s="627">
        <f>SUM(H104)</f>
        <v>0</v>
      </c>
      <c r="I103" s="442"/>
      <c r="J103" s="475">
        <f>SUM(J104)</f>
        <v>0</v>
      </c>
      <c r="K103" s="706">
        <f>J103/J$27</f>
        <v>0</v>
      </c>
      <c r="L103" s="1099">
        <f>SUM(L104)</f>
        <v>0</v>
      </c>
      <c r="M103" s="743" t="str">
        <f>L103/L$27</f>
        <v>#DIV/0!</v>
      </c>
      <c r="N103" s="707">
        <f>SUM(N104)</f>
        <v>0</v>
      </c>
      <c r="O103" s="745"/>
      <c r="P103" s="475">
        <f>SUM(P104)</f>
        <v>0</v>
      </c>
      <c r="Q103" s="738" t="str">
        <f>P103/P$27</f>
        <v>#DIV/0!</v>
      </c>
      <c r="R103" s="736">
        <f>SUM(R104)</f>
        <v>0</v>
      </c>
      <c r="S103" s="738" t="str">
        <f>R103/R$27</f>
        <v>#DIV/0!</v>
      </c>
      <c r="T103" s="746">
        <f>SUM(T104)</f>
        <v>0</v>
      </c>
      <c r="U103" s="736"/>
      <c r="V103" s="237"/>
      <c r="W103" s="237"/>
      <c r="X103" s="237"/>
      <c r="Y103" s="237"/>
      <c r="Z103" s="237"/>
      <c r="AA103" s="237"/>
      <c r="AB103" s="237"/>
      <c r="AC103" s="237"/>
    </row>
    <row r="104" ht="15.75" customHeight="1">
      <c r="A104" s="237"/>
      <c r="B104" s="1083"/>
      <c r="C104" s="1083" t="s">
        <v>276</v>
      </c>
      <c r="D104" s="448">
        <v>0.0</v>
      </c>
      <c r="E104" s="533">
        <f>IFERROR((D104/D$27),"")</f>
        <v>0</v>
      </c>
      <c r="F104" s="522"/>
      <c r="G104" s="522"/>
      <c r="H104" s="610">
        <f>D104-F104</f>
        <v>0</v>
      </c>
      <c r="I104" s="524"/>
      <c r="J104" s="448">
        <v>0.0</v>
      </c>
      <c r="K104" s="538">
        <f>IFERROR((J104/J$27),"")</f>
        <v>0</v>
      </c>
      <c r="L104" s="521"/>
      <c r="M104" s="521"/>
      <c r="N104" s="612">
        <f>J104-L104</f>
        <v>0</v>
      </c>
      <c r="O104" s="464"/>
      <c r="P104" s="482">
        <v>0.0</v>
      </c>
      <c r="Q104" s="716" t="str">
        <f>IFERROR((P104/P$27),"")</f>
        <v/>
      </c>
      <c r="R104" s="454"/>
      <c r="S104" s="454"/>
      <c r="T104" s="685">
        <f>P104-R104</f>
        <v>0</v>
      </c>
      <c r="U104" s="454"/>
      <c r="V104" s="237"/>
      <c r="W104" s="237"/>
      <c r="X104" s="237"/>
      <c r="Y104" s="237"/>
      <c r="Z104" s="237"/>
      <c r="AA104" s="237"/>
      <c r="AB104" s="237"/>
      <c r="AC104" s="237"/>
    </row>
    <row r="105" ht="15.75" customHeight="1">
      <c r="A105" s="237"/>
      <c r="B105" s="1092"/>
      <c r="C105" s="1092"/>
      <c r="D105" s="470"/>
      <c r="E105" s="526"/>
      <c r="F105" s="526"/>
      <c r="G105" s="526"/>
      <c r="H105" s="526"/>
      <c r="I105" s="528"/>
      <c r="J105" s="470"/>
      <c r="K105" s="521"/>
      <c r="L105" s="521"/>
      <c r="M105" s="521"/>
      <c r="N105" s="521"/>
      <c r="O105" s="464"/>
      <c r="P105" s="472"/>
      <c r="Q105" s="454"/>
      <c r="R105" s="454"/>
      <c r="S105" s="454"/>
      <c r="T105" s="454"/>
      <c r="U105" s="454"/>
      <c r="V105" s="237"/>
      <c r="W105" s="237"/>
      <c r="X105" s="237"/>
      <c r="Y105" s="237"/>
      <c r="Z105" s="237"/>
      <c r="AA105" s="237"/>
      <c r="AB105" s="237"/>
      <c r="AC105" s="237"/>
    </row>
    <row r="106" ht="15.75" customHeight="1">
      <c r="A106" s="237"/>
      <c r="B106" s="1100"/>
      <c r="C106" s="742" t="s">
        <v>238</v>
      </c>
      <c r="D106" s="475">
        <f>SUM(D107:D108)</f>
        <v>23091</v>
      </c>
      <c r="E106" s="581">
        <f>D106/D$27</f>
        <v>0.1326138535</v>
      </c>
      <c r="F106" s="442">
        <f>SUM(F107:F108)</f>
        <v>0</v>
      </c>
      <c r="G106" s="581" t="str">
        <f>F106/F$27</f>
        <v>#REF!</v>
      </c>
      <c r="H106" s="627">
        <f>SUM(H107:H108)</f>
        <v>0</v>
      </c>
      <c r="I106" s="442"/>
      <c r="J106" s="475">
        <f>SUM(J107:J108)</f>
        <v>23091</v>
      </c>
      <c r="K106" s="706">
        <f>J106/J$27</f>
        <v>0.1738269635</v>
      </c>
      <c r="L106" s="1099">
        <f>SUM(L107:L108)</f>
        <v>0</v>
      </c>
      <c r="M106" s="743" t="str">
        <f>L106/L$27</f>
        <v>#DIV/0!</v>
      </c>
      <c r="N106" s="707">
        <f>SUM(N107:N108)</f>
        <v>0</v>
      </c>
      <c r="O106" s="745"/>
      <c r="P106" s="475">
        <f>SUM(P107:P108)</f>
        <v>0</v>
      </c>
      <c r="Q106" s="738" t="str">
        <f>P106/P$27</f>
        <v>#DIV/0!</v>
      </c>
      <c r="R106" s="736">
        <f>SUM(R107:R108)</f>
        <v>0</v>
      </c>
      <c r="S106" s="738" t="str">
        <f>R106/R$27</f>
        <v>#DIV/0!</v>
      </c>
      <c r="T106" s="746">
        <f>SUM(T107:T108)</f>
        <v>0</v>
      </c>
      <c r="U106" s="736"/>
      <c r="V106" s="237"/>
      <c r="W106" s="237"/>
      <c r="X106" s="237"/>
      <c r="Y106" s="237"/>
      <c r="Z106" s="237"/>
      <c r="AA106" s="237"/>
      <c r="AB106" s="237"/>
      <c r="AC106" s="237"/>
    </row>
    <row r="107" ht="15.75" customHeight="1">
      <c r="A107" s="237"/>
      <c r="B107" s="1083"/>
      <c r="C107" s="1083" t="s">
        <v>239</v>
      </c>
      <c r="D107" s="448"/>
      <c r="E107" s="533"/>
      <c r="F107" s="522"/>
      <c r="G107" s="533"/>
      <c r="H107" s="610"/>
      <c r="I107" s="524"/>
      <c r="J107" s="448"/>
      <c r="K107" s="538"/>
      <c r="L107" s="521"/>
      <c r="M107" s="538"/>
      <c r="N107" s="612"/>
      <c r="O107" s="464"/>
      <c r="P107" s="482"/>
      <c r="Q107" s="716"/>
      <c r="R107" s="454"/>
      <c r="S107" s="716"/>
      <c r="T107" s="685"/>
      <c r="U107" s="454"/>
      <c r="V107" s="237"/>
      <c r="W107" s="237"/>
      <c r="X107" s="237"/>
      <c r="Y107" s="237"/>
      <c r="Z107" s="237"/>
      <c r="AA107" s="237"/>
      <c r="AB107" s="237"/>
      <c r="AC107" s="237"/>
    </row>
    <row r="108" ht="15.75" customHeight="1">
      <c r="A108" s="237"/>
      <c r="B108" s="1016"/>
      <c r="C108" s="1016" t="s">
        <v>289</v>
      </c>
      <c r="D108" s="452">
        <v>23091.0</v>
      </c>
      <c r="E108" s="538"/>
      <c r="F108" s="521"/>
      <c r="G108" s="538"/>
      <c r="H108" s="612"/>
      <c r="I108" s="464"/>
      <c r="J108" s="452">
        <v>23091.0</v>
      </c>
      <c r="K108" s="538"/>
      <c r="L108" s="521"/>
      <c r="M108" s="538"/>
      <c r="N108" s="612"/>
      <c r="O108" s="464"/>
      <c r="P108" s="459"/>
      <c r="Q108" s="716"/>
      <c r="R108" s="454"/>
      <c r="S108" s="716"/>
      <c r="T108" s="685"/>
      <c r="U108" s="454"/>
      <c r="V108" s="237"/>
      <c r="W108" s="237"/>
      <c r="X108" s="237"/>
      <c r="Y108" s="237"/>
      <c r="Z108" s="237"/>
      <c r="AA108" s="237"/>
      <c r="AB108" s="237"/>
      <c r="AC108" s="237"/>
    </row>
    <row r="109" ht="15.75" customHeight="1">
      <c r="A109" s="237"/>
      <c r="B109" s="1092"/>
      <c r="C109" s="1092"/>
      <c r="D109" s="470"/>
      <c r="E109" s="526"/>
      <c r="F109" s="526"/>
      <c r="G109" s="526"/>
      <c r="H109" s="526"/>
      <c r="I109" s="528"/>
      <c r="J109" s="470"/>
      <c r="K109" s="526"/>
      <c r="L109" s="526"/>
      <c r="M109" s="526"/>
      <c r="N109" s="526"/>
      <c r="O109" s="528"/>
      <c r="P109" s="472"/>
      <c r="Q109" s="525"/>
      <c r="R109" s="525"/>
      <c r="S109" s="525"/>
      <c r="T109" s="525"/>
      <c r="U109" s="525"/>
      <c r="V109" s="237"/>
      <c r="W109" s="237"/>
      <c r="X109" s="237"/>
      <c r="Y109" s="237"/>
      <c r="Z109" s="237"/>
      <c r="AA109" s="237"/>
      <c r="AB109" s="237"/>
      <c r="AC109" s="237"/>
    </row>
    <row r="110" ht="15.75" customHeight="1">
      <c r="A110" s="237"/>
      <c r="B110" s="1100"/>
      <c r="C110" s="742" t="s">
        <v>40</v>
      </c>
      <c r="D110" s="444">
        <f>SUM(D111:D123)</f>
        <v>0</v>
      </c>
      <c r="E110" s="529">
        <f>D110/D$27</f>
        <v>0</v>
      </c>
      <c r="F110" s="609">
        <f>SUM(F111:F123)</f>
        <v>0</v>
      </c>
      <c r="G110" s="529" t="str">
        <f>F110/F$27</f>
        <v>#REF!</v>
      </c>
      <c r="H110" s="609">
        <f>SUM(H111:H123)</f>
        <v>0</v>
      </c>
      <c r="I110" s="556"/>
      <c r="J110" s="444">
        <f>SUM(J111:J123)</f>
        <v>0</v>
      </c>
      <c r="K110" s="529">
        <f>J110/J$27</f>
        <v>0</v>
      </c>
      <c r="L110" s="609">
        <f>SUM(L111:L123)</f>
        <v>0</v>
      </c>
      <c r="M110" s="529" t="str">
        <f>L110/L$27</f>
        <v>#DIV/0!</v>
      </c>
      <c r="N110" s="609">
        <f>SUM(N111:N123)</f>
        <v>0</v>
      </c>
      <c r="O110" s="556"/>
      <c r="P110" s="475">
        <f>SUM(P111:P123)</f>
        <v>0</v>
      </c>
      <c r="Q110" s="581" t="str">
        <f>P110/P$27</f>
        <v>#DIV/0!</v>
      </c>
      <c r="R110" s="627">
        <f>SUM(R111:R123)</f>
        <v>0</v>
      </c>
      <c r="S110" s="581" t="str">
        <f>R110/R$27</f>
        <v>#DIV/0!</v>
      </c>
      <c r="T110" s="627">
        <f>SUM(T111:T123)</f>
        <v>0</v>
      </c>
      <c r="U110" s="442"/>
      <c r="V110" s="237"/>
      <c r="W110" s="237"/>
      <c r="X110" s="237"/>
      <c r="Y110" s="237"/>
      <c r="Z110" s="237"/>
      <c r="AA110" s="237"/>
      <c r="AB110" s="237"/>
      <c r="AC110" s="237"/>
    </row>
    <row r="111" ht="15.75" customHeight="1">
      <c r="A111" s="237"/>
      <c r="B111" s="1083"/>
      <c r="C111" s="1083" t="s">
        <v>241</v>
      </c>
      <c r="D111" s="448"/>
      <c r="E111" s="533"/>
      <c r="F111" s="522"/>
      <c r="G111" s="533"/>
      <c r="H111" s="610"/>
      <c r="I111" s="524"/>
      <c r="J111" s="448"/>
      <c r="K111" s="533"/>
      <c r="L111" s="522"/>
      <c r="M111" s="533"/>
      <c r="N111" s="610"/>
      <c r="O111" s="524"/>
      <c r="P111" s="482"/>
      <c r="Q111" s="725"/>
      <c r="R111" s="446"/>
      <c r="S111" s="725"/>
      <c r="T111" s="686"/>
      <c r="U111" s="446"/>
      <c r="V111" s="237"/>
      <c r="W111" s="237"/>
      <c r="X111" s="237"/>
      <c r="Y111" s="237"/>
      <c r="Z111" s="237"/>
      <c r="AA111" s="237"/>
      <c r="AB111" s="237"/>
      <c r="AC111" s="237"/>
    </row>
    <row r="112" ht="15.75" customHeight="1">
      <c r="A112" s="237"/>
      <c r="B112" s="1016"/>
      <c r="C112" s="1016" t="s">
        <v>242</v>
      </c>
      <c r="D112" s="452"/>
      <c r="E112" s="538"/>
      <c r="F112" s="521"/>
      <c r="G112" s="538"/>
      <c r="H112" s="612"/>
      <c r="I112" s="464"/>
      <c r="J112" s="452"/>
      <c r="K112" s="538"/>
      <c r="L112" s="521"/>
      <c r="M112" s="538"/>
      <c r="N112" s="612"/>
      <c r="O112" s="464"/>
      <c r="P112" s="459"/>
      <c r="Q112" s="716"/>
      <c r="R112" s="454"/>
      <c r="S112" s="716"/>
      <c r="T112" s="685"/>
      <c r="U112" s="454"/>
      <c r="V112" s="237"/>
      <c r="W112" s="237"/>
      <c r="X112" s="237"/>
      <c r="Y112" s="237"/>
      <c r="Z112" s="237"/>
      <c r="AA112" s="237"/>
      <c r="AB112" s="237"/>
      <c r="AC112" s="237"/>
    </row>
    <row r="113" ht="15.75" hidden="1" customHeight="1">
      <c r="A113" s="237"/>
      <c r="B113" s="1016"/>
      <c r="C113" s="1016" t="s">
        <v>243</v>
      </c>
      <c r="D113" s="452"/>
      <c r="E113" s="538"/>
      <c r="F113" s="521"/>
      <c r="G113" s="538"/>
      <c r="H113" s="612"/>
      <c r="I113" s="464"/>
      <c r="J113" s="452"/>
      <c r="K113" s="538"/>
      <c r="L113" s="521"/>
      <c r="M113" s="538"/>
      <c r="N113" s="612"/>
      <c r="O113" s="464"/>
      <c r="P113" s="459"/>
      <c r="Q113" s="716"/>
      <c r="R113" s="454"/>
      <c r="S113" s="716"/>
      <c r="T113" s="685"/>
      <c r="U113" s="454"/>
      <c r="V113" s="237"/>
      <c r="W113" s="237"/>
      <c r="X113" s="237"/>
      <c r="Y113" s="237"/>
      <c r="Z113" s="237"/>
      <c r="AA113" s="237"/>
      <c r="AB113" s="237"/>
      <c r="AC113" s="237"/>
    </row>
    <row r="114" ht="15.75" hidden="1" customHeight="1">
      <c r="A114" s="237"/>
      <c r="B114" s="1016"/>
      <c r="C114" s="1016" t="s">
        <v>244</v>
      </c>
      <c r="D114" s="452"/>
      <c r="E114" s="538"/>
      <c r="F114" s="521"/>
      <c r="G114" s="538"/>
      <c r="H114" s="612"/>
      <c r="I114" s="464"/>
      <c r="J114" s="452"/>
      <c r="K114" s="538"/>
      <c r="L114" s="521"/>
      <c r="M114" s="538"/>
      <c r="N114" s="612"/>
      <c r="O114" s="464"/>
      <c r="P114" s="459"/>
      <c r="Q114" s="716"/>
      <c r="R114" s="454"/>
      <c r="S114" s="716"/>
      <c r="T114" s="685"/>
      <c r="U114" s="454"/>
      <c r="V114" s="237"/>
      <c r="W114" s="237"/>
      <c r="X114" s="237"/>
      <c r="Y114" s="237"/>
      <c r="Z114" s="237"/>
      <c r="AA114" s="237"/>
      <c r="AB114" s="237"/>
      <c r="AC114" s="237"/>
    </row>
    <row r="115" ht="15.75" hidden="1" customHeight="1">
      <c r="A115" s="237"/>
      <c r="B115" s="1016"/>
      <c r="C115" s="1016" t="s">
        <v>290</v>
      </c>
      <c r="D115" s="452"/>
      <c r="E115" s="538"/>
      <c r="F115" s="521"/>
      <c r="G115" s="538"/>
      <c r="H115" s="612"/>
      <c r="I115" s="464"/>
      <c r="J115" s="452"/>
      <c r="K115" s="538"/>
      <c r="L115" s="521"/>
      <c r="M115" s="538"/>
      <c r="N115" s="612"/>
      <c r="O115" s="464"/>
      <c r="P115" s="459"/>
      <c r="Q115" s="716"/>
      <c r="R115" s="454"/>
      <c r="S115" s="716"/>
      <c r="T115" s="685"/>
      <c r="U115" s="454"/>
      <c r="V115" s="237"/>
      <c r="W115" s="237"/>
      <c r="X115" s="237"/>
      <c r="Y115" s="237"/>
      <c r="Z115" s="237"/>
      <c r="AA115" s="237"/>
      <c r="AB115" s="237"/>
      <c r="AC115" s="237"/>
    </row>
    <row r="116" ht="15.75" hidden="1" customHeight="1">
      <c r="A116" s="237"/>
      <c r="B116" s="1016"/>
      <c r="C116" s="1016" t="s">
        <v>247</v>
      </c>
      <c r="D116" s="452"/>
      <c r="E116" s="538"/>
      <c r="F116" s="521"/>
      <c r="G116" s="538"/>
      <c r="H116" s="612"/>
      <c r="I116" s="464"/>
      <c r="J116" s="452"/>
      <c r="K116" s="538"/>
      <c r="L116" s="521"/>
      <c r="M116" s="538"/>
      <c r="N116" s="612"/>
      <c r="O116" s="464"/>
      <c r="P116" s="459"/>
      <c r="Q116" s="716"/>
      <c r="R116" s="454"/>
      <c r="S116" s="716"/>
      <c r="T116" s="685"/>
      <c r="U116" s="454"/>
      <c r="V116" s="237"/>
      <c r="W116" s="237"/>
      <c r="X116" s="237"/>
      <c r="Y116" s="237"/>
      <c r="Z116" s="237"/>
      <c r="AA116" s="237"/>
      <c r="AB116" s="237"/>
      <c r="AC116" s="237"/>
    </row>
    <row r="117" ht="15.75" hidden="1" customHeight="1">
      <c r="A117" s="237"/>
      <c r="B117" s="1016"/>
      <c r="C117" s="1016" t="s">
        <v>249</v>
      </c>
      <c r="D117" s="452"/>
      <c r="E117" s="538"/>
      <c r="F117" s="521"/>
      <c r="G117" s="538"/>
      <c r="H117" s="612"/>
      <c r="I117" s="464"/>
      <c r="J117" s="452"/>
      <c r="K117" s="538"/>
      <c r="L117" s="521"/>
      <c r="M117" s="538"/>
      <c r="N117" s="612"/>
      <c r="O117" s="464"/>
      <c r="P117" s="459"/>
      <c r="Q117" s="716"/>
      <c r="R117" s="454"/>
      <c r="S117" s="716"/>
      <c r="T117" s="685"/>
      <c r="U117" s="454"/>
      <c r="V117" s="237"/>
      <c r="W117" s="237"/>
      <c r="X117" s="237"/>
      <c r="Y117" s="237"/>
      <c r="Z117" s="237"/>
      <c r="AA117" s="237"/>
      <c r="AB117" s="237"/>
      <c r="AC117" s="237"/>
    </row>
    <row r="118" ht="15.75" hidden="1" customHeight="1">
      <c r="A118" s="237"/>
      <c r="B118" s="1016"/>
      <c r="C118" s="1016" t="s">
        <v>250</v>
      </c>
      <c r="D118" s="452"/>
      <c r="E118" s="538"/>
      <c r="F118" s="521"/>
      <c r="G118" s="538"/>
      <c r="H118" s="612"/>
      <c r="I118" s="464"/>
      <c r="J118" s="452"/>
      <c r="K118" s="538"/>
      <c r="L118" s="521"/>
      <c r="M118" s="538"/>
      <c r="N118" s="612"/>
      <c r="O118" s="464"/>
      <c r="P118" s="459"/>
      <c r="Q118" s="716"/>
      <c r="R118" s="454"/>
      <c r="S118" s="716"/>
      <c r="T118" s="685"/>
      <c r="U118" s="454"/>
      <c r="V118" s="237"/>
      <c r="W118" s="237"/>
      <c r="X118" s="237"/>
      <c r="Y118" s="237"/>
      <c r="Z118" s="237"/>
      <c r="AA118" s="237"/>
      <c r="AB118" s="237"/>
      <c r="AC118" s="237"/>
    </row>
    <row r="119" ht="15.75" hidden="1" customHeight="1">
      <c r="A119" s="237"/>
      <c r="B119" s="1016"/>
      <c r="C119" s="1016" t="s">
        <v>251</v>
      </c>
      <c r="D119" s="452"/>
      <c r="E119" s="538"/>
      <c r="F119" s="521"/>
      <c r="G119" s="538"/>
      <c r="H119" s="612"/>
      <c r="I119" s="464"/>
      <c r="J119" s="452"/>
      <c r="K119" s="538"/>
      <c r="L119" s="521"/>
      <c r="M119" s="538"/>
      <c r="N119" s="612"/>
      <c r="O119" s="464"/>
      <c r="P119" s="459"/>
      <c r="Q119" s="716"/>
      <c r="R119" s="454"/>
      <c r="S119" s="716"/>
      <c r="T119" s="685"/>
      <c r="U119" s="454"/>
      <c r="V119" s="237"/>
      <c r="W119" s="237"/>
      <c r="X119" s="237"/>
      <c r="Y119" s="237"/>
      <c r="Z119" s="237"/>
      <c r="AA119" s="237"/>
      <c r="AB119" s="237"/>
      <c r="AC119" s="237"/>
    </row>
    <row r="120" ht="15.75" hidden="1" customHeight="1">
      <c r="A120" s="237"/>
      <c r="B120" s="1016"/>
      <c r="C120" s="1016" t="s">
        <v>252</v>
      </c>
      <c r="D120" s="452"/>
      <c r="E120" s="538"/>
      <c r="F120" s="521"/>
      <c r="G120" s="538"/>
      <c r="H120" s="612"/>
      <c r="I120" s="464"/>
      <c r="J120" s="452"/>
      <c r="K120" s="538"/>
      <c r="L120" s="521"/>
      <c r="M120" s="538"/>
      <c r="N120" s="612"/>
      <c r="O120" s="464"/>
      <c r="P120" s="459"/>
      <c r="Q120" s="716"/>
      <c r="R120" s="454"/>
      <c r="S120" s="716"/>
      <c r="T120" s="685"/>
      <c r="U120" s="454"/>
      <c r="V120" s="237"/>
      <c r="W120" s="237"/>
      <c r="X120" s="237"/>
      <c r="Y120" s="237"/>
      <c r="Z120" s="237"/>
      <c r="AA120" s="237"/>
      <c r="AB120" s="237"/>
      <c r="AC120" s="237"/>
    </row>
    <row r="121" ht="15.75" hidden="1" customHeight="1">
      <c r="A121" s="237"/>
      <c r="B121" s="1016"/>
      <c r="C121" s="1016" t="s">
        <v>303</v>
      </c>
      <c r="D121" s="452"/>
      <c r="E121" s="538"/>
      <c r="F121" s="521"/>
      <c r="G121" s="538"/>
      <c r="H121" s="612"/>
      <c r="I121" s="464"/>
      <c r="J121" s="452"/>
      <c r="K121" s="538"/>
      <c r="L121" s="521"/>
      <c r="M121" s="538"/>
      <c r="N121" s="612"/>
      <c r="O121" s="464"/>
      <c r="P121" s="459"/>
      <c r="Q121" s="716"/>
      <c r="R121" s="454"/>
      <c r="S121" s="716"/>
      <c r="T121" s="685"/>
      <c r="U121" s="454"/>
      <c r="V121" s="237"/>
      <c r="W121" s="237"/>
      <c r="X121" s="237"/>
      <c r="Y121" s="237"/>
      <c r="Z121" s="237"/>
      <c r="AA121" s="237"/>
      <c r="AB121" s="237"/>
      <c r="AC121" s="237"/>
    </row>
    <row r="122" ht="15.75" hidden="1" customHeight="1">
      <c r="A122" s="237"/>
      <c r="B122" s="1016"/>
      <c r="C122" s="1016" t="s">
        <v>280</v>
      </c>
      <c r="D122" s="452"/>
      <c r="E122" s="538"/>
      <c r="F122" s="521"/>
      <c r="G122" s="538"/>
      <c r="H122" s="521"/>
      <c r="I122" s="464"/>
      <c r="J122" s="452"/>
      <c r="K122" s="538"/>
      <c r="L122" s="521"/>
      <c r="M122" s="538"/>
      <c r="N122" s="521"/>
      <c r="O122" s="464"/>
      <c r="P122" s="459"/>
      <c r="Q122" s="716"/>
      <c r="R122" s="454"/>
      <c r="S122" s="716"/>
      <c r="T122" s="454"/>
      <c r="U122" s="454"/>
      <c r="V122" s="237"/>
      <c r="W122" s="237"/>
      <c r="X122" s="237"/>
      <c r="Y122" s="237"/>
      <c r="Z122" s="237"/>
      <c r="AA122" s="237"/>
      <c r="AB122" s="237"/>
      <c r="AC122" s="237"/>
    </row>
    <row r="123" ht="15.75" customHeight="1">
      <c r="A123" s="237"/>
      <c r="B123" s="1016"/>
      <c r="C123" s="1016" t="s">
        <v>247</v>
      </c>
      <c r="D123" s="452"/>
      <c r="E123" s="521"/>
      <c r="F123" s="521"/>
      <c r="G123" s="521"/>
      <c r="H123" s="521"/>
      <c r="I123" s="464"/>
      <c r="J123" s="452"/>
      <c r="K123" s="521"/>
      <c r="L123" s="521"/>
      <c r="M123" s="521"/>
      <c r="N123" s="521"/>
      <c r="O123" s="464"/>
      <c r="P123" s="459"/>
      <c r="Q123" s="454"/>
      <c r="R123" s="454"/>
      <c r="S123" s="454"/>
      <c r="T123" s="454"/>
      <c r="U123" s="454"/>
      <c r="V123" s="237"/>
      <c r="W123" s="237"/>
      <c r="X123" s="237"/>
      <c r="Y123" s="237"/>
      <c r="Z123" s="237"/>
      <c r="AA123" s="237"/>
      <c r="AB123" s="237"/>
      <c r="AC123" s="237"/>
    </row>
    <row r="124" ht="15.75" customHeight="1">
      <c r="A124" s="237"/>
      <c r="B124" s="1092"/>
      <c r="C124" s="1106"/>
      <c r="D124" s="470"/>
      <c r="E124" s="526"/>
      <c r="F124" s="526"/>
      <c r="G124" s="526"/>
      <c r="H124" s="526"/>
      <c r="I124" s="528"/>
      <c r="J124" s="470"/>
      <c r="K124" s="526"/>
      <c r="L124" s="526"/>
      <c r="M124" s="526"/>
      <c r="N124" s="526"/>
      <c r="O124" s="528"/>
      <c r="P124" s="472"/>
      <c r="Q124" s="525"/>
      <c r="R124" s="525"/>
      <c r="S124" s="525"/>
      <c r="T124" s="525"/>
      <c r="U124" s="525"/>
      <c r="V124" s="237"/>
      <c r="W124" s="237"/>
      <c r="X124" s="237"/>
      <c r="Y124" s="237"/>
      <c r="Z124" s="237"/>
      <c r="AA124" s="237"/>
      <c r="AB124" s="237"/>
      <c r="AC124" s="237"/>
    </row>
    <row r="125" ht="15.75" customHeight="1">
      <c r="A125" s="237"/>
      <c r="B125" s="1100"/>
      <c r="C125" s="742" t="s">
        <v>41</v>
      </c>
      <c r="D125" s="444">
        <f>SUM(D126:D127)</f>
        <v>0</v>
      </c>
      <c r="E125" s="555"/>
      <c r="F125" s="609">
        <f>SUM(F126:F127)</f>
        <v>0</v>
      </c>
      <c r="G125" s="555"/>
      <c r="H125" s="609">
        <f>SUM(H126:H127)</f>
        <v>0</v>
      </c>
      <c r="I125" s="556"/>
      <c r="J125" s="444">
        <f>SUM(J126:J127)</f>
        <v>0</v>
      </c>
      <c r="K125" s="555"/>
      <c r="L125" s="609">
        <f>SUM(L126:L127)</f>
        <v>0</v>
      </c>
      <c r="M125" s="555"/>
      <c r="N125" s="609">
        <f>SUM(N126:N127)</f>
        <v>0</v>
      </c>
      <c r="O125" s="556"/>
      <c r="P125" s="475">
        <f>SUM(P126:P127)</f>
        <v>0</v>
      </c>
      <c r="Q125" s="442"/>
      <c r="R125" s="627">
        <f>SUM(R126:R127)</f>
        <v>0</v>
      </c>
      <c r="S125" s="442"/>
      <c r="T125" s="627">
        <f>SUM(T126:T127)</f>
        <v>0</v>
      </c>
      <c r="U125" s="442"/>
      <c r="V125" s="237"/>
      <c r="W125" s="237"/>
      <c r="X125" s="237"/>
      <c r="Y125" s="237"/>
      <c r="Z125" s="237"/>
      <c r="AA125" s="237"/>
      <c r="AB125" s="237"/>
      <c r="AC125" s="237"/>
    </row>
    <row r="126" ht="15.75" hidden="1" customHeight="1">
      <c r="A126" s="237"/>
      <c r="B126" s="1083"/>
      <c r="C126" s="1083" t="s">
        <v>253</v>
      </c>
      <c r="D126" s="448"/>
      <c r="E126" s="533">
        <f t="shared" ref="E126:E127" si="29">IFERROR((D126/D$27),"")</f>
        <v>0</v>
      </c>
      <c r="F126" s="522"/>
      <c r="G126" s="522"/>
      <c r="H126" s="610">
        <f t="shared" ref="H126:H127" si="30">D126-F126</f>
        <v>0</v>
      </c>
      <c r="I126" s="524"/>
      <c r="J126" s="448"/>
      <c r="K126" s="533">
        <f t="shared" ref="K126:K127" si="31">IFERROR((J126/J$27),"")</f>
        <v>0</v>
      </c>
      <c r="L126" s="522"/>
      <c r="M126" s="522"/>
      <c r="N126" s="610">
        <f t="shared" ref="N126:N127" si="32">J126-L126</f>
        <v>0</v>
      </c>
      <c r="O126" s="524"/>
      <c r="P126" s="482"/>
      <c r="Q126" s="725" t="str">
        <f t="shared" ref="Q126:Q127" si="33">IFERROR((P126/P$27),"")</f>
        <v/>
      </c>
      <c r="R126" s="446"/>
      <c r="S126" s="446"/>
      <c r="T126" s="686">
        <f t="shared" ref="T126:T127" si="34">P126-R126</f>
        <v>0</v>
      </c>
      <c r="U126" s="446"/>
      <c r="V126" s="237"/>
      <c r="W126" s="237"/>
      <c r="X126" s="237"/>
      <c r="Y126" s="237"/>
      <c r="Z126" s="237"/>
      <c r="AA126" s="237"/>
      <c r="AB126" s="237"/>
      <c r="AC126" s="237"/>
    </row>
    <row r="127" ht="15.75" hidden="1" customHeight="1">
      <c r="A127" s="237"/>
      <c r="B127" s="1016"/>
      <c r="C127" s="1016" t="s">
        <v>292</v>
      </c>
      <c r="D127" s="452"/>
      <c r="E127" s="538">
        <f t="shared" si="29"/>
        <v>0</v>
      </c>
      <c r="F127" s="521"/>
      <c r="G127" s="521"/>
      <c r="H127" s="612">
        <f t="shared" si="30"/>
        <v>0</v>
      </c>
      <c r="I127" s="464"/>
      <c r="J127" s="452"/>
      <c r="K127" s="538">
        <f t="shared" si="31"/>
        <v>0</v>
      </c>
      <c r="L127" s="521"/>
      <c r="M127" s="521"/>
      <c r="N127" s="612">
        <f t="shared" si="32"/>
        <v>0</v>
      </c>
      <c r="O127" s="464"/>
      <c r="P127" s="459"/>
      <c r="Q127" s="716" t="str">
        <f t="shared" si="33"/>
        <v/>
      </c>
      <c r="R127" s="454"/>
      <c r="S127" s="454"/>
      <c r="T127" s="685">
        <f t="shared" si="34"/>
        <v>0</v>
      </c>
      <c r="U127" s="454"/>
      <c r="V127" s="237"/>
      <c r="W127" s="237"/>
      <c r="X127" s="237"/>
      <c r="Y127" s="237"/>
      <c r="Z127" s="237"/>
      <c r="AA127" s="237"/>
      <c r="AB127" s="237"/>
      <c r="AC127" s="237"/>
    </row>
    <row r="128" ht="15.75" customHeight="1">
      <c r="A128" s="237"/>
      <c r="B128" s="1092"/>
      <c r="C128" s="1092"/>
      <c r="D128" s="470"/>
      <c r="E128" s="526"/>
      <c r="F128" s="526"/>
      <c r="G128" s="526"/>
      <c r="H128" s="526"/>
      <c r="I128" s="528"/>
      <c r="J128" s="470"/>
      <c r="K128" s="526"/>
      <c r="L128" s="526"/>
      <c r="M128" s="526"/>
      <c r="N128" s="526"/>
      <c r="O128" s="528"/>
      <c r="P128" s="472"/>
      <c r="Q128" s="525"/>
      <c r="R128" s="525"/>
      <c r="S128" s="525"/>
      <c r="T128" s="525"/>
      <c r="U128" s="525"/>
      <c r="V128" s="237"/>
      <c r="W128" s="237"/>
      <c r="X128" s="237"/>
      <c r="Y128" s="237"/>
      <c r="Z128" s="237"/>
      <c r="AA128" s="237"/>
      <c r="AB128" s="237"/>
      <c r="AC128" s="237"/>
    </row>
    <row r="129" ht="15.75" customHeight="1">
      <c r="A129" s="237"/>
      <c r="B129" s="1100"/>
      <c r="C129" s="742" t="s">
        <v>42</v>
      </c>
      <c r="D129" s="444">
        <f>SUM(D130:D131)</f>
        <v>0</v>
      </c>
      <c r="E129" s="555"/>
      <c r="F129" s="555">
        <f>SUM(F130:F131)</f>
        <v>0</v>
      </c>
      <c r="G129" s="555"/>
      <c r="H129" s="609">
        <f>SUM(H130:H131)</f>
        <v>0</v>
      </c>
      <c r="I129" s="556"/>
      <c r="J129" s="444">
        <f>SUM(J130:J131)</f>
        <v>0</v>
      </c>
      <c r="K129" s="555"/>
      <c r="L129" s="555">
        <f>SUM(L130:L131)</f>
        <v>0</v>
      </c>
      <c r="M129" s="555"/>
      <c r="N129" s="609">
        <f>SUM(N130:N131)</f>
        <v>0</v>
      </c>
      <c r="O129" s="556"/>
      <c r="P129" s="475">
        <f>SUM(P130:P131)</f>
        <v>0</v>
      </c>
      <c r="Q129" s="442"/>
      <c r="R129" s="442">
        <f>SUM(R130:R131)</f>
        <v>0</v>
      </c>
      <c r="S129" s="442"/>
      <c r="T129" s="627">
        <f>SUM(T130:T131)</f>
        <v>0</v>
      </c>
      <c r="U129" s="442"/>
      <c r="V129" s="237"/>
      <c r="W129" s="237"/>
      <c r="X129" s="237"/>
      <c r="Y129" s="237"/>
      <c r="Z129" s="237"/>
      <c r="AA129" s="237"/>
      <c r="AB129" s="237"/>
      <c r="AC129" s="237"/>
    </row>
    <row r="130" ht="15.75" hidden="1" customHeight="1">
      <c r="A130" s="237"/>
      <c r="B130" s="1083"/>
      <c r="C130" s="1083" t="s">
        <v>333</v>
      </c>
      <c r="D130" s="448"/>
      <c r="E130" s="533"/>
      <c r="F130" s="522"/>
      <c r="G130" s="522"/>
      <c r="H130" s="610"/>
      <c r="I130" s="524"/>
      <c r="J130" s="448"/>
      <c r="K130" s="533"/>
      <c r="L130" s="522"/>
      <c r="M130" s="522"/>
      <c r="N130" s="610"/>
      <c r="O130" s="524"/>
      <c r="P130" s="482"/>
      <c r="Q130" s="725"/>
      <c r="R130" s="446"/>
      <c r="S130" s="446"/>
      <c r="T130" s="686"/>
      <c r="U130" s="446"/>
      <c r="V130" s="237"/>
      <c r="W130" s="237"/>
      <c r="X130" s="237"/>
      <c r="Y130" s="237"/>
      <c r="Z130" s="237"/>
      <c r="AA130" s="237"/>
      <c r="AB130" s="237"/>
      <c r="AC130" s="237"/>
    </row>
    <row r="131" ht="15.75" customHeight="1">
      <c r="A131" s="237"/>
      <c r="B131" s="1016"/>
      <c r="C131" s="1016" t="s">
        <v>256</v>
      </c>
      <c r="D131" s="452">
        <v>0.0</v>
      </c>
      <c r="E131" s="538"/>
      <c r="F131" s="521"/>
      <c r="G131" s="521"/>
      <c r="H131" s="612"/>
      <c r="I131" s="464"/>
      <c r="J131" s="452">
        <v>0.0</v>
      </c>
      <c r="K131" s="538"/>
      <c r="L131" s="521"/>
      <c r="M131" s="521"/>
      <c r="N131" s="612"/>
      <c r="O131" s="464"/>
      <c r="P131" s="459">
        <v>0.0</v>
      </c>
      <c r="Q131" s="716"/>
      <c r="R131" s="454"/>
      <c r="S131" s="454"/>
      <c r="T131" s="685"/>
      <c r="U131" s="454"/>
      <c r="V131" s="237"/>
      <c r="W131" s="237"/>
      <c r="X131" s="237"/>
      <c r="Y131" s="237"/>
      <c r="Z131" s="237"/>
      <c r="AA131" s="237"/>
      <c r="AB131" s="237"/>
      <c r="AC131" s="237"/>
    </row>
    <row r="132" ht="15.75" customHeight="1">
      <c r="A132" s="237"/>
      <c r="B132" s="1092"/>
      <c r="C132" s="1092"/>
      <c r="D132" s="470"/>
      <c r="E132" s="526"/>
      <c r="F132" s="526"/>
      <c r="G132" s="526"/>
      <c r="H132" s="526"/>
      <c r="I132" s="528"/>
      <c r="J132" s="470"/>
      <c r="K132" s="526"/>
      <c r="L132" s="526"/>
      <c r="M132" s="526"/>
      <c r="N132" s="526"/>
      <c r="O132" s="528"/>
      <c r="P132" s="472"/>
      <c r="Q132" s="525"/>
      <c r="R132" s="525"/>
      <c r="S132" s="525"/>
      <c r="T132" s="525"/>
      <c r="U132" s="525"/>
      <c r="V132" s="237"/>
      <c r="W132" s="237"/>
      <c r="X132" s="237"/>
      <c r="Y132" s="237"/>
      <c r="Z132" s="237"/>
      <c r="AA132" s="237"/>
      <c r="AB132" s="237"/>
      <c r="AC132" s="237"/>
    </row>
    <row r="133" ht="15.75" customHeight="1">
      <c r="A133" s="237"/>
      <c r="B133" s="1097"/>
      <c r="C133" s="1097" t="s">
        <v>257</v>
      </c>
      <c r="D133" s="444">
        <f>D60+D87+D93+D129+D125+D110+D106+D103+D80+D72</f>
        <v>128088.97</v>
      </c>
      <c r="E133" s="529">
        <f>IFERROR((D133/D$27),"")</f>
        <v>0.7356273828</v>
      </c>
      <c r="F133" s="609">
        <f>F129+F125+F110+F106+F103+F93+F87+F80+F72</f>
        <v>0</v>
      </c>
      <c r="G133" s="529" t="str">
        <f>IFERROR((F133/F$27),"")</f>
        <v/>
      </c>
      <c r="H133" s="609"/>
      <c r="I133" s="556"/>
      <c r="J133" s="444">
        <f>J129+J125+J110+J106+J103+J93+J87+J80+J72</f>
        <v>47233</v>
      </c>
      <c r="K133" s="529">
        <f>IFERROR((J133/J$27),"")</f>
        <v>0.3555657601</v>
      </c>
      <c r="L133" s="609">
        <f>L129+L125+L110+L106+L103+L93+L87+L80+L72</f>
        <v>0</v>
      </c>
      <c r="M133" s="529" t="str">
        <f>IFERROR((L133/L$27),"")</f>
        <v/>
      </c>
      <c r="N133" s="609"/>
      <c r="O133" s="556"/>
      <c r="P133" s="475">
        <f>P129+P125+P110+P106+P103+P93+P87+P80+P72</f>
        <v>0</v>
      </c>
      <c r="Q133" s="581" t="str">
        <f>IFERROR((P133/P$27),"")</f>
        <v/>
      </c>
      <c r="R133" s="627">
        <f>R129+R125+R110+R106+R103+R93+R87+R80+R72</f>
        <v>0</v>
      </c>
      <c r="S133" s="581" t="str">
        <f>IFERROR((R133/R$27),"")</f>
        <v/>
      </c>
      <c r="T133" s="627"/>
      <c r="U133" s="442"/>
      <c r="V133" s="237"/>
      <c r="W133" s="237"/>
      <c r="X133" s="237"/>
      <c r="Y133" s="237"/>
      <c r="Z133" s="237"/>
      <c r="AA133" s="237"/>
      <c r="AB133" s="237"/>
      <c r="AC133" s="237"/>
    </row>
    <row r="134" ht="15.75" customHeight="1">
      <c r="A134" s="237"/>
      <c r="B134" s="1106"/>
      <c r="C134" s="1106"/>
      <c r="D134" s="494"/>
      <c r="E134" s="586"/>
      <c r="F134" s="586"/>
      <c r="G134" s="586"/>
      <c r="H134" s="586"/>
      <c r="I134" s="440"/>
      <c r="J134" s="494"/>
      <c r="K134" s="586"/>
      <c r="L134" s="586"/>
      <c r="M134" s="586"/>
      <c r="N134" s="586"/>
      <c r="O134" s="440"/>
      <c r="P134" s="495"/>
      <c r="Q134" s="741"/>
      <c r="R134" s="741"/>
      <c r="S134" s="741"/>
      <c r="T134" s="741"/>
      <c r="U134" s="741"/>
      <c r="V134" s="237"/>
      <c r="W134" s="237"/>
      <c r="X134" s="237"/>
      <c r="Y134" s="237"/>
      <c r="Z134" s="237"/>
      <c r="AA134" s="237"/>
      <c r="AB134" s="237"/>
      <c r="AC134" s="237"/>
    </row>
    <row r="135" ht="15.75" customHeight="1">
      <c r="A135" s="237"/>
      <c r="B135" s="1097"/>
      <c r="C135" s="1097" t="s">
        <v>258</v>
      </c>
      <c r="D135" s="444">
        <f>D40-D133</f>
        <v>-230104.9688</v>
      </c>
      <c r="E135" s="529">
        <f>IFERROR((D135/D$27),"")</f>
        <v>-1.321515162</v>
      </c>
      <c r="F135" s="609" t="str">
        <f>#REF!-F133</f>
        <v>#REF!</v>
      </c>
      <c r="G135" s="529" t="str">
        <f>IFERROR((F135/F$27),"")</f>
        <v/>
      </c>
      <c r="H135" s="609" t="str">
        <f>#REF!-H133</f>
        <v>#REF!</v>
      </c>
      <c r="I135" s="556"/>
      <c r="J135" s="444">
        <f>J40-J133</f>
        <v>-139322.6562</v>
      </c>
      <c r="K135" s="529">
        <f>IFERROR((J135/J$27),"")</f>
        <v>-1.048808379</v>
      </c>
      <c r="L135" s="609" t="str">
        <f>#REF!-L133</f>
        <v>#REF!</v>
      </c>
      <c r="M135" s="529" t="str">
        <f>IFERROR((L135/L$27),"")</f>
        <v/>
      </c>
      <c r="N135" s="609" t="str">
        <f>#REF!-N133</f>
        <v>#REF!</v>
      </c>
      <c r="O135" s="556"/>
      <c r="P135" s="475">
        <f>P40-P133</f>
        <v>0</v>
      </c>
      <c r="Q135" s="581" t="str">
        <f>IFERROR((P135/P$27),"")</f>
        <v/>
      </c>
      <c r="R135" s="627" t="str">
        <f>#REF!-R133</f>
        <v>#REF!</v>
      </c>
      <c r="S135" s="581" t="str">
        <f>IFERROR((R135/R$27),"")</f>
        <v/>
      </c>
      <c r="T135" s="627" t="str">
        <f>#REF!-T133</f>
        <v>#REF!</v>
      </c>
      <c r="U135" s="442"/>
      <c r="V135" s="237"/>
      <c r="W135" s="237"/>
      <c r="X135" s="237"/>
      <c r="Y135" s="237"/>
      <c r="Z135" s="237"/>
      <c r="AA135" s="237"/>
      <c r="AB135" s="237"/>
      <c r="AC135" s="237"/>
    </row>
    <row r="136" ht="15.75" customHeight="1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  <c r="AA136" s="237"/>
      <c r="AB136" s="237"/>
      <c r="AC136" s="237"/>
    </row>
    <row r="137" ht="15.75" customHeight="1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</row>
    <row r="138" ht="15.75" customHeight="1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  <c r="AA138" s="237"/>
      <c r="AB138" s="237"/>
      <c r="AC138" s="237"/>
    </row>
    <row r="139" ht="15.75" customHeight="1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  <c r="AA139" s="237"/>
      <c r="AB139" s="237"/>
      <c r="AC139" s="237"/>
    </row>
    <row r="140" ht="15.75" customHeight="1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  <c r="AA140" s="237"/>
      <c r="AB140" s="237"/>
      <c r="AC140" s="237"/>
    </row>
    <row r="141" ht="15.75" customHeight="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  <c r="AA141" s="237"/>
      <c r="AB141" s="237"/>
      <c r="AC141" s="237"/>
    </row>
    <row r="142" ht="15.75" customHeight="1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  <c r="AA142" s="237"/>
      <c r="AB142" s="237"/>
      <c r="AC142" s="237"/>
    </row>
    <row r="143" ht="15.75" customHeight="1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  <c r="AA143" s="237"/>
      <c r="AB143" s="237"/>
      <c r="AC143" s="237"/>
    </row>
    <row r="144" ht="15.75" customHeight="1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  <c r="AA144" s="237"/>
      <c r="AB144" s="237"/>
      <c r="AC144" s="237"/>
    </row>
    <row r="145" ht="15.75" customHeight="1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  <c r="AA145" s="237"/>
      <c r="AB145" s="237"/>
      <c r="AC145" s="237"/>
    </row>
    <row r="146" ht="15.75" customHeight="1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  <c r="AA146" s="237"/>
      <c r="AB146" s="237"/>
      <c r="AC146" s="237"/>
    </row>
    <row r="147" ht="15.75" customHeight="1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  <c r="AA147" s="237"/>
      <c r="AB147" s="237"/>
      <c r="AC147" s="237"/>
    </row>
    <row r="148" ht="15.75" customHeight="1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  <c r="AA148" s="237"/>
      <c r="AB148" s="237"/>
      <c r="AC148" s="237"/>
    </row>
    <row r="149" ht="15.75" customHeight="1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  <c r="AA149" s="237"/>
      <c r="AB149" s="237"/>
      <c r="AC149" s="237"/>
    </row>
    <row r="150" ht="15.75" customHeight="1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  <c r="AA150" s="237"/>
      <c r="AB150" s="237"/>
      <c r="AC150" s="237"/>
    </row>
    <row r="151" ht="15.75" customHeight="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  <c r="AA151" s="237"/>
      <c r="AB151" s="237"/>
      <c r="AC151" s="237"/>
    </row>
    <row r="152" ht="15.75" customHeight="1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  <c r="AA152" s="237"/>
      <c r="AB152" s="237"/>
      <c r="AC152" s="237"/>
    </row>
    <row r="153" ht="15.75" customHeight="1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  <c r="AA153" s="237"/>
      <c r="AB153" s="237"/>
      <c r="AC153" s="237"/>
    </row>
    <row r="154" ht="15.75" customHeight="1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  <c r="AA154" s="237"/>
      <c r="AB154" s="237"/>
      <c r="AC154" s="237"/>
    </row>
    <row r="155" ht="15.75" customHeight="1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  <c r="AA155" s="237"/>
      <c r="AB155" s="237"/>
      <c r="AC155" s="237"/>
    </row>
    <row r="156" ht="15.75" customHeight="1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  <c r="AA156" s="237"/>
      <c r="AB156" s="237"/>
      <c r="AC156" s="237"/>
    </row>
    <row r="157" ht="15.75" customHeight="1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  <c r="AA157" s="237"/>
      <c r="AB157" s="237"/>
      <c r="AC157" s="237"/>
    </row>
    <row r="158" ht="15.75" customHeight="1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  <c r="AA158" s="237"/>
      <c r="AB158" s="237"/>
      <c r="AC158" s="237"/>
    </row>
    <row r="159" ht="15.75" customHeight="1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  <c r="AA159" s="237"/>
      <c r="AB159" s="237"/>
      <c r="AC159" s="237"/>
    </row>
    <row r="160" ht="15.75" customHeight="1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  <c r="AA160" s="237"/>
      <c r="AB160" s="237"/>
      <c r="AC160" s="237"/>
    </row>
    <row r="161" ht="15.75" customHeight="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  <c r="AA161" s="237"/>
      <c r="AB161" s="237"/>
      <c r="AC161" s="237"/>
    </row>
    <row r="162" ht="15.75" customHeight="1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  <c r="AA162" s="237"/>
      <c r="AB162" s="237"/>
      <c r="AC162" s="237"/>
    </row>
    <row r="163" ht="15.75" customHeight="1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  <c r="AA163" s="237"/>
      <c r="AB163" s="237"/>
      <c r="AC163" s="237"/>
    </row>
    <row r="164" ht="15.75" customHeight="1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  <c r="AA164" s="237"/>
      <c r="AB164" s="237"/>
      <c r="AC164" s="237"/>
    </row>
    <row r="165" ht="15.75" customHeight="1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  <c r="AA165" s="237"/>
      <c r="AB165" s="237"/>
      <c r="AC165" s="237"/>
    </row>
    <row r="166" ht="15.75" customHeight="1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  <c r="AA166" s="237"/>
      <c r="AB166" s="237"/>
      <c r="AC166" s="237"/>
    </row>
    <row r="167" ht="15.75" customHeight="1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  <c r="AA167" s="237"/>
      <c r="AB167" s="237"/>
      <c r="AC167" s="237"/>
    </row>
    <row r="168" ht="15.75" customHeight="1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  <c r="AA168" s="237"/>
      <c r="AB168" s="237"/>
      <c r="AC168" s="237"/>
    </row>
    <row r="169" ht="15.75" customHeight="1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  <c r="AA169" s="237"/>
      <c r="AB169" s="237"/>
      <c r="AC169" s="237"/>
    </row>
    <row r="170" ht="15.75" customHeight="1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  <c r="AA170" s="237"/>
      <c r="AB170" s="237"/>
      <c r="AC170" s="237"/>
    </row>
    <row r="171" ht="15.75" customHeight="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  <c r="AA171" s="237"/>
      <c r="AB171" s="237"/>
      <c r="AC171" s="237"/>
    </row>
    <row r="172" ht="15.75" customHeight="1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  <c r="AA172" s="237"/>
      <c r="AB172" s="237"/>
      <c r="AC172" s="237"/>
    </row>
    <row r="173" ht="15.75" customHeight="1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  <c r="AA173" s="237"/>
      <c r="AB173" s="237"/>
      <c r="AC173" s="237"/>
    </row>
    <row r="174" ht="15.75" customHeight="1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  <c r="AA174" s="237"/>
      <c r="AB174" s="237"/>
      <c r="AC174" s="237"/>
    </row>
    <row r="175" ht="15.75" customHeight="1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  <c r="AA175" s="237"/>
      <c r="AB175" s="237"/>
      <c r="AC175" s="237"/>
    </row>
    <row r="176" ht="15.75" customHeight="1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  <c r="AA176" s="237"/>
      <c r="AB176" s="237"/>
      <c r="AC176" s="237"/>
    </row>
    <row r="177" ht="15.75" customHeight="1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  <c r="AA177" s="237"/>
      <c r="AB177" s="237"/>
      <c r="AC177" s="237"/>
    </row>
    <row r="178" ht="15.75" customHeight="1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  <c r="AA178" s="237"/>
      <c r="AB178" s="237"/>
      <c r="AC178" s="237"/>
    </row>
    <row r="179" ht="15.75" customHeight="1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  <c r="AA179" s="237"/>
      <c r="AB179" s="237"/>
      <c r="AC179" s="237"/>
    </row>
    <row r="180" ht="15.75" customHeight="1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  <c r="AA180" s="237"/>
      <c r="AB180" s="237"/>
      <c r="AC180" s="237"/>
    </row>
    <row r="181" ht="15.75" customHeight="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  <c r="AA181" s="237"/>
      <c r="AB181" s="237"/>
      <c r="AC181" s="237"/>
    </row>
    <row r="182" ht="15.75" customHeight="1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  <c r="AA182" s="237"/>
      <c r="AB182" s="237"/>
      <c r="AC182" s="237"/>
    </row>
    <row r="183" ht="15.75" customHeight="1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  <c r="AA183" s="237"/>
      <c r="AB183" s="237"/>
      <c r="AC183" s="237"/>
    </row>
    <row r="184" ht="15.75" customHeight="1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</row>
    <row r="185" ht="15.75" customHeight="1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  <c r="AA185" s="237"/>
      <c r="AB185" s="237"/>
      <c r="AC185" s="237"/>
    </row>
    <row r="186" ht="15.75" customHeight="1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  <c r="AA186" s="237"/>
      <c r="AB186" s="237"/>
      <c r="AC186" s="237"/>
    </row>
    <row r="187" ht="15.75" customHeight="1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  <c r="AA187" s="237"/>
      <c r="AB187" s="237"/>
      <c r="AC187" s="237"/>
    </row>
    <row r="188" ht="15.75" customHeight="1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  <c r="AA188" s="237"/>
      <c r="AB188" s="237"/>
      <c r="AC188" s="237"/>
    </row>
    <row r="189" ht="15.75" customHeight="1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  <c r="AA189" s="237"/>
      <c r="AB189" s="237"/>
      <c r="AC189" s="237"/>
    </row>
    <row r="190" ht="15.75" customHeight="1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  <c r="AA190" s="237"/>
      <c r="AB190" s="237"/>
      <c r="AC190" s="237"/>
    </row>
    <row r="191" ht="15.75" customHeight="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  <c r="AA191" s="237"/>
      <c r="AB191" s="237"/>
      <c r="AC191" s="237"/>
    </row>
    <row r="192" ht="15.75" customHeight="1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  <c r="AA192" s="237"/>
      <c r="AB192" s="237"/>
      <c r="AC192" s="237"/>
    </row>
    <row r="193" ht="15.75" customHeight="1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  <c r="AA193" s="237"/>
      <c r="AB193" s="237"/>
      <c r="AC193" s="237"/>
    </row>
    <row r="194" ht="15.75" customHeight="1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  <c r="AA194" s="237"/>
      <c r="AB194" s="237"/>
      <c r="AC194" s="237"/>
    </row>
    <row r="195" ht="15.75" customHeight="1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  <c r="AA195" s="237"/>
      <c r="AB195" s="237"/>
      <c r="AC195" s="237"/>
    </row>
    <row r="196" ht="15.75" customHeight="1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  <c r="AA196" s="237"/>
      <c r="AB196" s="237"/>
      <c r="AC196" s="237"/>
    </row>
    <row r="197" ht="15.75" customHeight="1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  <c r="AA197" s="237"/>
      <c r="AB197" s="237"/>
      <c r="AC197" s="237"/>
    </row>
    <row r="198" ht="15.75" customHeight="1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  <c r="AA198" s="237"/>
      <c r="AB198" s="237"/>
      <c r="AC198" s="237"/>
    </row>
    <row r="199" ht="15.75" customHeight="1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  <c r="AA199" s="237"/>
      <c r="AB199" s="237"/>
      <c r="AC199" s="237"/>
    </row>
    <row r="200" ht="15.75" customHeight="1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  <c r="AA200" s="237"/>
      <c r="AB200" s="237"/>
      <c r="AC200" s="237"/>
    </row>
    <row r="201" ht="15.75" customHeight="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  <c r="AA201" s="237"/>
      <c r="AB201" s="237"/>
      <c r="AC201" s="237"/>
    </row>
    <row r="202" ht="15.75" customHeight="1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  <c r="AA202" s="237"/>
      <c r="AB202" s="237"/>
      <c r="AC202" s="237"/>
    </row>
    <row r="203" ht="15.75" customHeight="1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  <c r="AA203" s="237"/>
      <c r="AB203" s="237"/>
      <c r="AC203" s="237"/>
    </row>
    <row r="204" ht="15.75" customHeight="1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  <c r="AA204" s="237"/>
      <c r="AB204" s="237"/>
      <c r="AC204" s="237"/>
    </row>
    <row r="205" ht="15.75" customHeight="1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  <c r="AA205" s="237"/>
      <c r="AB205" s="237"/>
      <c r="AC205" s="237"/>
    </row>
    <row r="206" ht="15.75" customHeight="1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  <c r="AA206" s="237"/>
      <c r="AB206" s="237"/>
      <c r="AC206" s="237"/>
    </row>
    <row r="207" ht="15.75" customHeight="1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  <c r="AA207" s="237"/>
      <c r="AB207" s="237"/>
      <c r="AC207" s="237"/>
    </row>
    <row r="208" ht="15.75" customHeight="1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  <c r="AA208" s="237"/>
      <c r="AB208" s="237"/>
      <c r="AC208" s="237"/>
    </row>
    <row r="209" ht="15.75" customHeight="1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  <c r="AA209" s="237"/>
      <c r="AB209" s="237"/>
      <c r="AC209" s="237"/>
    </row>
    <row r="210" ht="15.75" customHeight="1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  <c r="AA210" s="237"/>
      <c r="AB210" s="237"/>
      <c r="AC210" s="237"/>
    </row>
    <row r="211" ht="15.75" customHeight="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  <c r="AA211" s="237"/>
      <c r="AB211" s="237"/>
      <c r="AC211" s="237"/>
    </row>
    <row r="212" ht="15.75" customHeight="1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  <c r="AA212" s="237"/>
      <c r="AB212" s="237"/>
      <c r="AC212" s="237"/>
    </row>
    <row r="213" ht="15.75" customHeight="1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  <c r="AA213" s="237"/>
      <c r="AB213" s="237"/>
      <c r="AC213" s="237"/>
    </row>
    <row r="214" ht="15.75" customHeight="1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  <c r="AA214" s="237"/>
      <c r="AB214" s="237"/>
      <c r="AC214" s="237"/>
    </row>
    <row r="215" ht="15.75" customHeight="1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  <c r="AA215" s="237"/>
      <c r="AB215" s="237"/>
      <c r="AC215" s="237"/>
    </row>
    <row r="216" ht="15.75" customHeight="1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  <c r="AA216" s="237"/>
      <c r="AB216" s="237"/>
      <c r="AC216" s="237"/>
    </row>
    <row r="217" ht="15.75" customHeight="1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  <c r="AA217" s="237"/>
      <c r="AB217" s="237"/>
      <c r="AC217" s="237"/>
    </row>
    <row r="218" ht="15.75" customHeight="1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  <c r="AA218" s="237"/>
      <c r="AB218" s="237"/>
      <c r="AC218" s="237"/>
    </row>
    <row r="219" ht="15.75" customHeight="1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  <c r="AA219" s="237"/>
      <c r="AB219" s="237"/>
      <c r="AC219" s="237"/>
    </row>
    <row r="220" ht="15.75" customHeight="1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  <c r="AA220" s="237"/>
      <c r="AB220" s="237"/>
      <c r="AC220" s="237"/>
    </row>
    <row r="221" ht="15.75" customHeight="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  <c r="AA221" s="237"/>
      <c r="AB221" s="237"/>
      <c r="AC221" s="237"/>
    </row>
    <row r="222" ht="15.75" customHeight="1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  <c r="AA222" s="237"/>
      <c r="AB222" s="237"/>
      <c r="AC222" s="237"/>
    </row>
    <row r="223" ht="15.75" customHeight="1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  <c r="AA223" s="237"/>
      <c r="AB223" s="237"/>
      <c r="AC223" s="237"/>
    </row>
    <row r="224" ht="15.75" customHeight="1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  <c r="AA224" s="237"/>
      <c r="AB224" s="237"/>
      <c r="AC224" s="237"/>
    </row>
    <row r="225" ht="15.75" customHeight="1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  <c r="AA225" s="237"/>
      <c r="AB225" s="237"/>
      <c r="AC225" s="237"/>
    </row>
    <row r="226" ht="15.75" customHeight="1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  <c r="AA226" s="237"/>
      <c r="AB226" s="237"/>
      <c r="AC226" s="237"/>
    </row>
    <row r="227" ht="15.75" customHeight="1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  <c r="AA227" s="237"/>
      <c r="AB227" s="237"/>
      <c r="AC227" s="237"/>
    </row>
    <row r="228" ht="15.75" customHeight="1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  <c r="AA228" s="237"/>
      <c r="AB228" s="237"/>
      <c r="AC228" s="237"/>
    </row>
    <row r="229" ht="15.75" customHeight="1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  <c r="AA229" s="237"/>
      <c r="AB229" s="237"/>
      <c r="AC229" s="237"/>
    </row>
    <row r="230" ht="15.75" customHeight="1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  <c r="AA230" s="237"/>
      <c r="AB230" s="237"/>
      <c r="AC230" s="237"/>
    </row>
    <row r="231" ht="15.75" customHeight="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  <c r="AA231" s="237"/>
      <c r="AB231" s="237"/>
      <c r="AC231" s="237"/>
    </row>
    <row r="232" ht="15.75" customHeight="1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  <c r="AA232" s="237"/>
      <c r="AB232" s="237"/>
      <c r="AC232" s="237"/>
    </row>
    <row r="233" ht="15.75" customHeight="1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  <c r="AA233" s="237"/>
      <c r="AB233" s="237"/>
      <c r="AC233" s="237"/>
    </row>
    <row r="234" ht="15.75" customHeight="1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  <c r="AA234" s="237"/>
      <c r="AB234" s="237"/>
      <c r="AC234" s="237"/>
    </row>
    <row r="235" ht="15.75" customHeight="1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  <c r="AA235" s="237"/>
      <c r="AB235" s="237"/>
      <c r="AC235" s="237"/>
    </row>
    <row r="236" ht="15.75" customHeight="1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  <c r="AA236" s="237"/>
      <c r="AB236" s="237"/>
      <c r="AC236" s="237"/>
    </row>
    <row r="237" ht="15.75" customHeight="1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  <c r="AA237" s="237"/>
      <c r="AB237" s="237"/>
      <c r="AC237" s="237"/>
    </row>
    <row r="238" ht="15.75" customHeight="1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  <c r="AA238" s="237"/>
      <c r="AB238" s="237"/>
      <c r="AC238" s="237"/>
    </row>
    <row r="239" ht="15.75" customHeight="1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  <c r="AA239" s="237"/>
      <c r="AB239" s="237"/>
      <c r="AC239" s="237"/>
    </row>
    <row r="240" ht="15.7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  <c r="AA240" s="237"/>
      <c r="AB240" s="237"/>
      <c r="AC240" s="237"/>
    </row>
    <row r="241" ht="15.75" customHeight="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  <c r="AA241" s="237"/>
      <c r="AB241" s="237"/>
      <c r="AC241" s="237"/>
    </row>
    <row r="242" ht="15.75" customHeight="1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  <c r="AA242" s="237"/>
      <c r="AB242" s="237"/>
      <c r="AC242" s="237"/>
    </row>
    <row r="243" ht="15.75" customHeight="1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  <c r="AA243" s="237"/>
      <c r="AB243" s="237"/>
      <c r="AC243" s="237"/>
    </row>
    <row r="244" ht="15.75" customHeight="1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  <c r="AA244" s="237"/>
      <c r="AB244" s="237"/>
      <c r="AC244" s="237"/>
    </row>
    <row r="245" ht="15.75" customHeight="1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  <c r="AA245" s="237"/>
      <c r="AB245" s="237"/>
      <c r="AC245" s="237"/>
    </row>
    <row r="246" ht="15.75" customHeight="1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  <c r="AA246" s="237"/>
      <c r="AB246" s="237"/>
      <c r="AC246" s="237"/>
    </row>
    <row r="247" ht="15.75" customHeight="1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  <c r="AA247" s="237"/>
      <c r="AB247" s="237"/>
      <c r="AC247" s="237"/>
    </row>
    <row r="248" ht="15.75" customHeight="1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  <c r="AA248" s="237"/>
      <c r="AB248" s="237"/>
      <c r="AC248" s="237"/>
    </row>
    <row r="249" ht="15.75" customHeight="1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  <c r="AA249" s="237"/>
      <c r="AB249" s="237"/>
      <c r="AC249" s="237"/>
    </row>
    <row r="250" ht="15.75" customHeight="1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  <c r="AA250" s="237"/>
      <c r="AB250" s="237"/>
      <c r="AC250" s="237"/>
    </row>
    <row r="251" ht="15.75" customHeight="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  <c r="AA251" s="237"/>
      <c r="AB251" s="237"/>
      <c r="AC251" s="237"/>
    </row>
    <row r="252" ht="15.75" customHeight="1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  <c r="AA252" s="237"/>
      <c r="AB252" s="237"/>
      <c r="AC252" s="237"/>
    </row>
    <row r="253" ht="15.75" customHeight="1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  <c r="AA253" s="237"/>
      <c r="AB253" s="237"/>
      <c r="AC253" s="237"/>
    </row>
    <row r="254" ht="15.7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  <c r="AA254" s="237"/>
      <c r="AB254" s="237"/>
      <c r="AC254" s="237"/>
    </row>
    <row r="255" ht="15.75" customHeight="1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  <c r="AA255" s="237"/>
      <c r="AB255" s="237"/>
      <c r="AC255" s="237"/>
    </row>
    <row r="256" ht="15.75" customHeight="1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  <c r="AA256" s="237"/>
      <c r="AB256" s="237"/>
      <c r="AC256" s="237"/>
    </row>
    <row r="257" ht="15.75" customHeight="1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  <c r="AA257" s="237"/>
      <c r="AB257" s="237"/>
      <c r="AC257" s="237"/>
    </row>
    <row r="258" ht="15.75" customHeight="1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  <c r="AA258" s="237"/>
      <c r="AB258" s="237"/>
      <c r="AC258" s="237"/>
    </row>
    <row r="259" ht="15.75" customHeight="1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  <c r="AA259" s="237"/>
      <c r="AB259" s="237"/>
      <c r="AC259" s="237"/>
    </row>
    <row r="260" ht="15.75" customHeight="1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  <c r="AA260" s="237"/>
      <c r="AB260" s="237"/>
      <c r="AC260" s="237"/>
    </row>
    <row r="261" ht="15.75" customHeight="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  <c r="AA261" s="237"/>
      <c r="AB261" s="237"/>
      <c r="AC261" s="237"/>
    </row>
    <row r="262" ht="15.75" customHeight="1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  <c r="AA262" s="237"/>
      <c r="AB262" s="237"/>
      <c r="AC262" s="237"/>
    </row>
    <row r="263" ht="15.75" customHeight="1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  <c r="AA263" s="237"/>
      <c r="AB263" s="237"/>
      <c r="AC263" s="237"/>
    </row>
    <row r="264" ht="15.75" customHeight="1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  <c r="AA264" s="237"/>
      <c r="AB264" s="237"/>
      <c r="AC264" s="237"/>
    </row>
    <row r="265" ht="15.75" customHeight="1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  <c r="AA265" s="237"/>
      <c r="AB265" s="237"/>
      <c r="AC265" s="237"/>
    </row>
    <row r="266" ht="15.75" customHeight="1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  <c r="AA266" s="237"/>
      <c r="AB266" s="237"/>
      <c r="AC266" s="237"/>
    </row>
    <row r="267" ht="15.7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  <c r="AA267" s="237"/>
      <c r="AB267" s="237"/>
      <c r="AC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  <c r="AA268" s="237"/>
      <c r="AB268" s="237"/>
      <c r="AC268" s="237"/>
    </row>
    <row r="269" ht="15.7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  <c r="AA269" s="237"/>
      <c r="AB269" s="237"/>
      <c r="AC269" s="237"/>
    </row>
    <row r="270" ht="15.7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  <c r="AA270" s="237"/>
      <c r="AB270" s="237"/>
      <c r="AC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  <c r="AA271" s="237"/>
      <c r="AB271" s="237"/>
      <c r="AC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  <c r="AA272" s="237"/>
      <c r="AB272" s="237"/>
      <c r="AC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  <c r="AA273" s="237"/>
      <c r="AB273" s="237"/>
      <c r="AC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  <c r="AA274" s="237"/>
      <c r="AB274" s="237"/>
      <c r="AC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  <c r="AA275" s="237"/>
      <c r="AB275" s="237"/>
      <c r="AC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  <c r="AA276" s="237"/>
      <c r="AB276" s="237"/>
      <c r="AC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  <c r="AA277" s="237"/>
      <c r="AB277" s="237"/>
      <c r="AC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  <c r="AA278" s="237"/>
      <c r="AB278" s="237"/>
      <c r="AC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  <c r="AA279" s="237"/>
      <c r="AB279" s="237"/>
      <c r="AC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  <c r="AA280" s="237"/>
      <c r="AB280" s="237"/>
      <c r="AC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  <c r="AA281" s="237"/>
      <c r="AB281" s="237"/>
      <c r="AC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  <c r="AA282" s="237"/>
      <c r="AB282" s="237"/>
      <c r="AC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  <c r="AA283" s="237"/>
      <c r="AB283" s="237"/>
      <c r="AC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  <c r="AA284" s="237"/>
      <c r="AB284" s="237"/>
      <c r="AC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  <c r="AA285" s="237"/>
      <c r="AB285" s="237"/>
      <c r="AC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  <c r="AA286" s="237"/>
      <c r="AB286" s="237"/>
      <c r="AC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  <c r="AA287" s="237"/>
      <c r="AB287" s="237"/>
      <c r="AC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  <c r="AA288" s="237"/>
      <c r="AB288" s="237"/>
      <c r="AC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  <c r="AA289" s="237"/>
      <c r="AB289" s="237"/>
      <c r="AC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  <c r="AA290" s="237"/>
      <c r="AB290" s="237"/>
      <c r="AC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  <c r="AA291" s="237"/>
      <c r="AB291" s="237"/>
      <c r="AC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  <c r="AA292" s="237"/>
      <c r="AB292" s="237"/>
      <c r="AC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  <c r="AA293" s="237"/>
      <c r="AB293" s="237"/>
      <c r="AC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  <c r="AA294" s="237"/>
      <c r="AB294" s="237"/>
      <c r="AC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  <c r="AA295" s="237"/>
      <c r="AB295" s="237"/>
      <c r="AC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  <c r="AA296" s="237"/>
      <c r="AB296" s="237"/>
      <c r="AC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  <c r="AA297" s="237"/>
      <c r="AB297" s="237"/>
      <c r="AC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  <c r="AA298" s="237"/>
      <c r="AB298" s="237"/>
      <c r="AC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  <c r="AA299" s="237"/>
      <c r="AB299" s="237"/>
      <c r="AC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  <c r="AA300" s="237"/>
      <c r="AB300" s="237"/>
      <c r="AC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  <c r="AA301" s="237"/>
      <c r="AB301" s="237"/>
      <c r="AC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  <c r="AA302" s="237"/>
      <c r="AB302" s="237"/>
      <c r="AC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  <c r="AA303" s="237"/>
      <c r="AB303" s="237"/>
      <c r="AC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  <c r="AA304" s="237"/>
      <c r="AB304" s="237"/>
      <c r="AC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  <c r="AA305" s="237"/>
      <c r="AB305" s="237"/>
      <c r="AC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  <c r="AA306" s="237"/>
      <c r="AB306" s="237"/>
      <c r="AC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  <c r="AA307" s="237"/>
      <c r="AB307" s="237"/>
      <c r="AC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  <c r="AA308" s="237"/>
      <c r="AB308" s="237"/>
      <c r="AC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  <c r="AA309" s="237"/>
      <c r="AB309" s="237"/>
      <c r="AC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  <c r="AA310" s="237"/>
      <c r="AB310" s="237"/>
      <c r="AC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  <c r="AA311" s="237"/>
      <c r="AB311" s="237"/>
      <c r="AC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  <c r="AA312" s="237"/>
      <c r="AB312" s="237"/>
      <c r="AC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  <c r="AA313" s="237"/>
      <c r="AB313" s="237"/>
      <c r="AC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  <c r="AA314" s="237"/>
      <c r="AB314" s="237"/>
      <c r="AC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  <c r="AA315" s="237"/>
      <c r="AB315" s="237"/>
      <c r="AC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  <c r="AA316" s="237"/>
      <c r="AB316" s="237"/>
      <c r="AC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  <c r="AA317" s="237"/>
      <c r="AB317" s="237"/>
      <c r="AC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  <c r="AA318" s="237"/>
      <c r="AB318" s="237"/>
      <c r="AC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  <c r="AA319" s="237"/>
      <c r="AB319" s="237"/>
      <c r="AC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  <c r="AA320" s="237"/>
      <c r="AB320" s="237"/>
      <c r="AC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  <c r="AA321" s="237"/>
      <c r="AB321" s="237"/>
      <c r="AC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  <c r="AA322" s="237"/>
      <c r="AB322" s="237"/>
      <c r="AC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  <c r="AA323" s="237"/>
      <c r="AB323" s="237"/>
      <c r="AC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  <c r="AA324" s="237"/>
      <c r="AB324" s="237"/>
      <c r="AC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  <c r="AA325" s="237"/>
      <c r="AB325" s="237"/>
      <c r="AC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  <c r="AA326" s="237"/>
      <c r="AB326" s="237"/>
      <c r="AC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  <c r="AA327" s="237"/>
      <c r="AB327" s="237"/>
      <c r="AC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  <c r="AA328" s="237"/>
      <c r="AB328" s="237"/>
      <c r="AC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  <c r="AA329" s="237"/>
      <c r="AB329" s="237"/>
      <c r="AC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  <c r="AA331" s="237"/>
      <c r="AB331" s="237"/>
      <c r="AC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  <c r="AA332" s="237"/>
      <c r="AB332" s="237"/>
      <c r="AC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  <c r="AA333" s="237"/>
      <c r="AB333" s="237"/>
      <c r="AC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  <c r="AA334" s="237"/>
      <c r="AB334" s="237"/>
      <c r="AC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  <c r="AA335" s="237"/>
      <c r="AB335" s="237"/>
      <c r="AC335" s="237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">
    <mergeCell ref="B4:B5"/>
    <mergeCell ref="C4:C5"/>
    <mergeCell ref="D4:I4"/>
    <mergeCell ref="J4:O4"/>
    <mergeCell ref="P4:U4"/>
    <mergeCell ref="B29:C29"/>
    <mergeCell ref="B71:C7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1" max="1" width="5.63"/>
    <col customWidth="1" min="2" max="2" width="9.75"/>
    <col customWidth="1" min="3" max="3" width="35.88"/>
    <col customWidth="1" min="4" max="4" width="13.88"/>
    <col customWidth="1" hidden="1" min="5" max="9" width="12.63"/>
    <col customWidth="1" min="10" max="10" width="13.88"/>
    <col customWidth="1" hidden="1" min="11" max="15" width="12.63"/>
    <col customWidth="1" min="16" max="16" width="11.13"/>
    <col customWidth="1" hidden="1" min="17" max="21" width="12.63"/>
    <col customWidth="1" min="22" max="29" width="12.63"/>
  </cols>
  <sheetData>
    <row r="1" ht="15.75" customHeight="1">
      <c r="A1" s="425"/>
      <c r="B1" s="426" t="s">
        <v>0</v>
      </c>
      <c r="C1" s="425"/>
      <c r="D1" s="511"/>
      <c r="E1" s="235"/>
      <c r="F1" s="425"/>
      <c r="G1" s="425"/>
      <c r="H1" s="425"/>
      <c r="I1" s="425"/>
      <c r="J1" s="511"/>
      <c r="K1" s="235"/>
      <c r="L1" s="425"/>
      <c r="M1" s="425"/>
      <c r="N1" s="425"/>
      <c r="O1" s="425"/>
      <c r="P1" s="511"/>
      <c r="Q1" s="23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</row>
    <row r="2" ht="15.75" customHeight="1">
      <c r="A2" s="425"/>
      <c r="B2" s="427" t="s">
        <v>359</v>
      </c>
      <c r="C2" s="425"/>
      <c r="D2" s="511"/>
      <c r="E2" s="235"/>
      <c r="F2" s="425"/>
      <c r="G2" s="425"/>
      <c r="H2" s="425"/>
      <c r="I2" s="425"/>
      <c r="J2" s="511"/>
      <c r="K2" s="235"/>
      <c r="L2" s="425"/>
      <c r="M2" s="425"/>
      <c r="N2" s="425"/>
      <c r="O2" s="425"/>
      <c r="P2" s="511"/>
      <c r="Q2" s="23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</row>
    <row r="3" ht="15.75" customHeight="1">
      <c r="A3" s="425"/>
      <c r="B3" s="425"/>
      <c r="C3" s="425"/>
      <c r="D3" s="511"/>
      <c r="E3" s="235"/>
      <c r="F3" s="425"/>
      <c r="G3" s="425"/>
      <c r="H3" s="425"/>
      <c r="I3" s="425"/>
      <c r="J3" s="511"/>
      <c r="K3" s="235"/>
      <c r="L3" s="425"/>
      <c r="M3" s="425"/>
      <c r="N3" s="425"/>
      <c r="O3" s="425"/>
      <c r="P3" s="511"/>
      <c r="Q3" s="23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/>
      <c r="AC3" s="425"/>
    </row>
    <row r="4" ht="15.75" customHeight="1">
      <c r="A4" s="425"/>
      <c r="B4" s="428" t="s">
        <v>165</v>
      </c>
      <c r="C4" s="428" t="s">
        <v>166</v>
      </c>
      <c r="D4" s="652" t="s">
        <v>167</v>
      </c>
      <c r="E4" s="10"/>
      <c r="F4" s="10"/>
      <c r="G4" s="10"/>
      <c r="H4" s="10"/>
      <c r="I4" s="12"/>
      <c r="J4" s="652" t="s">
        <v>168</v>
      </c>
      <c r="K4" s="10"/>
      <c r="L4" s="10"/>
      <c r="M4" s="10"/>
      <c r="N4" s="10"/>
      <c r="O4" s="12"/>
      <c r="P4" s="653" t="s">
        <v>169</v>
      </c>
      <c r="Q4" s="10"/>
      <c r="R4" s="10"/>
      <c r="S4" s="10"/>
      <c r="T4" s="10"/>
      <c r="U4" s="12"/>
      <c r="V4" s="654"/>
      <c r="W4" s="654"/>
      <c r="X4" s="654"/>
      <c r="Y4" s="654"/>
      <c r="Z4" s="654"/>
      <c r="AA4" s="654"/>
      <c r="AB4" s="654"/>
      <c r="AC4" s="654"/>
    </row>
    <row r="5" ht="15.75" customHeight="1">
      <c r="A5" s="514"/>
      <c r="B5" s="433"/>
      <c r="C5" s="433"/>
      <c r="D5" s="754" t="s">
        <v>170</v>
      </c>
      <c r="E5" s="753" t="s">
        <v>18</v>
      </c>
      <c r="F5" s="753" t="s">
        <v>171</v>
      </c>
      <c r="G5" s="753" t="s">
        <v>18</v>
      </c>
      <c r="H5" s="753" t="s">
        <v>172</v>
      </c>
      <c r="I5" s="753" t="s">
        <v>260</v>
      </c>
      <c r="J5" s="754" t="s">
        <v>170</v>
      </c>
      <c r="K5" s="753" t="s">
        <v>18</v>
      </c>
      <c r="L5" s="753" t="s">
        <v>171</v>
      </c>
      <c r="M5" s="753" t="s">
        <v>18</v>
      </c>
      <c r="N5" s="753" t="s">
        <v>172</v>
      </c>
      <c r="O5" s="753" t="s">
        <v>260</v>
      </c>
      <c r="P5" s="754" t="s">
        <v>170</v>
      </c>
      <c r="Q5" s="753" t="s">
        <v>18</v>
      </c>
      <c r="R5" s="753" t="s">
        <v>171</v>
      </c>
      <c r="S5" s="753" t="s">
        <v>18</v>
      </c>
      <c r="T5" s="753" t="s">
        <v>172</v>
      </c>
      <c r="U5" s="753" t="s">
        <v>260</v>
      </c>
      <c r="V5" s="755"/>
      <c r="W5" s="755"/>
      <c r="X5" s="755"/>
      <c r="Y5" s="755"/>
      <c r="Z5" s="755"/>
      <c r="AA5" s="755"/>
      <c r="AB5" s="755"/>
      <c r="AC5" s="755"/>
    </row>
    <row r="6" ht="15.75" hidden="1" customHeight="1">
      <c r="A6" s="425"/>
      <c r="B6" s="446"/>
      <c r="C6" s="1108" t="s">
        <v>76</v>
      </c>
      <c r="D6" s="523">
        <v>0.0</v>
      </c>
      <c r="E6" s="522"/>
      <c r="F6" s="610"/>
      <c r="G6" s="522"/>
      <c r="H6" s="610"/>
      <c r="I6" s="524"/>
      <c r="J6" s="448">
        <v>0.0</v>
      </c>
      <c r="K6" s="522"/>
      <c r="L6" s="610"/>
      <c r="M6" s="522"/>
      <c r="N6" s="610"/>
      <c r="O6" s="611"/>
      <c r="P6" s="448">
        <v>0.0</v>
      </c>
      <c r="Q6" s="522"/>
      <c r="R6" s="610"/>
      <c r="S6" s="522"/>
      <c r="T6" s="610"/>
      <c r="U6" s="611"/>
      <c r="V6" s="425"/>
      <c r="W6" s="425"/>
      <c r="X6" s="425"/>
      <c r="Y6" s="425"/>
      <c r="Z6" s="425"/>
      <c r="AA6" s="425"/>
      <c r="AB6" s="425"/>
      <c r="AC6" s="425"/>
    </row>
    <row r="7" ht="15.75" hidden="1" customHeight="1">
      <c r="A7" s="425"/>
      <c r="B7" s="454"/>
      <c r="C7" s="1109" t="s">
        <v>83</v>
      </c>
      <c r="D7" s="501">
        <v>0.0</v>
      </c>
      <c r="E7" s="521"/>
      <c r="F7" s="612"/>
      <c r="G7" s="521"/>
      <c r="H7" s="612"/>
      <c r="I7" s="464"/>
      <c r="J7" s="452">
        <v>0.0</v>
      </c>
      <c r="K7" s="521"/>
      <c r="L7" s="612"/>
      <c r="M7" s="521"/>
      <c r="N7" s="612"/>
      <c r="O7" s="551"/>
      <c r="P7" s="452">
        <v>0.0</v>
      </c>
      <c r="Q7" s="521"/>
      <c r="R7" s="612"/>
      <c r="S7" s="521"/>
      <c r="T7" s="612"/>
      <c r="U7" s="551"/>
      <c r="V7" s="425"/>
      <c r="W7" s="425"/>
      <c r="X7" s="425"/>
      <c r="Y7" s="425"/>
      <c r="Z7" s="425"/>
      <c r="AA7" s="425"/>
      <c r="AB7" s="425"/>
      <c r="AC7" s="425"/>
    </row>
    <row r="8" ht="15.75" hidden="1" customHeight="1">
      <c r="A8" s="425"/>
      <c r="B8" s="454"/>
      <c r="C8" s="1109" t="s">
        <v>90</v>
      </c>
      <c r="D8" s="501">
        <v>0.0</v>
      </c>
      <c r="E8" s="521"/>
      <c r="F8" s="612"/>
      <c r="G8" s="521"/>
      <c r="H8" s="612"/>
      <c r="I8" s="464"/>
      <c r="J8" s="452">
        <v>0.0</v>
      </c>
      <c r="K8" s="521"/>
      <c r="L8" s="612"/>
      <c r="M8" s="521"/>
      <c r="N8" s="612"/>
      <c r="O8" s="551"/>
      <c r="P8" s="452">
        <v>0.0</v>
      </c>
      <c r="Q8" s="521"/>
      <c r="R8" s="612"/>
      <c r="S8" s="521"/>
      <c r="T8" s="612"/>
      <c r="U8" s="551"/>
      <c r="V8" s="425"/>
      <c r="W8" s="425"/>
      <c r="X8" s="425"/>
      <c r="Y8" s="425"/>
      <c r="Z8" s="425"/>
      <c r="AA8" s="425"/>
      <c r="AB8" s="425"/>
      <c r="AC8" s="425"/>
    </row>
    <row r="9" ht="15.75" hidden="1" customHeight="1">
      <c r="A9" s="425"/>
      <c r="B9" s="454"/>
      <c r="C9" s="1109" t="s">
        <v>97</v>
      </c>
      <c r="D9" s="501">
        <v>0.0</v>
      </c>
      <c r="E9" s="521"/>
      <c r="F9" s="612"/>
      <c r="G9" s="521"/>
      <c r="H9" s="612"/>
      <c r="I9" s="464"/>
      <c r="J9" s="452">
        <v>0.0</v>
      </c>
      <c r="K9" s="521"/>
      <c r="L9" s="612"/>
      <c r="M9" s="521"/>
      <c r="N9" s="612"/>
      <c r="O9" s="551"/>
      <c r="P9" s="452">
        <v>0.0</v>
      </c>
      <c r="Q9" s="521"/>
      <c r="R9" s="612"/>
      <c r="S9" s="521"/>
      <c r="T9" s="612"/>
      <c r="U9" s="551"/>
      <c r="V9" s="425"/>
      <c r="W9" s="425"/>
      <c r="X9" s="425"/>
      <c r="Y9" s="425"/>
      <c r="Z9" s="425"/>
      <c r="AA9" s="425"/>
      <c r="AB9" s="425"/>
      <c r="AC9" s="425"/>
    </row>
    <row r="10" ht="15.75" hidden="1" customHeight="1">
      <c r="A10" s="425"/>
      <c r="B10" s="454"/>
      <c r="C10" s="1109" t="s">
        <v>104</v>
      </c>
      <c r="D10" s="501">
        <f>SUM(D8:D9)-D29</f>
        <v>-636289</v>
      </c>
      <c r="E10" s="521"/>
      <c r="F10" s="612"/>
      <c r="G10" s="521"/>
      <c r="H10" s="612"/>
      <c r="I10" s="464"/>
      <c r="J10" s="452">
        <f>SUM(J8:J9)-J29</f>
        <v>-600696</v>
      </c>
      <c r="K10" s="521"/>
      <c r="L10" s="612"/>
      <c r="M10" s="521"/>
      <c r="N10" s="612"/>
      <c r="O10" s="551"/>
      <c r="P10" s="452">
        <f>SUM(P8:P9)-P29</f>
        <v>0</v>
      </c>
      <c r="Q10" s="521"/>
      <c r="R10" s="612"/>
      <c r="S10" s="521"/>
      <c r="T10" s="612"/>
      <c r="U10" s="551"/>
      <c r="V10" s="425"/>
      <c r="W10" s="425"/>
      <c r="X10" s="425"/>
      <c r="Y10" s="425"/>
      <c r="Z10" s="425"/>
      <c r="AA10" s="425"/>
      <c r="AB10" s="425"/>
      <c r="AC10" s="425"/>
    </row>
    <row r="11" ht="15.75" hidden="1" customHeight="1">
      <c r="A11" s="425"/>
      <c r="B11" s="454"/>
      <c r="C11" s="1109" t="s">
        <v>111</v>
      </c>
      <c r="D11" s="501"/>
      <c r="E11" s="521"/>
      <c r="F11" s="612"/>
      <c r="G11" s="521"/>
      <c r="H11" s="612"/>
      <c r="I11" s="464"/>
      <c r="J11" s="452"/>
      <c r="K11" s="521"/>
      <c r="L11" s="612"/>
      <c r="M11" s="521"/>
      <c r="N11" s="612"/>
      <c r="O11" s="551"/>
      <c r="P11" s="452"/>
      <c r="Q11" s="521"/>
      <c r="R11" s="612"/>
      <c r="S11" s="521"/>
      <c r="T11" s="612"/>
      <c r="U11" s="551"/>
      <c r="V11" s="425"/>
      <c r="W11" s="425"/>
      <c r="X11" s="425"/>
      <c r="Y11" s="425"/>
      <c r="Z11" s="425"/>
      <c r="AA11" s="425"/>
      <c r="AB11" s="425"/>
      <c r="AC11" s="425"/>
    </row>
    <row r="12" ht="15.75" hidden="1" customHeight="1">
      <c r="A12" s="425"/>
      <c r="B12" s="454"/>
      <c r="C12" s="1109" t="s">
        <v>118</v>
      </c>
      <c r="D12" s="501"/>
      <c r="E12" s="521"/>
      <c r="F12" s="612"/>
      <c r="G12" s="521"/>
      <c r="H12" s="612"/>
      <c r="I12" s="464"/>
      <c r="J12" s="452"/>
      <c r="K12" s="521"/>
      <c r="L12" s="612"/>
      <c r="M12" s="521"/>
      <c r="N12" s="612"/>
      <c r="O12" s="551"/>
      <c r="P12" s="452"/>
      <c r="Q12" s="521"/>
      <c r="R12" s="612"/>
      <c r="S12" s="521"/>
      <c r="T12" s="612"/>
      <c r="U12" s="551"/>
      <c r="V12" s="425"/>
      <c r="W12" s="425"/>
      <c r="X12" s="425"/>
      <c r="Y12" s="425"/>
      <c r="Z12" s="425"/>
      <c r="AA12" s="425"/>
      <c r="AB12" s="425"/>
      <c r="AC12" s="425"/>
    </row>
    <row r="13" ht="15.75" hidden="1" customHeight="1">
      <c r="A13" s="425"/>
      <c r="B13" s="454"/>
      <c r="C13" s="1109"/>
      <c r="D13" s="501"/>
      <c r="E13" s="521"/>
      <c r="F13" s="612"/>
      <c r="G13" s="242"/>
      <c r="H13" s="612"/>
      <c r="I13" s="633"/>
      <c r="J13" s="452"/>
      <c r="K13" s="521"/>
      <c r="L13" s="612"/>
      <c r="M13" s="242"/>
      <c r="N13" s="612"/>
      <c r="O13" s="632"/>
      <c r="P13" s="452"/>
      <c r="Q13" s="521"/>
      <c r="R13" s="612"/>
      <c r="S13" s="242"/>
      <c r="T13" s="612"/>
      <c r="U13" s="632"/>
      <c r="V13" s="425"/>
      <c r="W13" s="425"/>
      <c r="X13" s="425"/>
      <c r="Y13" s="425"/>
      <c r="Z13" s="425"/>
      <c r="AA13" s="425"/>
      <c r="AB13" s="425"/>
      <c r="AC13" s="425"/>
    </row>
    <row r="14" ht="15.75" hidden="1" customHeight="1">
      <c r="A14" s="425"/>
      <c r="B14" s="525"/>
      <c r="C14" s="1110"/>
      <c r="D14" s="527"/>
      <c r="E14" s="526"/>
      <c r="F14" s="664"/>
      <c r="G14" s="636"/>
      <c r="H14" s="664"/>
      <c r="I14" s="638"/>
      <c r="J14" s="470"/>
      <c r="K14" s="526"/>
      <c r="L14" s="664"/>
      <c r="M14" s="636"/>
      <c r="N14" s="664"/>
      <c r="O14" s="1111"/>
      <c r="P14" s="470"/>
      <c r="Q14" s="526"/>
      <c r="R14" s="664"/>
      <c r="S14" s="636"/>
      <c r="T14" s="664"/>
      <c r="U14" s="1111"/>
      <c r="V14" s="425"/>
      <c r="W14" s="425"/>
      <c r="X14" s="425"/>
      <c r="Y14" s="425"/>
      <c r="Z14" s="425"/>
      <c r="AA14" s="425"/>
      <c r="AB14" s="425"/>
      <c r="AC14" s="425"/>
    </row>
    <row r="15" ht="15.75" customHeight="1">
      <c r="A15" s="425"/>
      <c r="B15" s="442" t="s">
        <v>173</v>
      </c>
      <c r="C15" s="474" t="s">
        <v>322</v>
      </c>
      <c r="D15" s="475">
        <f>SUM(D17:D21)</f>
        <v>636289</v>
      </c>
      <c r="E15" s="442"/>
      <c r="F15" s="627"/>
      <c r="G15" s="474"/>
      <c r="H15" s="627"/>
      <c r="I15" s="474"/>
      <c r="J15" s="475">
        <f>SUM(J17:J21)</f>
        <v>600696</v>
      </c>
      <c r="K15" s="442"/>
      <c r="L15" s="627"/>
      <c r="M15" s="474"/>
      <c r="N15" s="627"/>
      <c r="O15" s="474"/>
      <c r="P15" s="475">
        <f>SUM(P17:P21)</f>
        <v>0</v>
      </c>
      <c r="Q15" s="442"/>
      <c r="R15" s="627"/>
      <c r="S15" s="474"/>
      <c r="T15" s="627"/>
      <c r="U15" s="474"/>
      <c r="V15" s="425"/>
      <c r="W15" s="425"/>
      <c r="X15" s="425"/>
      <c r="Y15" s="425"/>
      <c r="Z15" s="425"/>
      <c r="AA15" s="425"/>
      <c r="AB15" s="425"/>
      <c r="AC15" s="425"/>
    </row>
    <row r="16" ht="15.75" customHeight="1">
      <c r="A16" s="425"/>
      <c r="B16" s="446"/>
      <c r="C16" s="1108"/>
      <c r="D16" s="449"/>
      <c r="E16" s="574"/>
      <c r="F16" s="610">
        <f>SUM(F17:F21)</f>
        <v>0</v>
      </c>
      <c r="G16" s="630"/>
      <c r="H16" s="610">
        <f>SUM(H17:H21)</f>
        <v>0</v>
      </c>
      <c r="I16" s="631"/>
      <c r="K16" s="522"/>
      <c r="L16" s="610">
        <f>SUM(L17:L21)</f>
        <v>0</v>
      </c>
      <c r="M16" s="630"/>
      <c r="N16" s="610">
        <f>SUM(N17:N21)</f>
        <v>0</v>
      </c>
      <c r="O16" s="1112"/>
      <c r="P16" s="730"/>
      <c r="Q16" s="446"/>
      <c r="R16" s="686">
        <f>SUM(R17:R21)</f>
        <v>0</v>
      </c>
      <c r="S16" s="481"/>
      <c r="T16" s="686">
        <f>SUM(T17:T21)</f>
        <v>0</v>
      </c>
      <c r="U16" s="481"/>
      <c r="V16" s="427"/>
      <c r="W16" s="427"/>
      <c r="X16" s="427"/>
      <c r="Y16" s="427"/>
      <c r="Z16" s="427"/>
      <c r="AA16" s="427"/>
      <c r="AB16" s="427"/>
      <c r="AC16" s="427"/>
    </row>
    <row r="17" ht="15.75" customHeight="1">
      <c r="A17" s="425"/>
      <c r="B17" s="454"/>
      <c r="C17" s="1109"/>
      <c r="D17" s="501"/>
      <c r="E17" s="521"/>
      <c r="F17" s="612"/>
      <c r="G17" s="242"/>
      <c r="H17" s="612"/>
      <c r="I17" s="633"/>
      <c r="J17" s="452"/>
      <c r="K17" s="521"/>
      <c r="L17" s="612"/>
      <c r="M17" s="242"/>
      <c r="N17" s="612"/>
      <c r="O17" s="632"/>
      <c r="P17" s="459"/>
      <c r="Q17" s="454"/>
      <c r="R17" s="685"/>
      <c r="S17" s="450"/>
      <c r="T17" s="685"/>
      <c r="U17" s="450"/>
      <c r="V17" s="425"/>
      <c r="W17" s="425"/>
      <c r="X17" s="425"/>
      <c r="Y17" s="425"/>
      <c r="Z17" s="425"/>
      <c r="AA17" s="425"/>
      <c r="AB17" s="425"/>
      <c r="AC17" s="425"/>
    </row>
    <row r="18" ht="15.75" customHeight="1">
      <c r="A18" s="425"/>
      <c r="B18" s="454" t="s">
        <v>23</v>
      </c>
      <c r="C18" s="1109" t="s">
        <v>175</v>
      </c>
      <c r="D18" s="501"/>
      <c r="E18" s="538"/>
      <c r="F18" s="612"/>
      <c r="G18" s="242"/>
      <c r="H18" s="612"/>
      <c r="I18" s="633"/>
      <c r="J18" s="452"/>
      <c r="K18" s="538"/>
      <c r="L18" s="612"/>
      <c r="M18" s="242"/>
      <c r="N18" s="612"/>
      <c r="O18" s="632"/>
      <c r="P18" s="459"/>
      <c r="Q18" s="716"/>
      <c r="R18" s="685"/>
      <c r="S18" s="450"/>
      <c r="T18" s="685"/>
      <c r="U18" s="450"/>
      <c r="V18" s="425"/>
      <c r="W18" s="425"/>
      <c r="X18" s="425"/>
      <c r="Y18" s="425"/>
      <c r="Z18" s="425"/>
      <c r="AA18" s="425"/>
      <c r="AB18" s="425"/>
      <c r="AC18" s="425"/>
    </row>
    <row r="19" ht="15.75" customHeight="1">
      <c r="A19" s="425"/>
      <c r="B19" s="450"/>
      <c r="C19" s="1109" t="s">
        <v>360</v>
      </c>
      <c r="D19" s="500">
        <f>360380+157280</f>
        <v>517660</v>
      </c>
      <c r="E19" s="538"/>
      <c r="F19" s="612"/>
      <c r="G19" s="242"/>
      <c r="H19" s="612"/>
      <c r="I19" s="633"/>
      <c r="J19" s="452">
        <v>507085.0</v>
      </c>
      <c r="K19" s="538"/>
      <c r="L19" s="612"/>
      <c r="M19" s="242"/>
      <c r="N19" s="612"/>
      <c r="O19" s="632"/>
      <c r="P19" s="459"/>
      <c r="Q19" s="716"/>
      <c r="R19" s="685"/>
      <c r="S19" s="450"/>
      <c r="T19" s="685"/>
      <c r="U19" s="450"/>
      <c r="V19" s="425"/>
      <c r="W19" s="425"/>
      <c r="X19" s="425"/>
      <c r="Y19" s="425"/>
      <c r="Z19" s="425"/>
      <c r="AA19" s="425"/>
      <c r="AB19" s="425"/>
      <c r="AC19" s="425"/>
    </row>
    <row r="20" ht="15.75" customHeight="1">
      <c r="A20" s="425"/>
      <c r="B20" s="450"/>
      <c r="C20" s="1109" t="s">
        <v>330</v>
      </c>
      <c r="D20" s="500">
        <v>118629.0</v>
      </c>
      <c r="E20" s="242"/>
      <c r="F20" s="612"/>
      <c r="G20" s="242"/>
      <c r="H20" s="612"/>
      <c r="I20" s="633"/>
      <c r="J20" s="452">
        <v>93611.0</v>
      </c>
      <c r="K20" s="242"/>
      <c r="L20" s="612"/>
      <c r="M20" s="242"/>
      <c r="N20" s="612"/>
      <c r="O20" s="632"/>
      <c r="P20" s="459"/>
      <c r="Q20" s="450"/>
      <c r="R20" s="685"/>
      <c r="S20" s="450"/>
      <c r="T20" s="685"/>
      <c r="U20" s="450"/>
      <c r="V20" s="425"/>
      <c r="W20" s="425"/>
      <c r="X20" s="425"/>
      <c r="Y20" s="425"/>
      <c r="Z20" s="425"/>
      <c r="AA20" s="425"/>
      <c r="AB20" s="425"/>
      <c r="AC20" s="425"/>
    </row>
    <row r="21" ht="15.75" customHeight="1">
      <c r="A21" s="425"/>
      <c r="B21" s="450"/>
      <c r="C21" s="1109" t="s">
        <v>179</v>
      </c>
      <c r="D21" s="501"/>
      <c r="E21" s="242"/>
      <c r="F21" s="612"/>
      <c r="G21" s="242"/>
      <c r="H21" s="612"/>
      <c r="I21" s="633"/>
      <c r="J21" s="452"/>
      <c r="K21" s="242"/>
      <c r="L21" s="612"/>
      <c r="M21" s="242"/>
      <c r="N21" s="612"/>
      <c r="O21" s="632"/>
      <c r="P21" s="459"/>
      <c r="Q21" s="450"/>
      <c r="R21" s="685"/>
      <c r="S21" s="450"/>
      <c r="T21" s="685"/>
      <c r="U21" s="450"/>
      <c r="V21" s="425"/>
      <c r="W21" s="425"/>
      <c r="X21" s="425"/>
      <c r="Y21" s="425"/>
      <c r="Z21" s="425"/>
      <c r="AA21" s="425"/>
      <c r="AB21" s="425"/>
      <c r="AC21" s="425"/>
    </row>
    <row r="22" ht="15.75" customHeight="1">
      <c r="A22" s="425"/>
      <c r="B22" s="450"/>
      <c r="C22" s="450" t="s">
        <v>263</v>
      </c>
      <c r="D22" s="501"/>
      <c r="E22" s="521"/>
      <c r="F22" s="612"/>
      <c r="G22" s="242"/>
      <c r="H22" s="612"/>
      <c r="I22" s="633"/>
      <c r="J22" s="452"/>
      <c r="K22" s="521"/>
      <c r="L22" s="612"/>
      <c r="M22" s="242"/>
      <c r="N22" s="612"/>
      <c r="O22" s="632"/>
      <c r="P22" s="459"/>
      <c r="Q22" s="454"/>
      <c r="R22" s="685"/>
      <c r="S22" s="450"/>
      <c r="T22" s="685"/>
      <c r="U22" s="450"/>
      <c r="V22" s="425"/>
      <c r="W22" s="425"/>
      <c r="X22" s="425"/>
      <c r="Y22" s="425"/>
      <c r="Z22" s="425"/>
      <c r="AA22" s="425"/>
      <c r="AB22" s="425"/>
      <c r="AC22" s="425"/>
    </row>
    <row r="23" ht="15.75" customHeight="1">
      <c r="A23" s="425"/>
      <c r="B23" s="454"/>
      <c r="C23" s="1109"/>
      <c r="D23" s="501"/>
      <c r="E23" s="521"/>
      <c r="F23" s="612"/>
      <c r="G23" s="242"/>
      <c r="H23" s="612"/>
      <c r="I23" s="633"/>
      <c r="J23" s="452"/>
      <c r="K23" s="521"/>
      <c r="L23" s="612"/>
      <c r="M23" s="242"/>
      <c r="N23" s="612"/>
      <c r="O23" s="632"/>
      <c r="P23" s="459"/>
      <c r="Q23" s="454"/>
      <c r="R23" s="685"/>
      <c r="S23" s="450"/>
      <c r="T23" s="685"/>
      <c r="U23" s="450"/>
      <c r="V23" s="425"/>
      <c r="W23" s="425"/>
      <c r="X23" s="425"/>
      <c r="Y23" s="425"/>
      <c r="Z23" s="425"/>
      <c r="AA23" s="425"/>
      <c r="AB23" s="425"/>
      <c r="AC23" s="425"/>
    </row>
    <row r="24" ht="15.75" customHeight="1">
      <c r="A24" s="425"/>
      <c r="B24" s="454" t="s">
        <v>21</v>
      </c>
      <c r="C24" s="1109" t="s">
        <v>21</v>
      </c>
      <c r="D24" s="501"/>
      <c r="E24" s="521"/>
      <c r="F24" s="612"/>
      <c r="G24" s="242"/>
      <c r="H24" s="612"/>
      <c r="I24" s="633"/>
      <c r="J24" s="452"/>
      <c r="K24" s="521"/>
      <c r="L24" s="612"/>
      <c r="M24" s="242"/>
      <c r="N24" s="612"/>
      <c r="O24" s="632"/>
      <c r="P24" s="459"/>
      <c r="Q24" s="454"/>
      <c r="R24" s="685"/>
      <c r="S24" s="450"/>
      <c r="T24" s="685"/>
      <c r="U24" s="450"/>
      <c r="V24" s="425"/>
      <c r="W24" s="425"/>
      <c r="X24" s="425"/>
      <c r="Y24" s="425"/>
      <c r="Z24" s="425"/>
      <c r="AA24" s="425"/>
      <c r="AB24" s="425"/>
      <c r="AC24" s="425"/>
    </row>
    <row r="25" ht="15.75" customHeight="1">
      <c r="A25" s="425"/>
      <c r="B25" s="454" t="s">
        <v>22</v>
      </c>
      <c r="C25" s="1109" t="s">
        <v>22</v>
      </c>
      <c r="D25" s="501"/>
      <c r="E25" s="521"/>
      <c r="F25" s="612"/>
      <c r="G25" s="242"/>
      <c r="H25" s="612"/>
      <c r="I25" s="633"/>
      <c r="J25" s="452"/>
      <c r="K25" s="521"/>
      <c r="L25" s="612"/>
      <c r="M25" s="242"/>
      <c r="N25" s="612"/>
      <c r="O25" s="632"/>
      <c r="P25" s="459"/>
      <c r="Q25" s="454"/>
      <c r="R25" s="685"/>
      <c r="S25" s="450"/>
      <c r="T25" s="685"/>
      <c r="U25" s="450"/>
      <c r="V25" s="425"/>
      <c r="W25" s="425"/>
      <c r="X25" s="425"/>
      <c r="Y25" s="425"/>
      <c r="Z25" s="425"/>
      <c r="AA25" s="425"/>
      <c r="AB25" s="425"/>
      <c r="AC25" s="425"/>
    </row>
    <row r="26" ht="15.75" customHeight="1">
      <c r="A26" s="425"/>
      <c r="B26" s="454" t="s">
        <v>23</v>
      </c>
      <c r="C26" s="1109" t="s">
        <v>180</v>
      </c>
      <c r="D26" s="460">
        <f>SUM(D17:D22)</f>
        <v>636289</v>
      </c>
      <c r="E26" s="521"/>
      <c r="F26" s="616"/>
      <c r="G26" s="242"/>
      <c r="H26" s="616"/>
      <c r="I26" s="633"/>
      <c r="J26" s="460">
        <f>SUM(J17:J22)</f>
        <v>600696</v>
      </c>
      <c r="K26" s="521"/>
      <c r="L26" s="616"/>
      <c r="M26" s="242"/>
      <c r="N26" s="616"/>
      <c r="O26" s="632"/>
      <c r="P26" s="461">
        <f>SUM(P17:P22)</f>
        <v>0</v>
      </c>
      <c r="Q26" s="454"/>
      <c r="R26" s="1041"/>
      <c r="S26" s="450"/>
      <c r="T26" s="1041"/>
      <c r="U26" s="450"/>
      <c r="V26" s="425"/>
      <c r="W26" s="425"/>
      <c r="X26" s="425"/>
      <c r="Y26" s="425"/>
      <c r="Z26" s="425"/>
      <c r="AA26" s="425"/>
      <c r="AB26" s="425"/>
      <c r="AC26" s="425"/>
    </row>
    <row r="27" ht="15.75" customHeight="1">
      <c r="A27" s="425"/>
      <c r="B27" s="468"/>
      <c r="C27" s="1110"/>
      <c r="D27" s="527"/>
      <c r="E27" s="526"/>
      <c r="F27" s="526"/>
      <c r="G27" s="636"/>
      <c r="H27" s="636"/>
      <c r="I27" s="638"/>
      <c r="J27" s="470"/>
      <c r="K27" s="526"/>
      <c r="L27" s="526"/>
      <c r="M27" s="636"/>
      <c r="N27" s="636"/>
      <c r="O27" s="1111"/>
      <c r="P27" s="472"/>
      <c r="Q27" s="525"/>
      <c r="R27" s="525"/>
      <c r="S27" s="468"/>
      <c r="T27" s="468"/>
      <c r="U27" s="468"/>
      <c r="V27" s="425"/>
      <c r="W27" s="425"/>
      <c r="X27" s="425"/>
      <c r="Y27" s="425"/>
      <c r="Z27" s="425"/>
      <c r="AA27" s="425"/>
      <c r="AB27" s="425"/>
      <c r="AC27" s="425"/>
    </row>
    <row r="28" ht="15.75" customHeight="1">
      <c r="A28" s="425"/>
      <c r="B28" s="477"/>
      <c r="C28" s="477" t="s">
        <v>181</v>
      </c>
      <c r="D28" s="493"/>
      <c r="E28" s="629"/>
      <c r="F28" s="629"/>
      <c r="G28" s="477"/>
      <c r="H28" s="477"/>
      <c r="I28" s="477"/>
      <c r="J28" s="493"/>
      <c r="K28" s="629"/>
      <c r="L28" s="629"/>
      <c r="M28" s="477"/>
      <c r="N28" s="477"/>
      <c r="O28" s="477"/>
      <c r="P28" s="493"/>
      <c r="Q28" s="629"/>
      <c r="R28" s="629"/>
      <c r="S28" s="477"/>
      <c r="T28" s="477"/>
      <c r="U28" s="477"/>
      <c r="V28" s="425"/>
      <c r="W28" s="425"/>
      <c r="X28" s="425"/>
      <c r="Y28" s="425"/>
      <c r="Z28" s="425"/>
      <c r="AA28" s="425"/>
      <c r="AB28" s="425"/>
      <c r="AC28" s="425"/>
    </row>
    <row r="29" ht="15.75" customHeight="1">
      <c r="A29" s="425"/>
      <c r="B29" s="474"/>
      <c r="C29" s="474" t="s">
        <v>182</v>
      </c>
      <c r="D29" s="475">
        <f>D24+D25+D26+D28</f>
        <v>636289</v>
      </c>
      <c r="E29" s="442"/>
      <c r="F29" s="627">
        <f>F24+F25+F26+F28</f>
        <v>0</v>
      </c>
      <c r="G29" s="474"/>
      <c r="H29" s="627">
        <f>H24+H25+H26+H28</f>
        <v>0</v>
      </c>
      <c r="I29" s="474"/>
      <c r="J29" s="475">
        <f>J24+J25+J26+J28</f>
        <v>600696</v>
      </c>
      <c r="K29" s="442"/>
      <c r="L29" s="627">
        <f>L24+L25+L26+L28</f>
        <v>0</v>
      </c>
      <c r="M29" s="474"/>
      <c r="N29" s="627">
        <f>N24+N25+N26+N28</f>
        <v>0</v>
      </c>
      <c r="O29" s="474"/>
      <c r="P29" s="475">
        <f>P24+P25+P26+P28</f>
        <v>0</v>
      </c>
      <c r="Q29" s="442"/>
      <c r="R29" s="627">
        <f>R24+R25+R26+R28</f>
        <v>0</v>
      </c>
      <c r="S29" s="474"/>
      <c r="T29" s="627">
        <f>T24+T25+T26+T28</f>
        <v>0</v>
      </c>
      <c r="U29" s="474"/>
      <c r="V29" s="427"/>
      <c r="W29" s="427"/>
      <c r="X29" s="427"/>
      <c r="Y29" s="427"/>
      <c r="Z29" s="427"/>
      <c r="AA29" s="427"/>
      <c r="AB29" s="427"/>
      <c r="AC29" s="427"/>
    </row>
    <row r="30" ht="15.75" customHeight="1">
      <c r="A30" s="425"/>
      <c r="B30" s="446"/>
      <c r="C30" s="1063"/>
      <c r="D30" s="523"/>
      <c r="E30" s="522"/>
      <c r="F30" s="630"/>
      <c r="G30" s="630"/>
      <c r="H30" s="630"/>
      <c r="I30" s="631"/>
      <c r="J30" s="448"/>
      <c r="K30" s="522"/>
      <c r="L30" s="630"/>
      <c r="M30" s="630"/>
      <c r="N30" s="630"/>
      <c r="O30" s="1112"/>
      <c r="P30" s="482"/>
      <c r="Q30" s="446"/>
      <c r="R30" s="481"/>
      <c r="S30" s="481"/>
      <c r="T30" s="481"/>
      <c r="U30" s="481"/>
      <c r="V30" s="425"/>
      <c r="W30" s="425"/>
      <c r="X30" s="425"/>
      <c r="Y30" s="425"/>
      <c r="Z30" s="425"/>
      <c r="AA30" s="425"/>
      <c r="AB30" s="425"/>
      <c r="AC30" s="425"/>
    </row>
    <row r="31" ht="15.75" customHeight="1">
      <c r="A31" s="425"/>
      <c r="B31" s="466" t="s">
        <v>186</v>
      </c>
      <c r="C31" s="1113"/>
      <c r="D31" s="501"/>
      <c r="E31" s="521"/>
      <c r="F31" s="242"/>
      <c r="G31" s="242"/>
      <c r="H31" s="242"/>
      <c r="I31" s="633"/>
      <c r="J31" s="452"/>
      <c r="K31" s="521"/>
      <c r="L31" s="242"/>
      <c r="M31" s="242"/>
      <c r="N31" s="242"/>
      <c r="O31" s="632"/>
      <c r="P31" s="459"/>
      <c r="Q31" s="454"/>
      <c r="R31" s="450"/>
      <c r="S31" s="450"/>
      <c r="T31" s="450"/>
      <c r="U31" s="450"/>
      <c r="V31" s="425"/>
      <c r="W31" s="425"/>
      <c r="X31" s="425"/>
      <c r="Y31" s="425"/>
      <c r="Z31" s="425"/>
      <c r="AA31" s="425"/>
      <c r="AB31" s="425"/>
      <c r="AC31" s="425"/>
    </row>
    <row r="32" ht="15.75" customHeight="1">
      <c r="A32" s="425"/>
      <c r="B32" s="454" t="s">
        <v>28</v>
      </c>
      <c r="C32" s="1109"/>
      <c r="D32" s="501"/>
      <c r="E32" s="521"/>
      <c r="F32" s="242"/>
      <c r="G32" s="242"/>
      <c r="H32" s="242"/>
      <c r="I32" s="633"/>
      <c r="J32" s="452"/>
      <c r="K32" s="521"/>
      <c r="L32" s="242"/>
      <c r="M32" s="242"/>
      <c r="N32" s="242"/>
      <c r="O32" s="632"/>
      <c r="P32" s="459"/>
      <c r="Q32" s="454"/>
      <c r="R32" s="450"/>
      <c r="S32" s="450"/>
      <c r="T32" s="450"/>
      <c r="U32" s="450"/>
      <c r="V32" s="425"/>
      <c r="W32" s="425"/>
      <c r="X32" s="425"/>
      <c r="Y32" s="425"/>
      <c r="Z32" s="425"/>
      <c r="AA32" s="425"/>
      <c r="AB32" s="425"/>
      <c r="AC32" s="425"/>
    </row>
    <row r="33" ht="15.75" customHeight="1">
      <c r="A33" s="425"/>
      <c r="B33" s="450"/>
      <c r="C33" s="1114" t="s">
        <v>187</v>
      </c>
      <c r="D33" s="501"/>
      <c r="E33" s="521"/>
      <c r="F33" s="242"/>
      <c r="G33" s="242"/>
      <c r="H33" s="242"/>
      <c r="I33" s="633"/>
      <c r="J33" s="452"/>
      <c r="K33" s="521"/>
      <c r="L33" s="242"/>
      <c r="M33" s="242"/>
      <c r="N33" s="242"/>
      <c r="O33" s="632"/>
      <c r="P33" s="459"/>
      <c r="Q33" s="454"/>
      <c r="R33" s="450"/>
      <c r="S33" s="450"/>
      <c r="T33" s="450"/>
      <c r="U33" s="450"/>
      <c r="V33" s="425"/>
      <c r="W33" s="425"/>
      <c r="X33" s="425"/>
      <c r="Y33" s="425"/>
      <c r="Z33" s="425"/>
      <c r="AA33" s="425"/>
      <c r="AB33" s="425"/>
      <c r="AC33" s="425"/>
    </row>
    <row r="34" ht="15.75" customHeight="1">
      <c r="A34" s="425"/>
      <c r="B34" s="450"/>
      <c r="C34" s="1109" t="s">
        <v>188</v>
      </c>
      <c r="D34" s="501">
        <v>0.0</v>
      </c>
      <c r="E34" s="538"/>
      <c r="F34" s="242"/>
      <c r="G34" s="242"/>
      <c r="H34" s="612"/>
      <c r="I34" s="633"/>
      <c r="J34" s="452">
        <v>0.0</v>
      </c>
      <c r="K34" s="538"/>
      <c r="L34" s="242"/>
      <c r="M34" s="242"/>
      <c r="N34" s="612"/>
      <c r="O34" s="632"/>
      <c r="P34" s="459"/>
      <c r="Q34" s="716"/>
      <c r="R34" s="450"/>
      <c r="S34" s="450"/>
      <c r="T34" s="685"/>
      <c r="U34" s="450"/>
      <c r="V34" s="425"/>
      <c r="W34" s="425"/>
      <c r="X34" s="425"/>
      <c r="Y34" s="425"/>
      <c r="Z34" s="425"/>
      <c r="AA34" s="425"/>
      <c r="AB34" s="425"/>
      <c r="AC34" s="425"/>
    </row>
    <row r="35" ht="15.75" customHeight="1">
      <c r="A35" s="425"/>
      <c r="B35" s="450"/>
      <c r="C35" s="1109" t="s">
        <v>189</v>
      </c>
      <c r="D35" s="501">
        <v>143343.6608822021</v>
      </c>
      <c r="E35" s="521"/>
      <c r="F35" s="242"/>
      <c r="G35" s="242"/>
      <c r="H35" s="612"/>
      <c r="I35" s="633"/>
      <c r="J35" s="452">
        <v>209887.7</v>
      </c>
      <c r="K35" s="521"/>
      <c r="L35" s="242"/>
      <c r="M35" s="242"/>
      <c r="N35" s="612"/>
      <c r="O35" s="632"/>
      <c r="P35" s="459"/>
      <c r="Q35" s="454"/>
      <c r="R35" s="450"/>
      <c r="S35" s="450"/>
      <c r="T35" s="685"/>
      <c r="U35" s="450"/>
      <c r="V35" s="425"/>
      <c r="W35" s="425"/>
      <c r="X35" s="425"/>
      <c r="Y35" s="425"/>
      <c r="Z35" s="425"/>
      <c r="AA35" s="425"/>
      <c r="AB35" s="425"/>
      <c r="AC35" s="425"/>
    </row>
    <row r="36" ht="15.75" customHeight="1">
      <c r="A36" s="425"/>
      <c r="B36" s="450"/>
      <c r="C36" s="1109" t="s">
        <v>21</v>
      </c>
      <c r="D36" s="501">
        <v>0.0</v>
      </c>
      <c r="E36" s="521"/>
      <c r="F36" s="242"/>
      <c r="G36" s="242"/>
      <c r="H36" s="612"/>
      <c r="I36" s="633"/>
      <c r="J36" s="452">
        <v>3174.88</v>
      </c>
      <c r="K36" s="521"/>
      <c r="L36" s="242"/>
      <c r="M36" s="242"/>
      <c r="N36" s="612"/>
      <c r="O36" s="632"/>
      <c r="P36" s="459"/>
      <c r="Q36" s="454"/>
      <c r="R36" s="450"/>
      <c r="S36" s="450"/>
      <c r="T36" s="685"/>
      <c r="U36" s="450"/>
      <c r="V36" s="425"/>
      <c r="W36" s="425"/>
      <c r="X36" s="425"/>
      <c r="Y36" s="425"/>
      <c r="Z36" s="425"/>
      <c r="AA36" s="425"/>
      <c r="AB36" s="425"/>
      <c r="AC36" s="425"/>
    </row>
    <row r="37" ht="15.75" customHeight="1">
      <c r="A37" s="425"/>
      <c r="B37" s="450"/>
      <c r="C37" s="1109" t="s">
        <v>22</v>
      </c>
      <c r="D37" s="501">
        <v>0.0</v>
      </c>
      <c r="E37" s="521"/>
      <c r="F37" s="242"/>
      <c r="G37" s="242"/>
      <c r="H37" s="612"/>
      <c r="I37" s="633"/>
      <c r="J37" s="452">
        <v>0.0</v>
      </c>
      <c r="K37" s="521"/>
      <c r="L37" s="242"/>
      <c r="M37" s="242"/>
      <c r="N37" s="612"/>
      <c r="O37" s="632"/>
      <c r="P37" s="459"/>
      <c r="Q37" s="454"/>
      <c r="R37" s="450"/>
      <c r="S37" s="450"/>
      <c r="T37" s="685"/>
      <c r="U37" s="450"/>
      <c r="V37" s="425"/>
      <c r="W37" s="425"/>
      <c r="X37" s="425"/>
      <c r="Y37" s="425"/>
      <c r="Z37" s="425"/>
      <c r="AA37" s="425"/>
      <c r="AB37" s="425"/>
      <c r="AC37" s="425"/>
    </row>
    <row r="38" ht="15.75" customHeight="1">
      <c r="A38" s="425"/>
      <c r="B38" s="468"/>
      <c r="C38" s="1110" t="s">
        <v>190</v>
      </c>
      <c r="D38" s="527"/>
      <c r="E38" s="526"/>
      <c r="F38" s="636"/>
      <c r="G38" s="636"/>
      <c r="H38" s="664"/>
      <c r="I38" s="638"/>
      <c r="J38" s="470"/>
      <c r="K38" s="526"/>
      <c r="L38" s="636"/>
      <c r="M38" s="636"/>
      <c r="N38" s="664"/>
      <c r="O38" s="1111"/>
      <c r="P38" s="472"/>
      <c r="Q38" s="525"/>
      <c r="R38" s="468"/>
      <c r="S38" s="468"/>
      <c r="T38" s="687"/>
      <c r="U38" s="468"/>
      <c r="V38" s="425"/>
      <c r="W38" s="425"/>
      <c r="X38" s="425"/>
      <c r="Y38" s="425"/>
      <c r="Z38" s="425"/>
      <c r="AA38" s="425"/>
      <c r="AB38" s="425"/>
      <c r="AC38" s="425"/>
    </row>
    <row r="39" ht="15.75" customHeight="1">
      <c r="A39" s="425"/>
      <c r="B39" s="477"/>
      <c r="C39" s="474" t="s">
        <v>191</v>
      </c>
      <c r="D39" s="475">
        <f>SUM(D34:D38)</f>
        <v>143343.6609</v>
      </c>
      <c r="E39" s="581"/>
      <c r="F39" s="474"/>
      <c r="G39" s="474"/>
      <c r="H39" s="474"/>
      <c r="I39" s="474"/>
      <c r="J39" s="475">
        <f>SUM(J34:J38)</f>
        <v>213062.58</v>
      </c>
      <c r="K39" s="581"/>
      <c r="L39" s="474"/>
      <c r="M39" s="474"/>
      <c r="N39" s="474"/>
      <c r="O39" s="474"/>
      <c r="P39" s="475">
        <f>SUM(P34:P38)</f>
        <v>0</v>
      </c>
      <c r="Q39" s="581"/>
      <c r="R39" s="474"/>
      <c r="S39" s="474"/>
      <c r="T39" s="474"/>
      <c r="U39" s="474"/>
      <c r="V39" s="427"/>
      <c r="W39" s="427"/>
      <c r="X39" s="427"/>
      <c r="Y39" s="427"/>
      <c r="Z39" s="427"/>
      <c r="AA39" s="427"/>
      <c r="AB39" s="427"/>
      <c r="AC39" s="427"/>
    </row>
    <row r="40" ht="15.75" customHeight="1">
      <c r="A40" s="425"/>
      <c r="B40" s="508"/>
      <c r="C40" s="1115" t="s">
        <v>192</v>
      </c>
      <c r="D40" s="563">
        <v>45355.0</v>
      </c>
      <c r="E40" s="586"/>
      <c r="F40" s="646"/>
      <c r="G40" s="646"/>
      <c r="H40" s="646"/>
      <c r="I40" s="647"/>
      <c r="J40" s="969">
        <v>41129.0</v>
      </c>
      <c r="K40" s="522"/>
      <c r="L40" s="630"/>
      <c r="M40" s="630"/>
      <c r="N40" s="630"/>
      <c r="O40" s="1112"/>
      <c r="P40" s="944"/>
      <c r="Q40" s="446"/>
      <c r="R40" s="481"/>
      <c r="S40" s="481"/>
      <c r="T40" s="481"/>
      <c r="U40" s="481"/>
      <c r="V40" s="425"/>
      <c r="W40" s="425"/>
      <c r="X40" s="425"/>
      <c r="Y40" s="425"/>
      <c r="Z40" s="425"/>
      <c r="AA40" s="425"/>
      <c r="AB40" s="425"/>
      <c r="AC40" s="425"/>
    </row>
    <row r="41" ht="15.75" customHeight="1">
      <c r="A41" s="425"/>
      <c r="B41" s="477"/>
      <c r="C41" s="474" t="s">
        <v>193</v>
      </c>
      <c r="D41" s="475">
        <f>SUM(D39:D40)</f>
        <v>188698.6609</v>
      </c>
      <c r="E41" s="581"/>
      <c r="F41" s="474"/>
      <c r="G41" s="474"/>
      <c r="H41" s="474"/>
      <c r="I41" s="474"/>
      <c r="J41" s="475">
        <f>SUM(J39:J40)</f>
        <v>254191.58</v>
      </c>
      <c r="K41" s="706"/>
      <c r="L41" s="1116"/>
      <c r="M41" s="1116"/>
      <c r="N41" s="1116"/>
      <c r="O41" s="1117"/>
      <c r="P41" s="475">
        <f>SUM(P39:P40)</f>
        <v>0</v>
      </c>
      <c r="Q41" s="738"/>
      <c r="R41" s="466"/>
      <c r="S41" s="466"/>
      <c r="T41" s="466"/>
      <c r="U41" s="466"/>
      <c r="V41" s="427"/>
      <c r="W41" s="427"/>
      <c r="X41" s="427"/>
      <c r="Y41" s="427"/>
      <c r="Z41" s="427"/>
      <c r="AA41" s="427"/>
      <c r="AB41" s="427"/>
      <c r="AC41" s="427"/>
    </row>
    <row r="42" ht="15.75" customHeight="1">
      <c r="A42" s="425"/>
      <c r="B42" s="1118"/>
      <c r="C42" s="1119" t="s">
        <v>32</v>
      </c>
      <c r="D42" s="475">
        <f>D29-D41</f>
        <v>447590.3391</v>
      </c>
      <c r="E42" s="1120"/>
      <c r="F42" s="1121"/>
      <c r="G42" s="1122"/>
      <c r="H42" s="1121"/>
      <c r="I42" s="1122"/>
      <c r="J42" s="475">
        <f>J29-J41</f>
        <v>346504.42</v>
      </c>
      <c r="K42" s="1123"/>
      <c r="L42" s="1124"/>
      <c r="M42" s="1125"/>
      <c r="N42" s="1124"/>
      <c r="O42" s="1126"/>
      <c r="P42" s="475">
        <f>P29-P41</f>
        <v>0</v>
      </c>
      <c r="Q42" s="1127"/>
      <c r="R42" s="1128"/>
      <c r="S42" s="1129"/>
      <c r="T42" s="1128"/>
      <c r="U42" s="1129"/>
      <c r="V42" s="425"/>
      <c r="W42" s="425"/>
      <c r="X42" s="425"/>
      <c r="Y42" s="425"/>
      <c r="Z42" s="425"/>
      <c r="AA42" s="425"/>
      <c r="AB42" s="425"/>
      <c r="AC42" s="425"/>
    </row>
    <row r="43" ht="15.75" customHeight="1">
      <c r="A43" s="425"/>
      <c r="B43" s="508"/>
      <c r="C43" s="1130"/>
      <c r="D43" s="563"/>
      <c r="E43" s="586"/>
      <c r="F43" s="646"/>
      <c r="G43" s="646"/>
      <c r="H43" s="646"/>
      <c r="I43" s="647"/>
      <c r="J43" s="494"/>
      <c r="K43" s="526"/>
      <c r="L43" s="636"/>
      <c r="M43" s="636"/>
      <c r="N43" s="636"/>
      <c r="O43" s="1111"/>
      <c r="P43" s="495"/>
      <c r="Q43" s="525"/>
      <c r="R43" s="468"/>
      <c r="S43" s="468"/>
      <c r="T43" s="468"/>
      <c r="U43" s="468"/>
      <c r="V43" s="425"/>
      <c r="W43" s="425"/>
      <c r="X43" s="425"/>
      <c r="Y43" s="425"/>
      <c r="Z43" s="425"/>
      <c r="AA43" s="425"/>
      <c r="AB43" s="425"/>
      <c r="AC43" s="425"/>
    </row>
    <row r="44" ht="15.75" customHeight="1">
      <c r="A44" s="425"/>
      <c r="B44" s="477"/>
      <c r="C44" s="742" t="s">
        <v>194</v>
      </c>
      <c r="D44" s="493"/>
      <c r="E44" s="629"/>
      <c r="F44" s="477"/>
      <c r="G44" s="477"/>
      <c r="H44" s="747">
        <f t="shared" ref="H44:H50" si="1">D44-F44</f>
        <v>0</v>
      </c>
      <c r="I44" s="477"/>
      <c r="J44" s="493"/>
      <c r="K44" s="629"/>
      <c r="L44" s="477"/>
      <c r="M44" s="477"/>
      <c r="N44" s="747">
        <f t="shared" ref="N44:N50" si="2">J44-L44</f>
        <v>0</v>
      </c>
      <c r="O44" s="477"/>
      <c r="P44" s="493"/>
      <c r="Q44" s="629"/>
      <c r="R44" s="477"/>
      <c r="S44" s="477"/>
      <c r="T44" s="747">
        <f t="shared" ref="T44:T50" si="3">P44-R44</f>
        <v>0</v>
      </c>
      <c r="U44" s="477"/>
      <c r="V44" s="425"/>
      <c r="W44" s="425"/>
      <c r="X44" s="425"/>
      <c r="Y44" s="425"/>
      <c r="Z44" s="425"/>
      <c r="AA44" s="425"/>
      <c r="AB44" s="425"/>
      <c r="AC44" s="425"/>
    </row>
    <row r="45" ht="15.75" customHeight="1">
      <c r="A45" s="425"/>
      <c r="B45" s="481"/>
      <c r="C45" s="1108" t="s">
        <v>195</v>
      </c>
      <c r="D45" s="523"/>
      <c r="E45" s="522"/>
      <c r="F45" s="1131"/>
      <c r="G45" s="630"/>
      <c r="H45" s="982">
        <f t="shared" si="1"/>
        <v>0</v>
      </c>
      <c r="I45" s="631"/>
      <c r="J45" s="448"/>
      <c r="K45" s="522"/>
      <c r="L45" s="1131"/>
      <c r="M45" s="630"/>
      <c r="N45" s="982">
        <f t="shared" si="2"/>
        <v>0</v>
      </c>
      <c r="O45" s="1112"/>
      <c r="P45" s="482"/>
      <c r="Q45" s="446"/>
      <c r="R45" s="1132"/>
      <c r="S45" s="481"/>
      <c r="T45" s="702">
        <f t="shared" si="3"/>
        <v>0</v>
      </c>
      <c r="U45" s="481"/>
      <c r="V45" s="425"/>
      <c r="W45" s="425"/>
      <c r="X45" s="425"/>
      <c r="Y45" s="425"/>
      <c r="Z45" s="425"/>
      <c r="AA45" s="425"/>
      <c r="AB45" s="425"/>
      <c r="AC45" s="425"/>
    </row>
    <row r="46" ht="15.75" customHeight="1">
      <c r="A46" s="425"/>
      <c r="B46" s="450"/>
      <c r="C46" s="1109" t="s">
        <v>196</v>
      </c>
      <c r="D46" s="501">
        <v>0.0</v>
      </c>
      <c r="E46" s="521"/>
      <c r="F46" s="242"/>
      <c r="G46" s="242"/>
      <c r="H46" s="732">
        <f t="shared" si="1"/>
        <v>0</v>
      </c>
      <c r="I46" s="633"/>
      <c r="J46" s="452">
        <v>2563.0</v>
      </c>
      <c r="K46" s="521"/>
      <c r="L46" s="242"/>
      <c r="M46" s="242"/>
      <c r="N46" s="732">
        <f t="shared" si="2"/>
        <v>2563</v>
      </c>
      <c r="O46" s="632"/>
      <c r="P46" s="459"/>
      <c r="Q46" s="454"/>
      <c r="R46" s="450"/>
      <c r="S46" s="450"/>
      <c r="T46" s="700">
        <f t="shared" si="3"/>
        <v>0</v>
      </c>
      <c r="U46" s="450"/>
      <c r="V46" s="425"/>
      <c r="W46" s="425"/>
      <c r="X46" s="425"/>
      <c r="Y46" s="425"/>
      <c r="Z46" s="425"/>
      <c r="AA46" s="425"/>
      <c r="AB46" s="425"/>
      <c r="AC46" s="425"/>
    </row>
    <row r="47" ht="15.75" customHeight="1">
      <c r="A47" s="425"/>
      <c r="B47" s="450"/>
      <c r="C47" s="1109" t="s">
        <v>266</v>
      </c>
      <c r="D47" s="501"/>
      <c r="E47" s="521"/>
      <c r="F47" s="242"/>
      <c r="G47" s="242"/>
      <c r="H47" s="732">
        <f t="shared" si="1"/>
        <v>0</v>
      </c>
      <c r="I47" s="633"/>
      <c r="J47" s="452"/>
      <c r="K47" s="521"/>
      <c r="L47" s="242"/>
      <c r="M47" s="242"/>
      <c r="N47" s="732">
        <f t="shared" si="2"/>
        <v>0</v>
      </c>
      <c r="O47" s="632"/>
      <c r="P47" s="459"/>
      <c r="Q47" s="454"/>
      <c r="R47" s="450"/>
      <c r="S47" s="450"/>
      <c r="T47" s="700">
        <f t="shared" si="3"/>
        <v>0</v>
      </c>
      <c r="U47" s="450"/>
      <c r="V47" s="425"/>
      <c r="W47" s="425"/>
      <c r="X47" s="425"/>
      <c r="Y47" s="425"/>
      <c r="Z47" s="425"/>
      <c r="AA47" s="425"/>
      <c r="AB47" s="425"/>
      <c r="AC47" s="425"/>
    </row>
    <row r="48" ht="15.75" customHeight="1">
      <c r="A48" s="425"/>
      <c r="B48" s="450"/>
      <c r="C48" s="1109" t="s">
        <v>197</v>
      </c>
      <c r="D48" s="501">
        <v>1500.0</v>
      </c>
      <c r="E48" s="521"/>
      <c r="F48" s="242"/>
      <c r="G48" s="242"/>
      <c r="H48" s="732">
        <f t="shared" si="1"/>
        <v>1500</v>
      </c>
      <c r="I48" s="633"/>
      <c r="J48" s="452">
        <v>1650.0</v>
      </c>
      <c r="K48" s="521"/>
      <c r="L48" s="242"/>
      <c r="M48" s="242"/>
      <c r="N48" s="732">
        <f t="shared" si="2"/>
        <v>1650</v>
      </c>
      <c r="O48" s="632"/>
      <c r="P48" s="459"/>
      <c r="Q48" s="454"/>
      <c r="R48" s="450"/>
      <c r="S48" s="450"/>
      <c r="T48" s="700">
        <f t="shared" si="3"/>
        <v>0</v>
      </c>
      <c r="U48" s="450"/>
      <c r="V48" s="425"/>
      <c r="W48" s="425"/>
      <c r="X48" s="425"/>
      <c r="Y48" s="425"/>
      <c r="Z48" s="425"/>
      <c r="AA48" s="425"/>
      <c r="AB48" s="425"/>
      <c r="AC48" s="425"/>
    </row>
    <row r="49" ht="15.75" customHeight="1">
      <c r="A49" s="425"/>
      <c r="B49" s="450"/>
      <c r="C49" s="1109" t="s">
        <v>198</v>
      </c>
      <c r="D49" s="501"/>
      <c r="E49" s="521"/>
      <c r="F49" s="242"/>
      <c r="G49" s="242"/>
      <c r="H49" s="732">
        <f t="shared" si="1"/>
        <v>0</v>
      </c>
      <c r="I49" s="633"/>
      <c r="J49" s="452"/>
      <c r="K49" s="521"/>
      <c r="L49" s="242"/>
      <c r="M49" s="242"/>
      <c r="N49" s="732">
        <f t="shared" si="2"/>
        <v>0</v>
      </c>
      <c r="O49" s="632"/>
      <c r="P49" s="459"/>
      <c r="Q49" s="454"/>
      <c r="R49" s="450"/>
      <c r="S49" s="450"/>
      <c r="T49" s="700">
        <f t="shared" si="3"/>
        <v>0</v>
      </c>
      <c r="U49" s="450"/>
      <c r="V49" s="425"/>
      <c r="W49" s="425"/>
      <c r="X49" s="425"/>
      <c r="Y49" s="425"/>
      <c r="Z49" s="425"/>
      <c r="AA49" s="425"/>
      <c r="AB49" s="425"/>
      <c r="AC49" s="425"/>
    </row>
    <row r="50" ht="15.75" customHeight="1">
      <c r="A50" s="425"/>
      <c r="B50" s="468"/>
      <c r="C50" s="1110" t="s">
        <v>199</v>
      </c>
      <c r="D50" s="527"/>
      <c r="E50" s="526"/>
      <c r="F50" s="636"/>
      <c r="G50" s="636"/>
      <c r="H50" s="984">
        <f t="shared" si="1"/>
        <v>0</v>
      </c>
      <c r="I50" s="638"/>
      <c r="J50" s="470"/>
      <c r="K50" s="521"/>
      <c r="L50" s="242"/>
      <c r="M50" s="242"/>
      <c r="N50" s="732">
        <f t="shared" si="2"/>
        <v>0</v>
      </c>
      <c r="O50" s="632"/>
      <c r="P50" s="472"/>
      <c r="Q50" s="454"/>
      <c r="R50" s="450"/>
      <c r="S50" s="450"/>
      <c r="T50" s="700">
        <f t="shared" si="3"/>
        <v>0</v>
      </c>
      <c r="U50" s="450"/>
      <c r="V50" s="425"/>
      <c r="W50" s="425"/>
      <c r="X50" s="425"/>
      <c r="Y50" s="425"/>
      <c r="Z50" s="425"/>
      <c r="AA50" s="425"/>
      <c r="AB50" s="425"/>
      <c r="AC50" s="425"/>
    </row>
    <row r="51" ht="15.75" customHeight="1">
      <c r="A51" s="425"/>
      <c r="B51" s="477"/>
      <c r="C51" s="474" t="s">
        <v>200</v>
      </c>
      <c r="D51" s="475">
        <f>SUM(D45:D50)</f>
        <v>1500</v>
      </c>
      <c r="E51" s="442"/>
      <c r="F51" s="997">
        <f>SUM(F45:F50)</f>
        <v>0</v>
      </c>
      <c r="G51" s="474"/>
      <c r="H51" s="997">
        <f>SUM(H45:H50)</f>
        <v>1500</v>
      </c>
      <c r="I51" s="474"/>
      <c r="J51" s="475">
        <f>SUM(J45:J50)</f>
        <v>4213</v>
      </c>
      <c r="K51" s="552"/>
      <c r="L51" s="732">
        <f>SUM(L45:L50)</f>
        <v>0</v>
      </c>
      <c r="M51" s="242"/>
      <c r="N51" s="732">
        <f>SUM(N45:N50)</f>
        <v>4213</v>
      </c>
      <c r="O51" s="632"/>
      <c r="P51" s="475">
        <f>SUM(P45:P50)</f>
        <v>0</v>
      </c>
      <c r="Q51" s="454"/>
      <c r="R51" s="700">
        <f>SUM(R45:R50)</f>
        <v>0</v>
      </c>
      <c r="S51" s="450"/>
      <c r="T51" s="700">
        <f>SUM(T45:T50)</f>
        <v>0</v>
      </c>
      <c r="U51" s="450"/>
      <c r="V51" s="427"/>
      <c r="W51" s="427"/>
      <c r="X51" s="427"/>
      <c r="Y51" s="427"/>
      <c r="Z51" s="427"/>
      <c r="AA51" s="427"/>
      <c r="AB51" s="427"/>
      <c r="AC51" s="427"/>
    </row>
    <row r="52" ht="15.75" customHeight="1">
      <c r="A52" s="425"/>
      <c r="B52" s="481"/>
      <c r="C52" s="1108"/>
      <c r="D52" s="523"/>
      <c r="E52" s="522"/>
      <c r="F52" s="630"/>
      <c r="G52" s="630"/>
      <c r="H52" s="630"/>
      <c r="I52" s="631"/>
      <c r="J52" s="448"/>
      <c r="K52" s="521"/>
      <c r="L52" s="242"/>
      <c r="M52" s="242"/>
      <c r="N52" s="242"/>
      <c r="O52" s="632"/>
      <c r="P52" s="482"/>
      <c r="Q52" s="454"/>
      <c r="R52" s="450"/>
      <c r="S52" s="450"/>
      <c r="T52" s="450"/>
      <c r="U52" s="450"/>
      <c r="V52" s="425"/>
      <c r="W52" s="425"/>
      <c r="X52" s="425"/>
      <c r="Y52" s="425"/>
      <c r="Z52" s="425"/>
      <c r="AA52" s="425"/>
      <c r="AB52" s="425"/>
      <c r="AC52" s="425"/>
    </row>
    <row r="53" ht="15.75" customHeight="1">
      <c r="A53" s="425"/>
      <c r="B53" s="765" t="s">
        <v>204</v>
      </c>
      <c r="C53" s="1133"/>
      <c r="D53" s="527"/>
      <c r="E53" s="526"/>
      <c r="F53" s="636"/>
      <c r="G53" s="636"/>
      <c r="H53" s="636"/>
      <c r="I53" s="638"/>
      <c r="J53" s="470"/>
      <c r="K53" s="521"/>
      <c r="L53" s="242"/>
      <c r="M53" s="242"/>
      <c r="N53" s="242"/>
      <c r="O53" s="632"/>
      <c r="P53" s="472"/>
      <c r="Q53" s="454"/>
      <c r="R53" s="450"/>
      <c r="S53" s="450"/>
      <c r="T53" s="450"/>
      <c r="U53" s="450"/>
      <c r="V53" s="425"/>
      <c r="W53" s="425"/>
      <c r="X53" s="425"/>
      <c r="Y53" s="425"/>
      <c r="Z53" s="425"/>
      <c r="AA53" s="425"/>
      <c r="AB53" s="425"/>
      <c r="AC53" s="425"/>
    </row>
    <row r="54" ht="15.75" customHeight="1">
      <c r="A54" s="425"/>
      <c r="B54" s="477"/>
      <c r="C54" s="492" t="s">
        <v>205</v>
      </c>
      <c r="D54" s="475">
        <f>SUM(D55:D61)</f>
        <v>14848</v>
      </c>
      <c r="E54" s="581">
        <f>D54/D$29</f>
        <v>0.02333530833</v>
      </c>
      <c r="F54" s="627">
        <f>SUM(F55:F61)</f>
        <v>0</v>
      </c>
      <c r="G54" s="581" t="str">
        <f>F54/F$29</f>
        <v>#DIV/0!</v>
      </c>
      <c r="H54" s="627">
        <f>SUM(H55:H61)</f>
        <v>0</v>
      </c>
      <c r="I54" s="581" t="str">
        <f>H54/H$29</f>
        <v>#DIV/0!</v>
      </c>
      <c r="J54" s="475">
        <f>SUM(J55:J61)</f>
        <v>0</v>
      </c>
      <c r="K54" s="541">
        <f>J54/J$29</f>
        <v>0</v>
      </c>
      <c r="L54" s="612">
        <f>SUM(L55:L61)</f>
        <v>0</v>
      </c>
      <c r="M54" s="538" t="str">
        <f>L54/L$29</f>
        <v>#DIV/0!</v>
      </c>
      <c r="N54" s="612">
        <f>SUM(N55:N61)</f>
        <v>0</v>
      </c>
      <c r="O54" s="539" t="str">
        <f>N54/N$29</f>
        <v>#DIV/0!</v>
      </c>
      <c r="P54" s="475">
        <f>SUM(P55:P61)</f>
        <v>0</v>
      </c>
      <c r="Q54" s="716" t="str">
        <f>P54/P$29</f>
        <v>#DIV/0!</v>
      </c>
      <c r="R54" s="685">
        <f>SUM(R55:R61)</f>
        <v>0</v>
      </c>
      <c r="S54" s="716" t="str">
        <f>R54/R$29</f>
        <v>#DIV/0!</v>
      </c>
      <c r="T54" s="685">
        <f>SUM(T55:T61)</f>
        <v>0</v>
      </c>
      <c r="U54" s="716" t="str">
        <f>T54/T$29</f>
        <v>#DIV/0!</v>
      </c>
      <c r="V54" s="427"/>
      <c r="W54" s="427"/>
      <c r="X54" s="427"/>
      <c r="Y54" s="427"/>
      <c r="Z54" s="427"/>
      <c r="AA54" s="427"/>
      <c r="AB54" s="427"/>
      <c r="AC54" s="427"/>
    </row>
    <row r="55" ht="15.75" customHeight="1">
      <c r="A55" s="425"/>
      <c r="B55" s="481"/>
      <c r="C55" s="1108" t="s">
        <v>268</v>
      </c>
      <c r="D55" s="523"/>
      <c r="E55" s="533"/>
      <c r="F55" s="610"/>
      <c r="G55" s="533"/>
      <c r="H55" s="610"/>
      <c r="I55" s="536"/>
      <c r="J55" s="448"/>
      <c r="K55" s="538"/>
      <c r="L55" s="612"/>
      <c r="M55" s="538"/>
      <c r="N55" s="612"/>
      <c r="O55" s="539"/>
      <c r="P55" s="482"/>
      <c r="Q55" s="716"/>
      <c r="R55" s="685"/>
      <c r="S55" s="716"/>
      <c r="T55" s="685"/>
      <c r="U55" s="716"/>
      <c r="V55" s="425"/>
      <c r="W55" s="425"/>
      <c r="X55" s="425"/>
      <c r="Y55" s="425"/>
      <c r="Z55" s="425"/>
      <c r="AA55" s="425"/>
      <c r="AB55" s="425"/>
      <c r="AC55" s="425"/>
    </row>
    <row r="56" ht="15.75" customHeight="1">
      <c r="A56" s="425"/>
      <c r="B56" s="450"/>
      <c r="C56" s="438" t="s">
        <v>269</v>
      </c>
      <c r="D56" s="501">
        <v>14848.0</v>
      </c>
      <c r="E56" s="538"/>
      <c r="F56" s="612"/>
      <c r="G56" s="538"/>
      <c r="H56" s="612"/>
      <c r="I56" s="542"/>
      <c r="J56" s="452"/>
      <c r="K56" s="538"/>
      <c r="L56" s="612"/>
      <c r="M56" s="538"/>
      <c r="N56" s="612"/>
      <c r="O56" s="539"/>
      <c r="P56" s="459"/>
      <c r="Q56" s="716"/>
      <c r="R56" s="685"/>
      <c r="S56" s="716"/>
      <c r="T56" s="685"/>
      <c r="U56" s="716"/>
      <c r="V56" s="425"/>
      <c r="W56" s="425"/>
      <c r="X56" s="425"/>
      <c r="Y56" s="425"/>
      <c r="Z56" s="425"/>
      <c r="AA56" s="425"/>
      <c r="AB56" s="425"/>
      <c r="AC56" s="425"/>
    </row>
    <row r="57" ht="15.75" customHeight="1">
      <c r="A57" s="425"/>
      <c r="B57" s="450"/>
      <c r="C57" s="1109" t="s">
        <v>212</v>
      </c>
      <c r="D57" s="501"/>
      <c r="E57" s="538"/>
      <c r="F57" s="612"/>
      <c r="G57" s="538"/>
      <c r="H57" s="612"/>
      <c r="I57" s="542"/>
      <c r="J57" s="452"/>
      <c r="K57" s="538"/>
      <c r="L57" s="612"/>
      <c r="M57" s="538"/>
      <c r="N57" s="612"/>
      <c r="O57" s="539"/>
      <c r="P57" s="459"/>
      <c r="Q57" s="716"/>
      <c r="R57" s="685"/>
      <c r="S57" s="716"/>
      <c r="T57" s="685"/>
      <c r="U57" s="716"/>
      <c r="V57" s="425"/>
      <c r="W57" s="425"/>
      <c r="X57" s="425"/>
      <c r="Y57" s="425"/>
      <c r="Z57" s="425"/>
      <c r="AA57" s="425"/>
      <c r="AB57" s="425"/>
      <c r="AC57" s="425"/>
    </row>
    <row r="58" ht="15.75" customHeight="1">
      <c r="A58" s="425"/>
      <c r="B58" s="450"/>
      <c r="C58" s="438" t="s">
        <v>213</v>
      </c>
      <c r="D58" s="501"/>
      <c r="E58" s="538"/>
      <c r="F58" s="612"/>
      <c r="G58" s="538"/>
      <c r="H58" s="612"/>
      <c r="I58" s="542"/>
      <c r="J58" s="452"/>
      <c r="K58" s="538"/>
      <c r="L58" s="612"/>
      <c r="M58" s="538"/>
      <c r="N58" s="612"/>
      <c r="O58" s="539"/>
      <c r="P58" s="459"/>
      <c r="Q58" s="716"/>
      <c r="R58" s="685"/>
      <c r="S58" s="716"/>
      <c r="T58" s="685"/>
      <c r="U58" s="716"/>
      <c r="V58" s="425"/>
      <c r="W58" s="425"/>
      <c r="X58" s="425"/>
      <c r="Y58" s="425"/>
      <c r="Z58" s="425"/>
      <c r="AA58" s="425"/>
      <c r="AB58" s="425"/>
      <c r="AC58" s="425"/>
    </row>
    <row r="59" ht="15.75" customHeight="1">
      <c r="A59" s="425"/>
      <c r="B59" s="450"/>
      <c r="C59" s="1109" t="s">
        <v>307</v>
      </c>
      <c r="D59" s="501"/>
      <c r="E59" s="538"/>
      <c r="F59" s="612"/>
      <c r="G59" s="538"/>
      <c r="H59" s="612"/>
      <c r="I59" s="542"/>
      <c r="J59" s="452"/>
      <c r="K59" s="538"/>
      <c r="L59" s="612"/>
      <c r="M59" s="538"/>
      <c r="N59" s="612"/>
      <c r="O59" s="539"/>
      <c r="P59" s="459"/>
      <c r="Q59" s="716"/>
      <c r="R59" s="685"/>
      <c r="S59" s="716"/>
      <c r="T59" s="685"/>
      <c r="U59" s="716"/>
      <c r="V59" s="425"/>
      <c r="W59" s="425"/>
      <c r="X59" s="425"/>
      <c r="Y59" s="425"/>
      <c r="Z59" s="425"/>
      <c r="AA59" s="425"/>
      <c r="AB59" s="425"/>
      <c r="AC59" s="425"/>
    </row>
    <row r="60" ht="15.75" customHeight="1">
      <c r="A60" s="425"/>
      <c r="B60" s="450"/>
      <c r="C60" s="438" t="s">
        <v>345</v>
      </c>
      <c r="D60" s="501"/>
      <c r="E60" s="538"/>
      <c r="F60" s="612"/>
      <c r="G60" s="538"/>
      <c r="H60" s="612"/>
      <c r="I60" s="542"/>
      <c r="J60" s="452"/>
      <c r="K60" s="538"/>
      <c r="L60" s="612"/>
      <c r="M60" s="538"/>
      <c r="N60" s="612"/>
      <c r="O60" s="539"/>
      <c r="P60" s="459"/>
      <c r="Q60" s="716"/>
      <c r="R60" s="685"/>
      <c r="S60" s="716"/>
      <c r="T60" s="685"/>
      <c r="U60" s="716"/>
      <c r="V60" s="425"/>
      <c r="W60" s="425"/>
      <c r="X60" s="425"/>
      <c r="Y60" s="425"/>
      <c r="Z60" s="425"/>
      <c r="AA60" s="425"/>
      <c r="AB60" s="425"/>
      <c r="AC60" s="425"/>
    </row>
    <row r="61" ht="15.75" customHeight="1">
      <c r="A61" s="425"/>
      <c r="B61" s="450"/>
      <c r="C61" s="1109" t="s">
        <v>271</v>
      </c>
      <c r="D61" s="501">
        <v>0.0</v>
      </c>
      <c r="E61" s="538"/>
      <c r="F61" s="521"/>
      <c r="G61" s="538"/>
      <c r="H61" s="612"/>
      <c r="I61" s="542"/>
      <c r="J61" s="452">
        <v>0.0</v>
      </c>
      <c r="K61" s="538"/>
      <c r="L61" s="521"/>
      <c r="M61" s="538"/>
      <c r="N61" s="612"/>
      <c r="O61" s="539"/>
      <c r="P61" s="459">
        <v>0.0</v>
      </c>
      <c r="Q61" s="716"/>
      <c r="R61" s="454"/>
      <c r="S61" s="716"/>
      <c r="T61" s="685"/>
      <c r="U61" s="716"/>
      <c r="V61" s="425"/>
      <c r="W61" s="425"/>
      <c r="X61" s="425"/>
      <c r="Y61" s="425"/>
      <c r="Z61" s="425"/>
      <c r="AA61" s="425"/>
      <c r="AB61" s="425"/>
      <c r="AC61" s="425"/>
    </row>
    <row r="62" ht="15.75" customHeight="1">
      <c r="A62" s="425"/>
      <c r="B62" s="468"/>
      <c r="C62" s="1134"/>
      <c r="D62" s="527"/>
      <c r="E62" s="526"/>
      <c r="F62" s="636"/>
      <c r="G62" s="636"/>
      <c r="H62" s="636"/>
      <c r="I62" s="638"/>
      <c r="J62" s="470"/>
      <c r="K62" s="521"/>
      <c r="L62" s="242"/>
      <c r="M62" s="242"/>
      <c r="N62" s="242"/>
      <c r="O62" s="632"/>
      <c r="P62" s="472"/>
      <c r="Q62" s="454"/>
      <c r="R62" s="450"/>
      <c r="S62" s="450"/>
      <c r="T62" s="450"/>
      <c r="U62" s="450"/>
      <c r="V62" s="425"/>
      <c r="W62" s="425"/>
      <c r="X62" s="425"/>
      <c r="Y62" s="425"/>
      <c r="Z62" s="425"/>
      <c r="AA62" s="425"/>
      <c r="AB62" s="425"/>
      <c r="AC62" s="425"/>
    </row>
    <row r="63" ht="15.75" customHeight="1">
      <c r="A63" s="425"/>
      <c r="B63" s="477"/>
      <c r="C63" s="492" t="s">
        <v>35</v>
      </c>
      <c r="D63" s="475">
        <f>SUM(D64:D68)</f>
        <v>73266.56</v>
      </c>
      <c r="E63" s="581">
        <f>D63/D$29</f>
        <v>0.1151466708</v>
      </c>
      <c r="F63" s="627">
        <f>SUM(F64:F68)</f>
        <v>0</v>
      </c>
      <c r="G63" s="1044" t="str">
        <f>F63/F$29</f>
        <v>#DIV/0!</v>
      </c>
      <c r="H63" s="627">
        <f>SUM(H64:H67)</f>
        <v>0</v>
      </c>
      <c r="I63" s="474"/>
      <c r="J63" s="475">
        <f>SUM(J64:J68)</f>
        <v>72888</v>
      </c>
      <c r="K63" s="541">
        <f>J63/J$29</f>
        <v>0.1213392465</v>
      </c>
      <c r="L63" s="612">
        <f>SUM(L64:L68)</f>
        <v>0</v>
      </c>
      <c r="M63" s="1052" t="str">
        <f>L63/L$29</f>
        <v>#DIV/0!</v>
      </c>
      <c r="N63" s="612">
        <f>SUM(N64:N67)</f>
        <v>0</v>
      </c>
      <c r="O63" s="632"/>
      <c r="P63" s="475">
        <f>SUM(P64:P68)</f>
        <v>0</v>
      </c>
      <c r="Q63" s="716" t="str">
        <f>P63/P$29</f>
        <v>#DIV/0!</v>
      </c>
      <c r="R63" s="685">
        <f>SUM(R64:R68)</f>
        <v>0</v>
      </c>
      <c r="S63" s="731" t="str">
        <f>R63/R$29</f>
        <v>#DIV/0!</v>
      </c>
      <c r="T63" s="685">
        <f>SUM(T64:T67)</f>
        <v>0</v>
      </c>
      <c r="U63" s="450"/>
      <c r="V63" s="427"/>
      <c r="W63" s="427"/>
      <c r="X63" s="427"/>
      <c r="Y63" s="427"/>
      <c r="Z63" s="427"/>
      <c r="AA63" s="427"/>
      <c r="AB63" s="427"/>
      <c r="AC63" s="427"/>
    </row>
    <row r="64" ht="15.75" customHeight="1">
      <c r="A64" s="425"/>
      <c r="B64" s="481"/>
      <c r="C64" s="1108" t="s">
        <v>215</v>
      </c>
      <c r="D64" s="523"/>
      <c r="E64" s="522"/>
      <c r="F64" s="610"/>
      <c r="G64" s="630"/>
      <c r="H64" s="610"/>
      <c r="I64" s="631"/>
      <c r="J64" s="448"/>
      <c r="K64" s="521"/>
      <c r="L64" s="612"/>
      <c r="M64" s="242"/>
      <c r="N64" s="612"/>
      <c r="O64" s="632"/>
      <c r="P64" s="482"/>
      <c r="Q64" s="454"/>
      <c r="R64" s="685"/>
      <c r="S64" s="450"/>
      <c r="T64" s="685"/>
      <c r="U64" s="450"/>
      <c r="V64" s="425"/>
      <c r="W64" s="425"/>
      <c r="X64" s="425"/>
      <c r="Y64" s="425"/>
      <c r="Z64" s="425"/>
      <c r="AA64" s="425"/>
      <c r="AB64" s="425"/>
      <c r="AC64" s="425"/>
    </row>
    <row r="65" ht="15.75" customHeight="1">
      <c r="A65" s="425"/>
      <c r="B65" s="450"/>
      <c r="C65" s="1109" t="s">
        <v>216</v>
      </c>
      <c r="D65" s="501"/>
      <c r="E65" s="521"/>
      <c r="F65" s="612"/>
      <c r="G65" s="242"/>
      <c r="H65" s="612"/>
      <c r="I65" s="633"/>
      <c r="J65" s="452"/>
      <c r="K65" s="521"/>
      <c r="L65" s="612"/>
      <c r="M65" s="242"/>
      <c r="N65" s="612"/>
      <c r="O65" s="632"/>
      <c r="P65" s="459"/>
      <c r="Q65" s="454"/>
      <c r="R65" s="685"/>
      <c r="S65" s="450"/>
      <c r="T65" s="685"/>
      <c r="U65" s="450"/>
      <c r="V65" s="425"/>
      <c r="W65" s="425"/>
      <c r="X65" s="425"/>
      <c r="Y65" s="425"/>
      <c r="Z65" s="425"/>
      <c r="AA65" s="425"/>
      <c r="AB65" s="425"/>
      <c r="AC65" s="425"/>
    </row>
    <row r="66" ht="15.75" customHeight="1">
      <c r="A66" s="425"/>
      <c r="B66" s="450"/>
      <c r="C66" s="1109" t="s">
        <v>272</v>
      </c>
      <c r="D66" s="501">
        <v>51122.0</v>
      </c>
      <c r="E66" s="1052" t="str">
        <f t="shared" ref="E66:E67" si="4">D66/D18</f>
        <v>#DIV/0!</v>
      </c>
      <c r="F66" s="612"/>
      <c r="G66" s="1052"/>
      <c r="H66" s="612"/>
      <c r="I66" s="633"/>
      <c r="J66" s="452">
        <v>49432.0</v>
      </c>
      <c r="K66" s="1052" t="str">
        <f t="shared" ref="K66:K67" si="5">J66/J18</f>
        <v>#DIV/0!</v>
      </c>
      <c r="L66" s="612"/>
      <c r="M66" s="1052"/>
      <c r="N66" s="612"/>
      <c r="O66" s="632"/>
      <c r="P66" s="459"/>
      <c r="Q66" s="731" t="str">
        <f t="shared" ref="Q66:Q67" si="6">P66/P18</f>
        <v>#DIV/0!</v>
      </c>
      <c r="R66" s="685"/>
      <c r="S66" s="731"/>
      <c r="T66" s="685"/>
      <c r="U66" s="450"/>
      <c r="V66" s="425"/>
      <c r="W66" s="425"/>
      <c r="X66" s="425"/>
      <c r="Y66" s="425"/>
      <c r="Z66" s="425"/>
      <c r="AA66" s="425"/>
      <c r="AB66" s="425"/>
      <c r="AC66" s="425"/>
    </row>
    <row r="67" ht="15.75" customHeight="1">
      <c r="A67" s="425"/>
      <c r="B67" s="450"/>
      <c r="C67" s="1109" t="s">
        <v>308</v>
      </c>
      <c r="D67" s="501">
        <v>22144.56</v>
      </c>
      <c r="E67" s="1052">
        <f t="shared" si="4"/>
        <v>0.04277819418</v>
      </c>
      <c r="F67" s="612"/>
      <c r="G67" s="1052"/>
      <c r="H67" s="612"/>
      <c r="I67" s="633"/>
      <c r="J67" s="452">
        <v>23456.0</v>
      </c>
      <c r="K67" s="1052">
        <f t="shared" si="5"/>
        <v>0.04625654476</v>
      </c>
      <c r="L67" s="612"/>
      <c r="M67" s="1052"/>
      <c r="N67" s="612"/>
      <c r="O67" s="632"/>
      <c r="P67" s="459"/>
      <c r="Q67" s="731" t="str">
        <f t="shared" si="6"/>
        <v>#DIV/0!</v>
      </c>
      <c r="R67" s="685"/>
      <c r="S67" s="731"/>
      <c r="T67" s="685"/>
      <c r="U67" s="450"/>
      <c r="V67" s="425"/>
      <c r="W67" s="425"/>
      <c r="X67" s="425"/>
      <c r="Y67" s="425"/>
      <c r="Z67" s="425"/>
      <c r="AA67" s="425"/>
      <c r="AB67" s="425"/>
      <c r="AC67" s="425"/>
    </row>
    <row r="68" ht="15.75" customHeight="1">
      <c r="A68" s="425"/>
      <c r="B68" s="450"/>
      <c r="C68" s="1109" t="s">
        <v>361</v>
      </c>
      <c r="D68" s="501">
        <v>0.0</v>
      </c>
      <c r="E68" s="1052">
        <f>D68/D29</f>
        <v>0</v>
      </c>
      <c r="F68" s="612"/>
      <c r="G68" s="1052"/>
      <c r="H68" s="612"/>
      <c r="I68" s="633"/>
      <c r="J68" s="452">
        <v>0.0</v>
      </c>
      <c r="K68" s="1052">
        <f>J68/J29</f>
        <v>0</v>
      </c>
      <c r="L68" s="612"/>
      <c r="M68" s="1052"/>
      <c r="N68" s="612"/>
      <c r="O68" s="632"/>
      <c r="P68" s="459"/>
      <c r="Q68" s="731" t="str">
        <f>P68/P29</f>
        <v>#DIV/0!</v>
      </c>
      <c r="R68" s="685"/>
      <c r="S68" s="731"/>
      <c r="T68" s="685"/>
      <c r="U68" s="450"/>
      <c r="V68" s="425"/>
      <c r="W68" s="425"/>
      <c r="X68" s="425"/>
      <c r="Y68" s="425"/>
      <c r="Z68" s="425"/>
      <c r="AA68" s="425"/>
      <c r="AB68" s="425"/>
      <c r="AC68" s="425"/>
    </row>
    <row r="69" ht="15.75" customHeight="1">
      <c r="A69" s="425"/>
      <c r="B69" s="468"/>
      <c r="C69" s="1110"/>
      <c r="D69" s="527"/>
      <c r="E69" s="526"/>
      <c r="F69" s="636"/>
      <c r="G69" s="636"/>
      <c r="H69" s="636"/>
      <c r="I69" s="638"/>
      <c r="J69" s="470"/>
      <c r="K69" s="521"/>
      <c r="L69" s="242"/>
      <c r="M69" s="242"/>
      <c r="N69" s="242"/>
      <c r="O69" s="632"/>
      <c r="P69" s="472"/>
      <c r="Q69" s="454"/>
      <c r="R69" s="450"/>
      <c r="S69" s="450"/>
      <c r="T69" s="450"/>
      <c r="U69" s="450"/>
      <c r="V69" s="425"/>
      <c r="W69" s="425"/>
      <c r="X69" s="425"/>
      <c r="Y69" s="425"/>
      <c r="Z69" s="425"/>
      <c r="AA69" s="425"/>
      <c r="AB69" s="425"/>
      <c r="AC69" s="425"/>
    </row>
    <row r="70" ht="15.75" customHeight="1">
      <c r="A70" s="425"/>
      <c r="B70" s="477"/>
      <c r="C70" s="492" t="s">
        <v>219</v>
      </c>
      <c r="D70" s="475">
        <f>SUM(D71:D74)</f>
        <v>0</v>
      </c>
      <c r="E70" s="581">
        <f>D70/D$29</f>
        <v>0</v>
      </c>
      <c r="F70" s="474">
        <f>SUM(F71:F74)</f>
        <v>0</v>
      </c>
      <c r="G70" s="1044" t="str">
        <f>F70/F$29</f>
        <v>#DIV/0!</v>
      </c>
      <c r="H70" s="1054">
        <f>SUM(H71:H74)</f>
        <v>0</v>
      </c>
      <c r="I70" s="474"/>
      <c r="J70" s="475">
        <f>SUM(J71:J74)</f>
        <v>0</v>
      </c>
      <c r="K70" s="706">
        <f>J70/J$29</f>
        <v>0</v>
      </c>
      <c r="L70" s="1116">
        <f>SUM(L71:L74)</f>
        <v>0</v>
      </c>
      <c r="M70" s="1135" t="str">
        <f>L70/L$29</f>
        <v>#DIV/0!</v>
      </c>
      <c r="N70" s="1136">
        <f>SUM(N71:N74)</f>
        <v>0</v>
      </c>
      <c r="O70" s="1117"/>
      <c r="P70" s="475">
        <f>SUM(P71:P74)</f>
        <v>0</v>
      </c>
      <c r="Q70" s="738" t="str">
        <f>P70/P$29</f>
        <v>#DIV/0!</v>
      </c>
      <c r="R70" s="466">
        <f>SUM(R71:R74)</f>
        <v>0</v>
      </c>
      <c r="S70" s="1137" t="str">
        <f>R70/R$29</f>
        <v>#DIV/0!</v>
      </c>
      <c r="T70" s="1138">
        <f>SUM(T71:T74)</f>
        <v>0</v>
      </c>
      <c r="U70" s="466"/>
      <c r="V70" s="427"/>
      <c r="W70" s="427"/>
      <c r="X70" s="427"/>
      <c r="Y70" s="427"/>
      <c r="Z70" s="427"/>
      <c r="AA70" s="427"/>
      <c r="AB70" s="427"/>
      <c r="AC70" s="427"/>
    </row>
    <row r="71" ht="15.75" customHeight="1">
      <c r="A71" s="425"/>
      <c r="B71" s="481"/>
      <c r="C71" s="1108" t="s">
        <v>220</v>
      </c>
      <c r="D71" s="523"/>
      <c r="E71" s="533"/>
      <c r="F71" s="630"/>
      <c r="G71" s="1055"/>
      <c r="H71" s="610"/>
      <c r="I71" s="631"/>
      <c r="J71" s="448"/>
      <c r="K71" s="538"/>
      <c r="L71" s="242"/>
      <c r="M71" s="1052"/>
      <c r="N71" s="612"/>
      <c r="O71" s="632"/>
      <c r="P71" s="482"/>
      <c r="Q71" s="716"/>
      <c r="R71" s="450"/>
      <c r="S71" s="731"/>
      <c r="T71" s="685"/>
      <c r="U71" s="450"/>
      <c r="V71" s="425"/>
      <c r="W71" s="425"/>
      <c r="X71" s="425"/>
      <c r="Y71" s="425"/>
      <c r="Z71" s="425"/>
      <c r="AA71" s="425"/>
      <c r="AB71" s="425"/>
      <c r="AC71" s="425"/>
    </row>
    <row r="72" ht="15.75" customHeight="1">
      <c r="A72" s="425"/>
      <c r="B72" s="450"/>
      <c r="C72" s="1109" t="s">
        <v>221</v>
      </c>
      <c r="D72" s="501"/>
      <c r="E72" s="538"/>
      <c r="F72" s="242"/>
      <c r="G72" s="1052"/>
      <c r="H72" s="612"/>
      <c r="I72" s="633"/>
      <c r="J72" s="452"/>
      <c r="K72" s="538"/>
      <c r="L72" s="242"/>
      <c r="M72" s="1052"/>
      <c r="N72" s="612"/>
      <c r="O72" s="632"/>
      <c r="P72" s="459"/>
      <c r="Q72" s="716"/>
      <c r="R72" s="450"/>
      <c r="S72" s="731"/>
      <c r="T72" s="685"/>
      <c r="U72" s="450"/>
      <c r="V72" s="425"/>
      <c r="W72" s="425"/>
      <c r="X72" s="425"/>
      <c r="Y72" s="425"/>
      <c r="Z72" s="425"/>
      <c r="AA72" s="425"/>
      <c r="AB72" s="425"/>
      <c r="AC72" s="425"/>
    </row>
    <row r="73" ht="15.75" customHeight="1">
      <c r="A73" s="425"/>
      <c r="B73" s="450"/>
      <c r="C73" s="1109" t="s">
        <v>222</v>
      </c>
      <c r="D73" s="501"/>
      <c r="E73" s="521"/>
      <c r="F73" s="242"/>
      <c r="G73" s="242"/>
      <c r="H73" s="242"/>
      <c r="I73" s="633"/>
      <c r="J73" s="452"/>
      <c r="K73" s="521"/>
      <c r="L73" s="242"/>
      <c r="M73" s="242"/>
      <c r="N73" s="242"/>
      <c r="O73" s="632"/>
      <c r="P73" s="459"/>
      <c r="Q73" s="454"/>
      <c r="R73" s="450"/>
      <c r="S73" s="450"/>
      <c r="T73" s="450"/>
      <c r="U73" s="450"/>
      <c r="V73" s="425"/>
      <c r="W73" s="425"/>
      <c r="X73" s="425"/>
      <c r="Y73" s="425"/>
      <c r="Z73" s="425"/>
      <c r="AA73" s="425"/>
      <c r="AB73" s="425"/>
      <c r="AC73" s="425"/>
    </row>
    <row r="74" ht="15.75" customHeight="1">
      <c r="A74" s="425"/>
      <c r="B74" s="450"/>
      <c r="C74" s="1109" t="s">
        <v>223</v>
      </c>
      <c r="D74" s="501"/>
      <c r="E74" s="521"/>
      <c r="F74" s="242"/>
      <c r="G74" s="242"/>
      <c r="H74" s="242"/>
      <c r="I74" s="633"/>
      <c r="J74" s="452"/>
      <c r="K74" s="521"/>
      <c r="L74" s="242"/>
      <c r="M74" s="242"/>
      <c r="N74" s="242"/>
      <c r="O74" s="632"/>
      <c r="P74" s="459"/>
      <c r="Q74" s="454"/>
      <c r="R74" s="450"/>
      <c r="S74" s="450"/>
      <c r="T74" s="450"/>
      <c r="U74" s="450"/>
      <c r="V74" s="425"/>
      <c r="W74" s="425"/>
      <c r="X74" s="425"/>
      <c r="Y74" s="425"/>
      <c r="Z74" s="425"/>
      <c r="AA74" s="425"/>
      <c r="AB74" s="425"/>
      <c r="AC74" s="425"/>
    </row>
    <row r="75" ht="15.75" customHeight="1">
      <c r="A75" s="425"/>
      <c r="B75" s="450"/>
      <c r="C75" s="1109" t="s">
        <v>362</v>
      </c>
      <c r="D75" s="501"/>
      <c r="E75" s="521"/>
      <c r="F75" s="242"/>
      <c r="G75" s="242"/>
      <c r="H75" s="242"/>
      <c r="I75" s="633"/>
      <c r="J75" s="452"/>
      <c r="K75" s="521"/>
      <c r="L75" s="242"/>
      <c r="M75" s="242"/>
      <c r="N75" s="242"/>
      <c r="O75" s="632"/>
      <c r="P75" s="459"/>
      <c r="Q75" s="454"/>
      <c r="R75" s="450"/>
      <c r="S75" s="450"/>
      <c r="T75" s="450"/>
      <c r="U75" s="450"/>
      <c r="V75" s="425"/>
      <c r="W75" s="425"/>
      <c r="X75" s="425"/>
      <c r="Y75" s="425"/>
      <c r="Z75" s="425"/>
      <c r="AA75" s="425"/>
      <c r="AB75" s="425"/>
      <c r="AC75" s="425"/>
    </row>
    <row r="76" ht="15.75" customHeight="1">
      <c r="A76" s="425"/>
      <c r="B76" s="468"/>
      <c r="C76" s="1134"/>
      <c r="D76" s="527"/>
      <c r="E76" s="526"/>
      <c r="F76" s="636"/>
      <c r="G76" s="636"/>
      <c r="H76" s="636"/>
      <c r="I76" s="638"/>
      <c r="J76" s="470"/>
      <c r="K76" s="521"/>
      <c r="L76" s="242"/>
      <c r="M76" s="242"/>
      <c r="N76" s="242"/>
      <c r="O76" s="632"/>
      <c r="P76" s="472"/>
      <c r="Q76" s="454"/>
      <c r="R76" s="450"/>
      <c r="S76" s="450"/>
      <c r="T76" s="450"/>
      <c r="U76" s="450"/>
      <c r="V76" s="425"/>
      <c r="W76" s="425"/>
      <c r="X76" s="425"/>
      <c r="Y76" s="425"/>
      <c r="Z76" s="425"/>
      <c r="AA76" s="425"/>
      <c r="AB76" s="425"/>
      <c r="AC76" s="425"/>
    </row>
    <row r="77" ht="15.75" customHeight="1">
      <c r="A77" s="425"/>
      <c r="B77" s="477"/>
      <c r="C77" s="492" t="s">
        <v>37</v>
      </c>
      <c r="D77" s="475">
        <f>SUM(D78:D85)</f>
        <v>497550.5</v>
      </c>
      <c r="E77" s="581">
        <f>D77/D$29</f>
        <v>0.7819567838</v>
      </c>
      <c r="F77" s="627">
        <f>SUM(F78:F85)</f>
        <v>0</v>
      </c>
      <c r="G77" s="1044" t="str">
        <f>F77/F$29</f>
        <v>#DIV/0!</v>
      </c>
      <c r="H77" s="627">
        <f>SUM(H78:H85)</f>
        <v>0</v>
      </c>
      <c r="I77" s="474"/>
      <c r="J77" s="475">
        <f>SUM(J78:J85)</f>
        <v>706216</v>
      </c>
      <c r="K77" s="541">
        <f>J77/J$29</f>
        <v>1.175662898</v>
      </c>
      <c r="L77" s="612">
        <f>SUM(L78:L85)</f>
        <v>0</v>
      </c>
      <c r="M77" s="1052" t="str">
        <f>L77/L$29</f>
        <v>#DIV/0!</v>
      </c>
      <c r="N77" s="612">
        <f>SUM(N78:N85)</f>
        <v>0</v>
      </c>
      <c r="O77" s="632"/>
      <c r="P77" s="475">
        <f>SUM(P78:P85)</f>
        <v>0</v>
      </c>
      <c r="Q77" s="716" t="str">
        <f>P77/P$29</f>
        <v>#DIV/0!</v>
      </c>
      <c r="R77" s="685">
        <f>SUM(R78:R85)</f>
        <v>0</v>
      </c>
      <c r="S77" s="731" t="str">
        <f>R77/R$29</f>
        <v>#DIV/0!</v>
      </c>
      <c r="T77" s="685">
        <f>SUM(T78:T85)</f>
        <v>0</v>
      </c>
      <c r="U77" s="450"/>
      <c r="V77" s="427"/>
      <c r="W77" s="427"/>
      <c r="X77" s="427"/>
      <c r="Y77" s="427"/>
      <c r="Z77" s="427"/>
      <c r="AA77" s="427"/>
      <c r="AB77" s="427"/>
      <c r="AC77" s="427"/>
    </row>
    <row r="78" ht="15.75" customHeight="1">
      <c r="A78" s="425"/>
      <c r="B78" s="481"/>
      <c r="C78" s="1108" t="s">
        <v>224</v>
      </c>
      <c r="D78" s="523"/>
      <c r="E78" s="533"/>
      <c r="F78" s="630"/>
      <c r="G78" s="1055"/>
      <c r="H78" s="610"/>
      <c r="I78" s="631"/>
      <c r="J78" s="448"/>
      <c r="K78" s="538"/>
      <c r="L78" s="242"/>
      <c r="M78" s="1052"/>
      <c r="N78" s="612"/>
      <c r="O78" s="632"/>
      <c r="P78" s="482"/>
      <c r="Q78" s="716"/>
      <c r="R78" s="450"/>
      <c r="S78" s="731"/>
      <c r="T78" s="685"/>
      <c r="U78" s="450"/>
      <c r="V78" s="425"/>
      <c r="W78" s="425"/>
      <c r="X78" s="425"/>
      <c r="Y78" s="425"/>
      <c r="Z78" s="425"/>
      <c r="AA78" s="425"/>
      <c r="AB78" s="425"/>
      <c r="AC78" s="425"/>
    </row>
    <row r="79" ht="15.75" customHeight="1">
      <c r="A79" s="425"/>
      <c r="B79" s="450"/>
      <c r="C79" s="1109" t="s">
        <v>225</v>
      </c>
      <c r="D79" s="501">
        <v>140157.0</v>
      </c>
      <c r="E79" s="538"/>
      <c r="F79" s="242"/>
      <c r="G79" s="1052"/>
      <c r="H79" s="612"/>
      <c r="I79" s="633"/>
      <c r="J79" s="452">
        <v>131624.0</v>
      </c>
      <c r="K79" s="538"/>
      <c r="L79" s="242"/>
      <c r="M79" s="1052"/>
      <c r="N79" s="612"/>
      <c r="O79" s="632"/>
      <c r="P79" s="459"/>
      <c r="Q79" s="716"/>
      <c r="R79" s="450"/>
      <c r="S79" s="731"/>
      <c r="T79" s="685"/>
      <c r="U79" s="450"/>
      <c r="V79" s="425"/>
      <c r="W79" s="425"/>
      <c r="X79" s="425"/>
      <c r="Y79" s="425"/>
      <c r="Z79" s="425"/>
      <c r="AA79" s="425"/>
      <c r="AB79" s="425"/>
      <c r="AC79" s="425"/>
    </row>
    <row r="80" ht="15.75" customHeight="1">
      <c r="A80" s="425"/>
      <c r="B80" s="450"/>
      <c r="C80" s="1109" t="s">
        <v>363</v>
      </c>
      <c r="D80" s="501">
        <f>535355/2</f>
        <v>267677.5</v>
      </c>
      <c r="E80" s="538"/>
      <c r="F80" s="242"/>
      <c r="G80" s="1052"/>
      <c r="H80" s="612"/>
      <c r="I80" s="633"/>
      <c r="J80" s="452">
        <v>479850.0</v>
      </c>
      <c r="K80" s="538"/>
      <c r="L80" s="242"/>
      <c r="M80" s="1052"/>
      <c r="N80" s="612"/>
      <c r="O80" s="632"/>
      <c r="P80" s="459"/>
      <c r="Q80" s="716"/>
      <c r="R80" s="450"/>
      <c r="S80" s="731"/>
      <c r="T80" s="685"/>
      <c r="U80" s="450"/>
      <c r="V80" s="425"/>
      <c r="W80" s="425"/>
      <c r="X80" s="425"/>
      <c r="Y80" s="425"/>
      <c r="Z80" s="425"/>
      <c r="AA80" s="425"/>
      <c r="AB80" s="425"/>
      <c r="AC80" s="425"/>
    </row>
    <row r="81" ht="15.75" customHeight="1">
      <c r="A81" s="425"/>
      <c r="B81" s="450"/>
      <c r="C81" s="1109" t="s">
        <v>226</v>
      </c>
      <c r="D81" s="501">
        <v>709.0</v>
      </c>
      <c r="E81" s="538"/>
      <c r="F81" s="242"/>
      <c r="G81" s="1052"/>
      <c r="H81" s="612"/>
      <c r="I81" s="633"/>
      <c r="J81" s="452">
        <v>6342.0</v>
      </c>
      <c r="K81" s="538"/>
      <c r="L81" s="242"/>
      <c r="M81" s="1052"/>
      <c r="N81" s="612"/>
      <c r="O81" s="632"/>
      <c r="P81" s="459"/>
      <c r="Q81" s="716"/>
      <c r="R81" s="450"/>
      <c r="S81" s="731"/>
      <c r="T81" s="685"/>
      <c r="U81" s="450"/>
      <c r="V81" s="425"/>
      <c r="W81" s="425"/>
      <c r="X81" s="425"/>
      <c r="Y81" s="425"/>
      <c r="Z81" s="425"/>
      <c r="AA81" s="425"/>
      <c r="AB81" s="425"/>
      <c r="AC81" s="425"/>
    </row>
    <row r="82" ht="15.75" customHeight="1">
      <c r="A82" s="425"/>
      <c r="B82" s="450"/>
      <c r="C82" s="1109" t="s">
        <v>228</v>
      </c>
      <c r="D82" s="501"/>
      <c r="E82" s="538"/>
      <c r="F82" s="242"/>
      <c r="G82" s="1052"/>
      <c r="H82" s="612"/>
      <c r="I82" s="633"/>
      <c r="J82" s="452">
        <v>0.0</v>
      </c>
      <c r="K82" s="538"/>
      <c r="L82" s="242"/>
      <c r="M82" s="1052"/>
      <c r="N82" s="612"/>
      <c r="O82" s="632"/>
      <c r="P82" s="459"/>
      <c r="Q82" s="716"/>
      <c r="R82" s="450"/>
      <c r="S82" s="731"/>
      <c r="T82" s="685"/>
      <c r="U82" s="450"/>
      <c r="V82" s="425"/>
      <c r="W82" s="425"/>
      <c r="X82" s="425"/>
      <c r="Y82" s="425"/>
      <c r="Z82" s="425"/>
      <c r="AA82" s="425"/>
      <c r="AB82" s="425"/>
      <c r="AC82" s="425"/>
    </row>
    <row r="83" ht="15.75" customHeight="1">
      <c r="A83" s="425"/>
      <c r="B83" s="450"/>
      <c r="C83" s="1109" t="s">
        <v>229</v>
      </c>
      <c r="D83" s="501"/>
      <c r="E83" s="538"/>
      <c r="F83" s="242"/>
      <c r="G83" s="1052"/>
      <c r="H83" s="612"/>
      <c r="I83" s="633"/>
      <c r="J83" s="452"/>
      <c r="K83" s="538"/>
      <c r="L83" s="242"/>
      <c r="M83" s="1052"/>
      <c r="N83" s="612"/>
      <c r="O83" s="632"/>
      <c r="P83" s="459"/>
      <c r="Q83" s="716"/>
      <c r="R83" s="450"/>
      <c r="S83" s="731"/>
      <c r="T83" s="685"/>
      <c r="U83" s="450"/>
      <c r="V83" s="425"/>
      <c r="W83" s="425"/>
      <c r="X83" s="425"/>
      <c r="Y83" s="425"/>
      <c r="Z83" s="425"/>
      <c r="AA83" s="425"/>
      <c r="AB83" s="425"/>
      <c r="AC83" s="425"/>
    </row>
    <row r="84" ht="15.75" customHeight="1">
      <c r="A84" s="425"/>
      <c r="B84" s="450"/>
      <c r="C84" s="1109" t="s">
        <v>230</v>
      </c>
      <c r="D84" s="501">
        <v>4507.0</v>
      </c>
      <c r="E84" s="538"/>
      <c r="F84" s="242"/>
      <c r="G84" s="1052"/>
      <c r="H84" s="612"/>
      <c r="I84" s="633"/>
      <c r="J84" s="452">
        <v>3900.0</v>
      </c>
      <c r="K84" s="538"/>
      <c r="L84" s="242"/>
      <c r="M84" s="1052"/>
      <c r="N84" s="612"/>
      <c r="O84" s="632"/>
      <c r="P84" s="459"/>
      <c r="Q84" s="716"/>
      <c r="R84" s="450"/>
      <c r="S84" s="731"/>
      <c r="T84" s="685"/>
      <c r="U84" s="450"/>
      <c r="V84" s="425"/>
      <c r="W84" s="425"/>
      <c r="X84" s="425"/>
      <c r="Y84" s="425"/>
      <c r="Z84" s="425"/>
      <c r="AA84" s="425"/>
      <c r="AB84" s="425"/>
      <c r="AC84" s="425"/>
    </row>
    <row r="85" ht="15.75" customHeight="1">
      <c r="A85" s="425"/>
      <c r="B85" s="450"/>
      <c r="C85" s="1109" t="s">
        <v>231</v>
      </c>
      <c r="D85" s="501">
        <v>84500.0</v>
      </c>
      <c r="E85" s="538"/>
      <c r="F85" s="242"/>
      <c r="G85" s="1052"/>
      <c r="H85" s="612"/>
      <c r="I85" s="633"/>
      <c r="J85" s="452">
        <v>84500.0</v>
      </c>
      <c r="K85" s="538"/>
      <c r="L85" s="242"/>
      <c r="M85" s="1052"/>
      <c r="N85" s="612"/>
      <c r="O85" s="632"/>
      <c r="P85" s="459"/>
      <c r="Q85" s="716"/>
      <c r="R85" s="450"/>
      <c r="S85" s="731"/>
      <c r="T85" s="685"/>
      <c r="U85" s="450"/>
      <c r="V85" s="425"/>
      <c r="W85" s="425"/>
      <c r="X85" s="425"/>
      <c r="Y85" s="425"/>
      <c r="Z85" s="425"/>
      <c r="AA85" s="425"/>
      <c r="AB85" s="425"/>
      <c r="AC85" s="425"/>
    </row>
    <row r="86" ht="15.75" customHeight="1">
      <c r="A86" s="425"/>
      <c r="B86" s="450"/>
      <c r="C86" s="1109" t="s">
        <v>230</v>
      </c>
      <c r="D86" s="501"/>
      <c r="E86" s="521"/>
      <c r="F86" s="242"/>
      <c r="G86" s="242"/>
      <c r="H86" s="612"/>
      <c r="I86" s="633"/>
      <c r="J86" s="452"/>
      <c r="K86" s="521"/>
      <c r="L86" s="242"/>
      <c r="M86" s="242"/>
      <c r="N86" s="612"/>
      <c r="O86" s="632"/>
      <c r="P86" s="459"/>
      <c r="Q86" s="454"/>
      <c r="R86" s="450"/>
      <c r="S86" s="450"/>
      <c r="T86" s="685"/>
      <c r="U86" s="450"/>
      <c r="V86" s="425"/>
      <c r="W86" s="425"/>
      <c r="X86" s="425"/>
      <c r="Y86" s="425"/>
      <c r="Z86" s="425"/>
      <c r="AA86" s="425"/>
      <c r="AB86" s="425"/>
      <c r="AC86" s="425"/>
    </row>
    <row r="87" ht="15.75" customHeight="1">
      <c r="A87" s="425"/>
      <c r="B87" s="450"/>
      <c r="C87" s="1109" t="s">
        <v>226</v>
      </c>
      <c r="D87" s="501"/>
      <c r="E87" s="521"/>
      <c r="F87" s="242"/>
      <c r="G87" s="242"/>
      <c r="H87" s="242"/>
      <c r="I87" s="633"/>
      <c r="J87" s="452"/>
      <c r="K87" s="521"/>
      <c r="L87" s="242"/>
      <c r="M87" s="242"/>
      <c r="N87" s="242"/>
      <c r="O87" s="632"/>
      <c r="P87" s="459"/>
      <c r="Q87" s="454"/>
      <c r="R87" s="450"/>
      <c r="S87" s="450"/>
      <c r="T87" s="450"/>
      <c r="U87" s="450"/>
      <c r="V87" s="425"/>
      <c r="W87" s="425"/>
      <c r="X87" s="425"/>
      <c r="Y87" s="425"/>
      <c r="Z87" s="425"/>
      <c r="AA87" s="425"/>
      <c r="AB87" s="425"/>
      <c r="AC87" s="425"/>
    </row>
    <row r="88" ht="15.75" customHeight="1">
      <c r="A88" s="425"/>
      <c r="B88" s="468"/>
      <c r="C88" s="1134"/>
      <c r="D88" s="527"/>
      <c r="E88" s="526"/>
      <c r="F88" s="636"/>
      <c r="G88" s="636"/>
      <c r="H88" s="636"/>
      <c r="I88" s="638"/>
      <c r="J88" s="470"/>
      <c r="K88" s="521"/>
      <c r="L88" s="242"/>
      <c r="M88" s="242"/>
      <c r="N88" s="242"/>
      <c r="O88" s="632"/>
      <c r="P88" s="472"/>
      <c r="Q88" s="454"/>
      <c r="R88" s="450"/>
      <c r="S88" s="450"/>
      <c r="T88" s="450"/>
      <c r="U88" s="450"/>
      <c r="V88" s="425"/>
      <c r="W88" s="425"/>
      <c r="X88" s="425"/>
      <c r="Y88" s="425"/>
      <c r="Z88" s="425"/>
      <c r="AA88" s="425"/>
      <c r="AB88" s="425"/>
      <c r="AC88" s="425"/>
    </row>
    <row r="89" ht="15.75" customHeight="1">
      <c r="A89" s="425"/>
      <c r="B89" s="477"/>
      <c r="C89" s="492" t="s">
        <v>38</v>
      </c>
      <c r="D89" s="475">
        <f>SUM(D90)</f>
        <v>0</v>
      </c>
      <c r="E89" s="581">
        <f>D89/D$29</f>
        <v>0</v>
      </c>
      <c r="F89" s="474">
        <f>SUM(F90)</f>
        <v>0</v>
      </c>
      <c r="G89" s="1044" t="str">
        <f>F89/F$29</f>
        <v>#DIV/0!</v>
      </c>
      <c r="H89" s="1054">
        <f>SUM(H90)</f>
        <v>0</v>
      </c>
      <c r="I89" s="474"/>
      <c r="J89" s="475">
        <f>SUM(J90)</f>
        <v>0</v>
      </c>
      <c r="K89" s="706">
        <f>J89/J$29</f>
        <v>0</v>
      </c>
      <c r="L89" s="1116">
        <f>SUM(L90)</f>
        <v>0</v>
      </c>
      <c r="M89" s="1135" t="str">
        <f>L89/L$29</f>
        <v>#DIV/0!</v>
      </c>
      <c r="N89" s="1136">
        <f>SUM(N90)</f>
        <v>0</v>
      </c>
      <c r="O89" s="1117"/>
      <c r="P89" s="475">
        <f>SUM(P90)</f>
        <v>0</v>
      </c>
      <c r="Q89" s="738" t="str">
        <f>P89/P$29</f>
        <v>#DIV/0!</v>
      </c>
      <c r="R89" s="466">
        <f>SUM(R90)</f>
        <v>0</v>
      </c>
      <c r="S89" s="1137" t="str">
        <f>R89/R$29</f>
        <v>#DIV/0!</v>
      </c>
      <c r="T89" s="1138">
        <f>SUM(T90)</f>
        <v>0</v>
      </c>
      <c r="U89" s="466"/>
      <c r="V89" s="427"/>
      <c r="W89" s="427"/>
      <c r="X89" s="427"/>
      <c r="Y89" s="427"/>
      <c r="Z89" s="427"/>
      <c r="AA89" s="427"/>
      <c r="AB89" s="427"/>
      <c r="AC89" s="427"/>
    </row>
    <row r="90" ht="15.75" customHeight="1">
      <c r="A90" s="425"/>
      <c r="B90" s="481"/>
      <c r="C90" s="1108" t="s">
        <v>276</v>
      </c>
      <c r="D90" s="523">
        <v>0.0</v>
      </c>
      <c r="E90" s="533">
        <f>IFERROR((D90/D$29),"")</f>
        <v>0</v>
      </c>
      <c r="F90" s="630"/>
      <c r="G90" s="630"/>
      <c r="H90" s="610">
        <f>D90-F90</f>
        <v>0</v>
      </c>
      <c r="I90" s="631"/>
      <c r="J90" s="448">
        <v>0.0</v>
      </c>
      <c r="K90" s="538">
        <f>IFERROR((J90/J$29),"")</f>
        <v>0</v>
      </c>
      <c r="L90" s="242"/>
      <c r="M90" s="242"/>
      <c r="N90" s="612">
        <f>J90-L90</f>
        <v>0</v>
      </c>
      <c r="O90" s="632"/>
      <c r="P90" s="482">
        <v>0.0</v>
      </c>
      <c r="Q90" s="716" t="str">
        <f>IFERROR((P90/P$29),"")</f>
        <v/>
      </c>
      <c r="R90" s="450"/>
      <c r="S90" s="450"/>
      <c r="T90" s="685">
        <f>P90-R90</f>
        <v>0</v>
      </c>
      <c r="U90" s="450"/>
      <c r="V90" s="425"/>
      <c r="W90" s="425"/>
      <c r="X90" s="425"/>
      <c r="Y90" s="425"/>
      <c r="Z90" s="425"/>
      <c r="AA90" s="425"/>
      <c r="AB90" s="425"/>
      <c r="AC90" s="425"/>
    </row>
    <row r="91" ht="15.75" customHeight="1">
      <c r="A91" s="425"/>
      <c r="B91" s="468"/>
      <c r="C91" s="1110"/>
      <c r="D91" s="527"/>
      <c r="E91" s="526"/>
      <c r="F91" s="636"/>
      <c r="G91" s="636"/>
      <c r="H91" s="636"/>
      <c r="I91" s="638"/>
      <c r="J91" s="470"/>
      <c r="K91" s="521"/>
      <c r="L91" s="242"/>
      <c r="M91" s="242"/>
      <c r="N91" s="242"/>
      <c r="O91" s="632"/>
      <c r="P91" s="472"/>
      <c r="Q91" s="454"/>
      <c r="R91" s="450"/>
      <c r="S91" s="450"/>
      <c r="T91" s="450"/>
      <c r="U91" s="450"/>
      <c r="V91" s="425"/>
      <c r="W91" s="425"/>
      <c r="X91" s="425"/>
      <c r="Y91" s="425"/>
      <c r="Z91" s="425"/>
      <c r="AA91" s="425"/>
      <c r="AB91" s="425"/>
      <c r="AC91" s="425"/>
    </row>
    <row r="92" ht="15.75" customHeight="1">
      <c r="A92" s="425"/>
      <c r="B92" s="477"/>
      <c r="C92" s="492" t="s">
        <v>238</v>
      </c>
      <c r="D92" s="475">
        <f>SUM(D93:D94)</f>
        <v>1994</v>
      </c>
      <c r="E92" s="581">
        <f>D92/D$29</f>
        <v>0.003133796121</v>
      </c>
      <c r="F92" s="474">
        <f>SUM(F93:F94)</f>
        <v>0</v>
      </c>
      <c r="G92" s="1044" t="str">
        <f>F92/F$29</f>
        <v>#DIV/0!</v>
      </c>
      <c r="H92" s="627">
        <f>SUM(H93:H94)</f>
        <v>0</v>
      </c>
      <c r="I92" s="474"/>
      <c r="J92" s="475">
        <f>SUM(J93:J94)</f>
        <v>0</v>
      </c>
      <c r="K92" s="541">
        <f>J92/J$29</f>
        <v>0</v>
      </c>
      <c r="L92" s="242">
        <f>SUM(L93:L94)</f>
        <v>0</v>
      </c>
      <c r="M92" s="1052" t="str">
        <f>L92/L$29</f>
        <v>#DIV/0!</v>
      </c>
      <c r="N92" s="612">
        <f>SUM(N93:N94)</f>
        <v>0</v>
      </c>
      <c r="O92" s="632"/>
      <c r="P92" s="475">
        <f>SUM(P93:P94)</f>
        <v>0</v>
      </c>
      <c r="Q92" s="716" t="str">
        <f>P92/P$29</f>
        <v>#DIV/0!</v>
      </c>
      <c r="R92" s="450">
        <f>SUM(R93:R94)</f>
        <v>0</v>
      </c>
      <c r="S92" s="731" t="str">
        <f>R92/R$29</f>
        <v>#DIV/0!</v>
      </c>
      <c r="T92" s="685">
        <f>SUM(T93:T94)</f>
        <v>0</v>
      </c>
      <c r="U92" s="450"/>
      <c r="V92" s="427"/>
      <c r="W92" s="427"/>
      <c r="X92" s="427"/>
      <c r="Y92" s="427"/>
      <c r="Z92" s="427"/>
      <c r="AA92" s="427"/>
      <c r="AB92" s="427"/>
      <c r="AC92" s="427"/>
    </row>
    <row r="93" ht="15.75" customHeight="1">
      <c r="A93" s="425"/>
      <c r="B93" s="481"/>
      <c r="C93" s="1108" t="s">
        <v>239</v>
      </c>
      <c r="D93" s="523"/>
      <c r="E93" s="533"/>
      <c r="F93" s="630"/>
      <c r="G93" s="1055"/>
      <c r="H93" s="610"/>
      <c r="I93" s="631"/>
      <c r="J93" s="448"/>
      <c r="K93" s="538"/>
      <c r="L93" s="242"/>
      <c r="M93" s="1052"/>
      <c r="N93" s="612"/>
      <c r="O93" s="632"/>
      <c r="P93" s="482"/>
      <c r="Q93" s="716"/>
      <c r="R93" s="450"/>
      <c r="S93" s="731"/>
      <c r="T93" s="685"/>
      <c r="U93" s="450"/>
      <c r="V93" s="425"/>
      <c r="W93" s="425"/>
      <c r="X93" s="425"/>
      <c r="Y93" s="425"/>
      <c r="Z93" s="425"/>
      <c r="AA93" s="425"/>
      <c r="AB93" s="425"/>
      <c r="AC93" s="425"/>
    </row>
    <row r="94" ht="15.75" customHeight="1">
      <c r="A94" s="425"/>
      <c r="B94" s="450"/>
      <c r="C94" s="1109" t="s">
        <v>289</v>
      </c>
      <c r="D94" s="501">
        <v>1994.0</v>
      </c>
      <c r="E94" s="538"/>
      <c r="F94" s="242"/>
      <c r="G94" s="1052"/>
      <c r="H94" s="612"/>
      <c r="I94" s="633"/>
      <c r="J94" s="452">
        <v>0.0</v>
      </c>
      <c r="K94" s="538"/>
      <c r="L94" s="242"/>
      <c r="M94" s="1052"/>
      <c r="N94" s="612"/>
      <c r="O94" s="632"/>
      <c r="P94" s="459"/>
      <c r="Q94" s="716"/>
      <c r="R94" s="450"/>
      <c r="S94" s="731"/>
      <c r="T94" s="685"/>
      <c r="U94" s="450"/>
      <c r="V94" s="425"/>
      <c r="W94" s="425"/>
      <c r="X94" s="425"/>
      <c r="Y94" s="425"/>
      <c r="Z94" s="425"/>
      <c r="AA94" s="425"/>
      <c r="AB94" s="425"/>
      <c r="AC94" s="425"/>
    </row>
    <row r="95" ht="15.75" customHeight="1">
      <c r="A95" s="425"/>
      <c r="B95" s="468"/>
      <c r="C95" s="1110"/>
      <c r="D95" s="527"/>
      <c r="E95" s="526"/>
      <c r="F95" s="636"/>
      <c r="G95" s="636"/>
      <c r="H95" s="636"/>
      <c r="I95" s="638"/>
      <c r="J95" s="470"/>
      <c r="K95" s="521"/>
      <c r="L95" s="242"/>
      <c r="M95" s="242"/>
      <c r="N95" s="242"/>
      <c r="O95" s="632"/>
      <c r="P95" s="472"/>
      <c r="Q95" s="454"/>
      <c r="R95" s="450"/>
      <c r="S95" s="450"/>
      <c r="T95" s="450"/>
      <c r="U95" s="450"/>
      <c r="V95" s="425"/>
      <c r="W95" s="425"/>
      <c r="X95" s="425"/>
      <c r="Y95" s="425"/>
      <c r="Z95" s="425"/>
      <c r="AA95" s="425"/>
      <c r="AB95" s="425"/>
      <c r="AC95" s="425"/>
    </row>
    <row r="96" ht="15.75" customHeight="1">
      <c r="A96" s="425"/>
      <c r="B96" s="477"/>
      <c r="C96" s="492" t="s">
        <v>40</v>
      </c>
      <c r="D96" s="475">
        <f>SUM(D97:D110)</f>
        <v>75836</v>
      </c>
      <c r="E96" s="581">
        <f>D96/D$29</f>
        <v>0.1191848358</v>
      </c>
      <c r="F96" s="474">
        <f>SUM(F97:F107)</f>
        <v>0</v>
      </c>
      <c r="G96" s="1044" t="str">
        <f>F96/F$29</f>
        <v>#DIV/0!</v>
      </c>
      <c r="H96" s="1054">
        <f>SUM(H97:H107)</f>
        <v>0</v>
      </c>
      <c r="I96" s="474"/>
      <c r="J96" s="475">
        <f>SUM(J97:J110)</f>
        <v>0</v>
      </c>
      <c r="K96" s="541">
        <f>J96/J$29</f>
        <v>0</v>
      </c>
      <c r="L96" s="242">
        <f>SUM(L97:L107)</f>
        <v>0</v>
      </c>
      <c r="M96" s="1052" t="str">
        <f>L96/L$29</f>
        <v>#DIV/0!</v>
      </c>
      <c r="N96" s="1032">
        <f>SUM(N97:N107)</f>
        <v>0</v>
      </c>
      <c r="O96" s="632"/>
      <c r="P96" s="475">
        <f>SUM(P97:P110)</f>
        <v>0</v>
      </c>
      <c r="Q96" s="716" t="str">
        <f>P96/P$29</f>
        <v>#DIV/0!</v>
      </c>
      <c r="R96" s="450">
        <f>SUM(R97:R107)</f>
        <v>0</v>
      </c>
      <c r="S96" s="731" t="str">
        <f>R96/R$29</f>
        <v>#DIV/0!</v>
      </c>
      <c r="T96" s="1033">
        <f>SUM(T97:T107)</f>
        <v>0</v>
      </c>
      <c r="U96" s="450"/>
      <c r="V96" s="427"/>
      <c r="W96" s="427"/>
      <c r="X96" s="427"/>
      <c r="Y96" s="427"/>
      <c r="Z96" s="427"/>
      <c r="AA96" s="427"/>
      <c r="AB96" s="427"/>
      <c r="AC96" s="427"/>
    </row>
    <row r="97" ht="15.75" customHeight="1">
      <c r="A97" s="425"/>
      <c r="B97" s="481"/>
      <c r="C97" s="1108" t="s">
        <v>241</v>
      </c>
      <c r="D97" s="523"/>
      <c r="E97" s="533"/>
      <c r="F97" s="630"/>
      <c r="G97" s="1055"/>
      <c r="H97" s="610"/>
      <c r="I97" s="631"/>
      <c r="J97" s="448"/>
      <c r="K97" s="538"/>
      <c r="L97" s="242"/>
      <c r="M97" s="1052"/>
      <c r="N97" s="612"/>
      <c r="O97" s="632"/>
      <c r="P97" s="482"/>
      <c r="Q97" s="716"/>
      <c r="R97" s="450"/>
      <c r="S97" s="731"/>
      <c r="T97" s="685"/>
      <c r="U97" s="450"/>
      <c r="V97" s="425"/>
      <c r="W97" s="425"/>
      <c r="X97" s="425"/>
      <c r="Y97" s="425"/>
      <c r="Z97" s="425"/>
      <c r="AA97" s="425"/>
      <c r="AB97" s="425"/>
      <c r="AC97" s="425"/>
    </row>
    <row r="98" ht="15.75" customHeight="1">
      <c r="A98" s="425"/>
      <c r="B98" s="450"/>
      <c r="C98" s="1109" t="s">
        <v>242</v>
      </c>
      <c r="D98" s="501"/>
      <c r="E98" s="538"/>
      <c r="F98" s="242"/>
      <c r="G98" s="1052"/>
      <c r="H98" s="612"/>
      <c r="I98" s="633"/>
      <c r="J98" s="452"/>
      <c r="K98" s="538"/>
      <c r="L98" s="242"/>
      <c r="M98" s="1052"/>
      <c r="N98" s="612"/>
      <c r="O98" s="632"/>
      <c r="P98" s="459"/>
      <c r="Q98" s="716"/>
      <c r="R98" s="450"/>
      <c r="S98" s="731"/>
      <c r="T98" s="685"/>
      <c r="U98" s="450"/>
      <c r="V98" s="425"/>
      <c r="W98" s="425"/>
      <c r="X98" s="425"/>
      <c r="Y98" s="425"/>
      <c r="Z98" s="425"/>
      <c r="AA98" s="425"/>
      <c r="AB98" s="425"/>
      <c r="AC98" s="425"/>
    </row>
    <row r="99" ht="15.75" customHeight="1">
      <c r="A99" s="425"/>
      <c r="B99" s="450"/>
      <c r="C99" s="1109" t="s">
        <v>243</v>
      </c>
      <c r="D99" s="501"/>
      <c r="E99" s="538"/>
      <c r="F99" s="242"/>
      <c r="G99" s="1052"/>
      <c r="H99" s="612"/>
      <c r="I99" s="633"/>
      <c r="J99" s="452"/>
      <c r="K99" s="538"/>
      <c r="L99" s="242"/>
      <c r="M99" s="1052"/>
      <c r="N99" s="612"/>
      <c r="O99" s="632"/>
      <c r="P99" s="459"/>
      <c r="Q99" s="716"/>
      <c r="R99" s="450"/>
      <c r="S99" s="731"/>
      <c r="T99" s="685"/>
      <c r="U99" s="450"/>
      <c r="V99" s="425"/>
      <c r="W99" s="425"/>
      <c r="X99" s="425"/>
      <c r="Y99" s="425"/>
      <c r="Z99" s="425"/>
      <c r="AA99" s="425"/>
      <c r="AB99" s="425"/>
      <c r="AC99" s="425"/>
    </row>
    <row r="100" ht="15.75" customHeight="1">
      <c r="A100" s="425"/>
      <c r="B100" s="450"/>
      <c r="C100" s="1109" t="s">
        <v>244</v>
      </c>
      <c r="D100" s="501"/>
      <c r="E100" s="538"/>
      <c r="F100" s="242"/>
      <c r="G100" s="1052"/>
      <c r="H100" s="612"/>
      <c r="I100" s="633"/>
      <c r="J100" s="452"/>
      <c r="K100" s="538"/>
      <c r="L100" s="242"/>
      <c r="M100" s="1052"/>
      <c r="N100" s="612"/>
      <c r="O100" s="632"/>
      <c r="P100" s="459"/>
      <c r="Q100" s="716"/>
      <c r="R100" s="450"/>
      <c r="S100" s="731"/>
      <c r="T100" s="685"/>
      <c r="U100" s="450"/>
      <c r="V100" s="425"/>
      <c r="W100" s="425"/>
      <c r="X100" s="425"/>
      <c r="Y100" s="425"/>
      <c r="Z100" s="425"/>
      <c r="AA100" s="425"/>
      <c r="AB100" s="425"/>
      <c r="AC100" s="425"/>
    </row>
    <row r="101" ht="15.75" customHeight="1">
      <c r="A101" s="425"/>
      <c r="B101" s="450"/>
      <c r="C101" s="1109" t="s">
        <v>290</v>
      </c>
      <c r="D101" s="501"/>
      <c r="E101" s="538"/>
      <c r="F101" s="242"/>
      <c r="G101" s="1052"/>
      <c r="H101" s="612"/>
      <c r="I101" s="633"/>
      <c r="J101" s="452"/>
      <c r="K101" s="538"/>
      <c r="L101" s="242"/>
      <c r="M101" s="1052"/>
      <c r="N101" s="612"/>
      <c r="O101" s="632"/>
      <c r="P101" s="459"/>
      <c r="Q101" s="716"/>
      <c r="R101" s="450"/>
      <c r="S101" s="731"/>
      <c r="T101" s="685"/>
      <c r="U101" s="450"/>
      <c r="V101" s="425"/>
      <c r="W101" s="425"/>
      <c r="X101" s="425"/>
      <c r="Y101" s="425"/>
      <c r="Z101" s="425"/>
      <c r="AA101" s="425"/>
      <c r="AB101" s="425"/>
      <c r="AC101" s="425"/>
    </row>
    <row r="102" ht="15.75" customHeight="1">
      <c r="A102" s="425"/>
      <c r="B102" s="450"/>
      <c r="C102" s="1109" t="s">
        <v>247</v>
      </c>
      <c r="D102" s="501"/>
      <c r="E102" s="538"/>
      <c r="F102" s="242"/>
      <c r="G102" s="1052"/>
      <c r="H102" s="612"/>
      <c r="I102" s="633"/>
      <c r="J102" s="452"/>
      <c r="K102" s="538"/>
      <c r="L102" s="242"/>
      <c r="M102" s="1052"/>
      <c r="N102" s="612"/>
      <c r="O102" s="632"/>
      <c r="P102" s="459"/>
      <c r="Q102" s="716"/>
      <c r="R102" s="450"/>
      <c r="S102" s="731"/>
      <c r="T102" s="685"/>
      <c r="U102" s="450"/>
      <c r="V102" s="425"/>
      <c r="W102" s="425"/>
      <c r="X102" s="425"/>
      <c r="Y102" s="425"/>
      <c r="Z102" s="425"/>
      <c r="AA102" s="425"/>
      <c r="AB102" s="425"/>
      <c r="AC102" s="425"/>
    </row>
    <row r="103" ht="15.75" customHeight="1">
      <c r="A103" s="425"/>
      <c r="B103" s="450"/>
      <c r="C103" s="1109" t="s">
        <v>249</v>
      </c>
      <c r="D103" s="501"/>
      <c r="E103" s="538"/>
      <c r="F103" s="242"/>
      <c r="G103" s="1052"/>
      <c r="H103" s="612"/>
      <c r="I103" s="633"/>
      <c r="J103" s="452"/>
      <c r="K103" s="538"/>
      <c r="L103" s="242"/>
      <c r="M103" s="1052"/>
      <c r="N103" s="612"/>
      <c r="O103" s="632"/>
      <c r="P103" s="459"/>
      <c r="Q103" s="716"/>
      <c r="R103" s="450"/>
      <c r="S103" s="731"/>
      <c r="T103" s="685"/>
      <c r="U103" s="450"/>
      <c r="V103" s="425"/>
      <c r="W103" s="425"/>
      <c r="X103" s="425"/>
      <c r="Y103" s="425"/>
      <c r="Z103" s="425"/>
      <c r="AA103" s="425"/>
      <c r="AB103" s="425"/>
      <c r="AC103" s="425"/>
    </row>
    <row r="104" ht="15.75" customHeight="1">
      <c r="A104" s="425"/>
      <c r="B104" s="450"/>
      <c r="C104" s="1109" t="s">
        <v>250</v>
      </c>
      <c r="D104" s="501"/>
      <c r="E104" s="538"/>
      <c r="F104" s="242"/>
      <c r="G104" s="1052"/>
      <c r="H104" s="612"/>
      <c r="I104" s="633"/>
      <c r="J104" s="452"/>
      <c r="K104" s="538"/>
      <c r="L104" s="242"/>
      <c r="M104" s="1052"/>
      <c r="N104" s="612"/>
      <c r="O104" s="632"/>
      <c r="P104" s="459"/>
      <c r="Q104" s="716"/>
      <c r="R104" s="450"/>
      <c r="S104" s="731"/>
      <c r="T104" s="685"/>
      <c r="U104" s="450"/>
      <c r="V104" s="425"/>
      <c r="W104" s="425"/>
      <c r="X104" s="425"/>
      <c r="Y104" s="425"/>
      <c r="Z104" s="425"/>
      <c r="AA104" s="425"/>
      <c r="AB104" s="425"/>
      <c r="AC104" s="425"/>
    </row>
    <row r="105" ht="15.75" customHeight="1">
      <c r="A105" s="425"/>
      <c r="B105" s="450"/>
      <c r="C105" s="1109" t="s">
        <v>251</v>
      </c>
      <c r="D105" s="501"/>
      <c r="E105" s="538"/>
      <c r="F105" s="242"/>
      <c r="G105" s="1052"/>
      <c r="H105" s="612"/>
      <c r="I105" s="633"/>
      <c r="J105" s="452"/>
      <c r="K105" s="538"/>
      <c r="L105" s="242"/>
      <c r="M105" s="1052"/>
      <c r="N105" s="612"/>
      <c r="O105" s="632"/>
      <c r="P105" s="459"/>
      <c r="Q105" s="716"/>
      <c r="R105" s="450"/>
      <c r="S105" s="731"/>
      <c r="T105" s="685"/>
      <c r="U105" s="450"/>
      <c r="V105" s="425"/>
      <c r="W105" s="425"/>
      <c r="X105" s="425"/>
      <c r="Y105" s="425"/>
      <c r="Z105" s="425"/>
      <c r="AA105" s="425"/>
      <c r="AB105" s="425"/>
      <c r="AC105" s="425"/>
    </row>
    <row r="106" ht="15.75" customHeight="1">
      <c r="A106" s="425"/>
      <c r="B106" s="450"/>
      <c r="C106" s="1109" t="s">
        <v>252</v>
      </c>
      <c r="D106" s="501"/>
      <c r="E106" s="538"/>
      <c r="F106" s="242"/>
      <c r="G106" s="1052"/>
      <c r="H106" s="612"/>
      <c r="I106" s="633"/>
      <c r="J106" s="452"/>
      <c r="K106" s="538"/>
      <c r="L106" s="242"/>
      <c r="M106" s="1052"/>
      <c r="N106" s="612"/>
      <c r="O106" s="632"/>
      <c r="P106" s="459"/>
      <c r="Q106" s="716"/>
      <c r="R106" s="450"/>
      <c r="S106" s="731"/>
      <c r="T106" s="685"/>
      <c r="U106" s="450"/>
      <c r="V106" s="425"/>
      <c r="W106" s="425"/>
      <c r="X106" s="425"/>
      <c r="Y106" s="425"/>
      <c r="Z106" s="425"/>
      <c r="AA106" s="425"/>
      <c r="AB106" s="425"/>
      <c r="AC106" s="425"/>
    </row>
    <row r="107" ht="15.75" customHeight="1">
      <c r="A107" s="425"/>
      <c r="B107" s="450"/>
      <c r="C107" s="1109" t="s">
        <v>303</v>
      </c>
      <c r="D107" s="501"/>
      <c r="E107" s="538"/>
      <c r="F107" s="242"/>
      <c r="G107" s="1052"/>
      <c r="H107" s="612"/>
      <c r="I107" s="633"/>
      <c r="J107" s="452"/>
      <c r="K107" s="538"/>
      <c r="L107" s="242"/>
      <c r="M107" s="1052"/>
      <c r="N107" s="612"/>
      <c r="O107" s="632"/>
      <c r="P107" s="459"/>
      <c r="Q107" s="716"/>
      <c r="R107" s="450"/>
      <c r="S107" s="731"/>
      <c r="T107" s="685"/>
      <c r="U107" s="450"/>
      <c r="V107" s="425"/>
      <c r="W107" s="425"/>
      <c r="X107" s="425"/>
      <c r="Y107" s="425"/>
      <c r="Z107" s="425"/>
      <c r="AA107" s="425"/>
      <c r="AB107" s="425"/>
      <c r="AC107" s="425"/>
    </row>
    <row r="108" ht="15.75" customHeight="1">
      <c r="A108" s="425"/>
      <c r="B108" s="450"/>
      <c r="C108" s="1109" t="s">
        <v>280</v>
      </c>
      <c r="D108" s="501"/>
      <c r="E108" s="538"/>
      <c r="F108" s="242"/>
      <c r="G108" s="1052"/>
      <c r="H108" s="242"/>
      <c r="I108" s="633"/>
      <c r="J108" s="452"/>
      <c r="K108" s="538"/>
      <c r="L108" s="242"/>
      <c r="M108" s="1052"/>
      <c r="N108" s="242"/>
      <c r="O108" s="632"/>
      <c r="P108" s="459"/>
      <c r="Q108" s="716"/>
      <c r="R108" s="450"/>
      <c r="S108" s="731"/>
      <c r="T108" s="450"/>
      <c r="U108" s="450"/>
      <c r="V108" s="425"/>
      <c r="W108" s="425"/>
      <c r="X108" s="425"/>
      <c r="Y108" s="425"/>
      <c r="Z108" s="425"/>
      <c r="AA108" s="425"/>
      <c r="AB108" s="425"/>
      <c r="AC108" s="425"/>
    </row>
    <row r="109" ht="15.75" customHeight="1">
      <c r="A109" s="425"/>
      <c r="B109" s="450"/>
      <c r="C109" s="1109" t="s">
        <v>247</v>
      </c>
      <c r="D109" s="501">
        <v>75836.0</v>
      </c>
      <c r="E109" s="521"/>
      <c r="F109" s="242"/>
      <c r="G109" s="242"/>
      <c r="H109" s="242"/>
      <c r="I109" s="633"/>
      <c r="J109" s="452"/>
      <c r="K109" s="521"/>
      <c r="L109" s="242"/>
      <c r="M109" s="242"/>
      <c r="N109" s="242"/>
      <c r="O109" s="632"/>
      <c r="P109" s="459"/>
      <c r="Q109" s="454"/>
      <c r="R109" s="450"/>
      <c r="S109" s="450"/>
      <c r="T109" s="450"/>
      <c r="U109" s="450"/>
      <c r="V109" s="425"/>
      <c r="W109" s="425"/>
      <c r="X109" s="425"/>
      <c r="Y109" s="425"/>
      <c r="Z109" s="425"/>
      <c r="AA109" s="425"/>
      <c r="AB109" s="425"/>
      <c r="AC109" s="425"/>
    </row>
    <row r="110" ht="15.75" customHeight="1">
      <c r="A110" s="425"/>
      <c r="B110" s="450"/>
      <c r="C110" s="1109" t="s">
        <v>280</v>
      </c>
      <c r="D110" s="501"/>
      <c r="E110" s="521"/>
      <c r="F110" s="242"/>
      <c r="G110" s="242"/>
      <c r="H110" s="242"/>
      <c r="I110" s="633"/>
      <c r="J110" s="452"/>
      <c r="K110" s="521"/>
      <c r="L110" s="242"/>
      <c r="M110" s="242"/>
      <c r="N110" s="242"/>
      <c r="O110" s="632"/>
      <c r="P110" s="459"/>
      <c r="Q110" s="454"/>
      <c r="R110" s="450"/>
      <c r="S110" s="450"/>
      <c r="T110" s="450"/>
      <c r="U110" s="450"/>
      <c r="V110" s="425"/>
      <c r="W110" s="425"/>
      <c r="X110" s="425"/>
      <c r="Y110" s="425"/>
      <c r="Z110" s="425"/>
      <c r="AA110" s="425"/>
      <c r="AB110" s="425"/>
      <c r="AC110" s="425"/>
    </row>
    <row r="111" ht="15.75" customHeight="1">
      <c r="A111" s="425"/>
      <c r="B111" s="468"/>
      <c r="C111" s="504"/>
      <c r="D111" s="527"/>
      <c r="E111" s="526"/>
      <c r="F111" s="636"/>
      <c r="G111" s="636"/>
      <c r="H111" s="636"/>
      <c r="I111" s="638"/>
      <c r="J111" s="470"/>
      <c r="K111" s="521"/>
      <c r="L111" s="242"/>
      <c r="M111" s="242"/>
      <c r="N111" s="242"/>
      <c r="O111" s="632"/>
      <c r="P111" s="472"/>
      <c r="Q111" s="454"/>
      <c r="R111" s="450"/>
      <c r="S111" s="450"/>
      <c r="T111" s="450"/>
      <c r="U111" s="450"/>
      <c r="V111" s="425"/>
      <c r="W111" s="425"/>
      <c r="X111" s="425"/>
      <c r="Y111" s="425"/>
      <c r="Z111" s="425"/>
      <c r="AA111" s="425"/>
      <c r="AB111" s="425"/>
      <c r="AC111" s="425"/>
    </row>
    <row r="112" ht="15.75" customHeight="1">
      <c r="A112" s="425"/>
      <c r="B112" s="477"/>
      <c r="C112" s="492" t="s">
        <v>41</v>
      </c>
      <c r="D112" s="475">
        <f>SUM(D113:D114)</f>
        <v>0</v>
      </c>
      <c r="E112" s="442"/>
      <c r="F112" s="627">
        <f>SUM(F113:F114)</f>
        <v>0</v>
      </c>
      <c r="G112" s="474"/>
      <c r="H112" s="627">
        <f>SUM(H113:H114)</f>
        <v>0</v>
      </c>
      <c r="I112" s="474"/>
      <c r="J112" s="475">
        <f>SUM(J113:J114)</f>
        <v>0</v>
      </c>
      <c r="K112" s="1013"/>
      <c r="L112" s="707">
        <f>SUM(L113:L114)</f>
        <v>0</v>
      </c>
      <c r="M112" s="1116"/>
      <c r="N112" s="707">
        <f>SUM(N113:N114)</f>
        <v>0</v>
      </c>
      <c r="O112" s="1117"/>
      <c r="P112" s="475">
        <f>SUM(P113:P114)</f>
        <v>0</v>
      </c>
      <c r="Q112" s="736"/>
      <c r="R112" s="746">
        <f>SUM(R113:R114)</f>
        <v>0</v>
      </c>
      <c r="S112" s="466"/>
      <c r="T112" s="746">
        <f>SUM(T113:T114)</f>
        <v>0</v>
      </c>
      <c r="U112" s="466"/>
      <c r="V112" s="427"/>
      <c r="W112" s="427"/>
      <c r="X112" s="427"/>
      <c r="Y112" s="427"/>
      <c r="Z112" s="427"/>
      <c r="AA112" s="427"/>
      <c r="AB112" s="427"/>
      <c r="AC112" s="427"/>
    </row>
    <row r="113" ht="15.75" customHeight="1">
      <c r="A113" s="425"/>
      <c r="B113" s="481"/>
      <c r="C113" s="1108" t="s">
        <v>253</v>
      </c>
      <c r="D113" s="523"/>
      <c r="E113" s="533">
        <f t="shared" ref="E113:E114" si="7">IFERROR((D113/D$29),"")</f>
        <v>0</v>
      </c>
      <c r="F113" s="630"/>
      <c r="G113" s="630"/>
      <c r="H113" s="610">
        <f t="shared" ref="H113:H114" si="8">D113-F113</f>
        <v>0</v>
      </c>
      <c r="I113" s="631"/>
      <c r="J113" s="448"/>
      <c r="K113" s="538">
        <f t="shared" ref="K113:K114" si="9">IFERROR((J113/J$29),"")</f>
        <v>0</v>
      </c>
      <c r="L113" s="242"/>
      <c r="M113" s="242"/>
      <c r="N113" s="612">
        <f t="shared" ref="N113:N114" si="10">J113-L113</f>
        <v>0</v>
      </c>
      <c r="O113" s="632"/>
      <c r="P113" s="482"/>
      <c r="Q113" s="716" t="str">
        <f t="shared" ref="Q113:Q114" si="11">IFERROR((P113/P$29),"")</f>
        <v/>
      </c>
      <c r="R113" s="450"/>
      <c r="S113" s="450"/>
      <c r="T113" s="685">
        <f t="shared" ref="T113:T114" si="12">P113-R113</f>
        <v>0</v>
      </c>
      <c r="U113" s="450"/>
      <c r="V113" s="425"/>
      <c r="W113" s="425"/>
      <c r="X113" s="425"/>
      <c r="Y113" s="425"/>
      <c r="Z113" s="425"/>
      <c r="AA113" s="425"/>
      <c r="AB113" s="425"/>
      <c r="AC113" s="425"/>
    </row>
    <row r="114" ht="15.75" customHeight="1">
      <c r="A114" s="425"/>
      <c r="B114" s="450"/>
      <c r="C114" s="1109" t="s">
        <v>292</v>
      </c>
      <c r="D114" s="501"/>
      <c r="E114" s="538">
        <f t="shared" si="7"/>
        <v>0</v>
      </c>
      <c r="F114" s="242"/>
      <c r="G114" s="242"/>
      <c r="H114" s="612">
        <f t="shared" si="8"/>
        <v>0</v>
      </c>
      <c r="I114" s="633"/>
      <c r="J114" s="452"/>
      <c r="K114" s="538">
        <f t="shared" si="9"/>
        <v>0</v>
      </c>
      <c r="L114" s="242"/>
      <c r="M114" s="242"/>
      <c r="N114" s="612">
        <f t="shared" si="10"/>
        <v>0</v>
      </c>
      <c r="O114" s="632"/>
      <c r="P114" s="459"/>
      <c r="Q114" s="716" t="str">
        <f t="shared" si="11"/>
        <v/>
      </c>
      <c r="R114" s="450"/>
      <c r="S114" s="450"/>
      <c r="T114" s="685">
        <f t="shared" si="12"/>
        <v>0</v>
      </c>
      <c r="U114" s="450"/>
      <c r="V114" s="425"/>
      <c r="W114" s="425"/>
      <c r="X114" s="425"/>
      <c r="Y114" s="425"/>
      <c r="Z114" s="425"/>
      <c r="AA114" s="425"/>
      <c r="AB114" s="425"/>
      <c r="AC114" s="425"/>
    </row>
    <row r="115" ht="15.75" customHeight="1">
      <c r="A115" s="425"/>
      <c r="B115" s="450"/>
      <c r="C115" s="1109" t="s">
        <v>341</v>
      </c>
      <c r="D115" s="501"/>
      <c r="E115" s="521"/>
      <c r="F115" s="242"/>
      <c r="G115" s="242"/>
      <c r="H115" s="242"/>
      <c r="I115" s="633"/>
      <c r="J115" s="452"/>
      <c r="K115" s="521"/>
      <c r="L115" s="242"/>
      <c r="M115" s="242"/>
      <c r="N115" s="242"/>
      <c r="O115" s="632"/>
      <c r="P115" s="459"/>
      <c r="Q115" s="454"/>
      <c r="R115" s="450"/>
      <c r="S115" s="450"/>
      <c r="T115" s="450"/>
      <c r="U115" s="450"/>
      <c r="V115" s="425"/>
      <c r="W115" s="425"/>
      <c r="X115" s="425"/>
      <c r="Y115" s="425"/>
      <c r="Z115" s="425"/>
      <c r="AA115" s="425"/>
      <c r="AB115" s="425"/>
      <c r="AC115" s="425"/>
    </row>
    <row r="116" ht="15.75" customHeight="1">
      <c r="A116" s="425"/>
      <c r="B116" s="468"/>
      <c r="C116" s="1110"/>
      <c r="D116" s="527"/>
      <c r="E116" s="526"/>
      <c r="F116" s="636"/>
      <c r="G116" s="636"/>
      <c r="H116" s="636"/>
      <c r="I116" s="638"/>
      <c r="J116" s="470"/>
      <c r="K116" s="521"/>
      <c r="L116" s="242"/>
      <c r="M116" s="242"/>
      <c r="N116" s="242"/>
      <c r="O116" s="632"/>
      <c r="P116" s="472"/>
      <c r="Q116" s="454"/>
      <c r="R116" s="450"/>
      <c r="S116" s="450"/>
      <c r="T116" s="450"/>
      <c r="U116" s="450"/>
      <c r="V116" s="425"/>
      <c r="W116" s="425"/>
      <c r="X116" s="425"/>
      <c r="Y116" s="425"/>
      <c r="Z116" s="425"/>
      <c r="AA116" s="425"/>
      <c r="AB116" s="425"/>
      <c r="AC116" s="425"/>
    </row>
    <row r="117" ht="15.75" customHeight="1">
      <c r="A117" s="425"/>
      <c r="B117" s="477"/>
      <c r="C117" s="492" t="s">
        <v>42</v>
      </c>
      <c r="D117" s="475">
        <f>SUM(D118:D119)</f>
        <v>10300</v>
      </c>
      <c r="E117" s="629"/>
      <c r="F117" s="477">
        <f>SUM(F118)</f>
        <v>0</v>
      </c>
      <c r="G117" s="477"/>
      <c r="H117" s="1139">
        <f>SUM(H118)</f>
        <v>0</v>
      </c>
      <c r="I117" s="477"/>
      <c r="J117" s="475">
        <f>SUM(J118:J119)</f>
        <v>0</v>
      </c>
      <c r="K117" s="1013"/>
      <c r="L117" s="1116">
        <f>SUM(L118)</f>
        <v>0</v>
      </c>
      <c r="M117" s="1116"/>
      <c r="N117" s="1136">
        <f>SUM(N118)</f>
        <v>0</v>
      </c>
      <c r="O117" s="1117"/>
      <c r="P117" s="475">
        <f>SUM(P118:P119)</f>
        <v>0</v>
      </c>
      <c r="Q117" s="736"/>
      <c r="R117" s="466">
        <f>SUM(R118)</f>
        <v>0</v>
      </c>
      <c r="S117" s="466"/>
      <c r="T117" s="1138">
        <f>SUM(T118)</f>
        <v>0</v>
      </c>
      <c r="U117" s="466"/>
      <c r="V117" s="427"/>
      <c r="W117" s="427"/>
      <c r="X117" s="427"/>
      <c r="Y117" s="427"/>
      <c r="Z117" s="427"/>
      <c r="AA117" s="427"/>
      <c r="AB117" s="427"/>
      <c r="AC117" s="427"/>
    </row>
    <row r="118" ht="15.75" customHeight="1">
      <c r="A118" s="425"/>
      <c r="B118" s="481"/>
      <c r="C118" s="1108" t="s">
        <v>256</v>
      </c>
      <c r="D118" s="523"/>
      <c r="E118" s="533"/>
      <c r="F118" s="630"/>
      <c r="G118" s="630"/>
      <c r="H118" s="610"/>
      <c r="I118" s="631"/>
      <c r="J118" s="448"/>
      <c r="K118" s="538"/>
      <c r="L118" s="242"/>
      <c r="M118" s="242"/>
      <c r="N118" s="612"/>
      <c r="O118" s="632"/>
      <c r="P118" s="482"/>
      <c r="Q118" s="716"/>
      <c r="R118" s="450"/>
      <c r="S118" s="450"/>
      <c r="T118" s="685"/>
      <c r="U118" s="450"/>
      <c r="V118" s="425"/>
      <c r="W118" s="425"/>
      <c r="X118" s="425"/>
      <c r="Y118" s="425"/>
      <c r="Z118" s="425"/>
      <c r="AA118" s="425"/>
      <c r="AB118" s="425"/>
      <c r="AC118" s="425"/>
    </row>
    <row r="119" ht="15.75" customHeight="1">
      <c r="A119" s="425"/>
      <c r="B119" s="450"/>
      <c r="C119" s="1109" t="s">
        <v>291</v>
      </c>
      <c r="D119" s="501">
        <v>10300.0</v>
      </c>
      <c r="E119" s="521"/>
      <c r="F119" s="242"/>
      <c r="G119" s="242"/>
      <c r="H119" s="242"/>
      <c r="I119" s="633"/>
      <c r="J119" s="452"/>
      <c r="K119" s="521"/>
      <c r="L119" s="242"/>
      <c r="M119" s="242"/>
      <c r="N119" s="242"/>
      <c r="O119" s="632"/>
      <c r="P119" s="459"/>
      <c r="Q119" s="454"/>
      <c r="R119" s="450"/>
      <c r="S119" s="450"/>
      <c r="T119" s="450"/>
      <c r="U119" s="450"/>
      <c r="V119" s="425"/>
      <c r="W119" s="425"/>
      <c r="X119" s="425"/>
      <c r="Y119" s="425"/>
      <c r="Z119" s="425"/>
      <c r="AA119" s="425"/>
      <c r="AB119" s="425"/>
      <c r="AC119" s="425"/>
    </row>
    <row r="120" ht="15.75" customHeight="1">
      <c r="A120" s="425"/>
      <c r="B120" s="468"/>
      <c r="C120" s="1110"/>
      <c r="D120" s="527"/>
      <c r="E120" s="526"/>
      <c r="F120" s="636"/>
      <c r="G120" s="636"/>
      <c r="H120" s="636"/>
      <c r="I120" s="638"/>
      <c r="J120" s="470"/>
      <c r="K120" s="521"/>
      <c r="L120" s="242"/>
      <c r="M120" s="242"/>
      <c r="N120" s="242"/>
      <c r="O120" s="632"/>
      <c r="P120" s="472"/>
      <c r="Q120" s="454"/>
      <c r="R120" s="450"/>
      <c r="S120" s="450"/>
      <c r="T120" s="450"/>
      <c r="U120" s="450"/>
      <c r="V120" s="425"/>
      <c r="W120" s="425"/>
      <c r="X120" s="425"/>
      <c r="Y120" s="425"/>
      <c r="Z120" s="425"/>
      <c r="AA120" s="425"/>
      <c r="AB120" s="425"/>
      <c r="AC120" s="425"/>
    </row>
    <row r="121" ht="15.75" customHeight="1">
      <c r="A121" s="425"/>
      <c r="B121" s="477"/>
      <c r="C121" s="474" t="s">
        <v>257</v>
      </c>
      <c r="D121" s="475">
        <f>D51+D117+D112+D96+D92+D89+D77+D70+D63+D54</f>
        <v>675295.06</v>
      </c>
      <c r="E121" s="581">
        <f>IFERROR((D121/D$29),"")</f>
        <v>1.061302427</v>
      </c>
      <c r="F121" s="627">
        <f>F117+F112+F96+F92+F89+F77+F70+F63+F54</f>
        <v>0</v>
      </c>
      <c r="G121" s="1044" t="str">
        <f>IFERROR((F121/F$29),"")</f>
        <v/>
      </c>
      <c r="H121" s="627"/>
      <c r="I121" s="474"/>
      <c r="J121" s="475">
        <f>J51+J117+J112+J96+J92+J89+J77+J70+J63+J54</f>
        <v>783317</v>
      </c>
      <c r="K121" s="706">
        <f>IFERROR((J121/J$29),"")</f>
        <v>1.304015675</v>
      </c>
      <c r="L121" s="707">
        <f>L117+L112+L96+L92+L89+L77+L70+L63+L54</f>
        <v>0</v>
      </c>
      <c r="M121" s="1135" t="str">
        <f>IFERROR((L121/L$29),"")</f>
        <v/>
      </c>
      <c r="N121" s="707"/>
      <c r="O121" s="1117"/>
      <c r="P121" s="475">
        <f>P51+P117+P112+P96+P92+P89+P77+P70+P63+P54</f>
        <v>0</v>
      </c>
      <c r="Q121" s="738" t="str">
        <f>IFERROR((P121/P$29),"")</f>
        <v/>
      </c>
      <c r="R121" s="746">
        <f>R117+R112+R96+R92+R89+R77+R70+R63+R54</f>
        <v>0</v>
      </c>
      <c r="S121" s="1137" t="str">
        <f>IFERROR((R121/R$29),"")</f>
        <v/>
      </c>
      <c r="T121" s="746"/>
      <c r="U121" s="466"/>
      <c r="V121" s="425"/>
      <c r="W121" s="425"/>
      <c r="X121" s="425"/>
      <c r="Y121" s="425"/>
      <c r="Z121" s="425"/>
      <c r="AA121" s="425"/>
      <c r="AB121" s="425"/>
      <c r="AC121" s="425"/>
    </row>
    <row r="122" ht="15.75" customHeight="1">
      <c r="A122" s="425"/>
      <c r="B122" s="508"/>
      <c r="C122" s="1130"/>
      <c r="D122" s="563"/>
      <c r="E122" s="586"/>
      <c r="F122" s="646"/>
      <c r="G122" s="646"/>
      <c r="H122" s="646"/>
      <c r="I122" s="647"/>
      <c r="J122" s="494"/>
      <c r="K122" s="521"/>
      <c r="L122" s="242"/>
      <c r="M122" s="242"/>
      <c r="N122" s="242"/>
      <c r="O122" s="242"/>
      <c r="P122" s="495"/>
      <c r="Q122" s="454"/>
      <c r="R122" s="450"/>
      <c r="S122" s="450"/>
      <c r="T122" s="450"/>
      <c r="U122" s="450"/>
      <c r="V122" s="425"/>
      <c r="W122" s="425"/>
      <c r="X122" s="425"/>
      <c r="Y122" s="425"/>
      <c r="Z122" s="425"/>
      <c r="AA122" s="425"/>
      <c r="AB122" s="425"/>
      <c r="AC122" s="425"/>
    </row>
    <row r="123" ht="15.75" customHeight="1">
      <c r="A123" s="425"/>
      <c r="B123" s="477"/>
      <c r="C123" s="474" t="s">
        <v>258</v>
      </c>
      <c r="D123" s="475">
        <f>D42-D121</f>
        <v>-227704.7209</v>
      </c>
      <c r="E123" s="581">
        <f>IFERROR((D123/D$29),"")</f>
        <v>-0.3578636765</v>
      </c>
      <c r="F123" s="627">
        <f>F42-F121</f>
        <v>0</v>
      </c>
      <c r="G123" s="1044" t="str">
        <f>IFERROR((F123/F$29),"")</f>
        <v/>
      </c>
      <c r="H123" s="627">
        <f>H42-H121</f>
        <v>0</v>
      </c>
      <c r="I123" s="474"/>
      <c r="J123" s="475">
        <f>J42-J121</f>
        <v>-436812.58</v>
      </c>
      <c r="K123" s="706">
        <f>IFERROR((J123/J$29),"")</f>
        <v>-0.7271774408</v>
      </c>
      <c r="L123" s="707">
        <f>L42-L121</f>
        <v>0</v>
      </c>
      <c r="M123" s="1135" t="str">
        <f>IFERROR((L123/L$29),"")</f>
        <v/>
      </c>
      <c r="N123" s="707">
        <f>N42-N121</f>
        <v>0</v>
      </c>
      <c r="O123" s="1116"/>
      <c r="P123" s="475">
        <f>P42-P121</f>
        <v>0</v>
      </c>
      <c r="Q123" s="1140" t="str">
        <f>IFERROR((P123/P$29),"")</f>
        <v/>
      </c>
      <c r="R123" s="1141">
        <f>R42-R121</f>
        <v>0</v>
      </c>
      <c r="S123" s="1142" t="str">
        <f>IFERROR((R123/R$29),"")</f>
        <v/>
      </c>
      <c r="T123" s="1141">
        <f>T42-T121</f>
        <v>0</v>
      </c>
      <c r="U123" s="1143"/>
      <c r="V123" s="425"/>
      <c r="W123" s="425"/>
      <c r="X123" s="425"/>
      <c r="Y123" s="425"/>
      <c r="Z123" s="425"/>
      <c r="AA123" s="425"/>
      <c r="AB123" s="425"/>
      <c r="AC123" s="425"/>
    </row>
    <row r="124" ht="15.75" customHeight="1">
      <c r="A124" s="425"/>
      <c r="B124" s="425"/>
      <c r="C124" s="425"/>
      <c r="D124" s="511"/>
      <c r="E124" s="235"/>
      <c r="F124" s="425"/>
      <c r="G124" s="425"/>
      <c r="H124" s="425"/>
      <c r="I124" s="425"/>
      <c r="J124" s="511"/>
      <c r="K124" s="235"/>
      <c r="L124" s="425"/>
      <c r="M124" s="425"/>
      <c r="N124" s="425"/>
      <c r="O124" s="425"/>
      <c r="P124" s="511"/>
      <c r="Q124" s="235"/>
      <c r="R124" s="425"/>
      <c r="S124" s="425"/>
      <c r="T124" s="425"/>
      <c r="U124" s="425"/>
      <c r="V124" s="425"/>
      <c r="W124" s="425"/>
      <c r="X124" s="425"/>
      <c r="Y124" s="425"/>
      <c r="Z124" s="425"/>
      <c r="AA124" s="425"/>
      <c r="AB124" s="425"/>
      <c r="AC124" s="425"/>
    </row>
    <row r="125" ht="15.75" customHeight="1">
      <c r="A125" s="425"/>
      <c r="B125" s="425"/>
      <c r="C125" s="425"/>
      <c r="D125" s="511"/>
      <c r="E125" s="235"/>
      <c r="F125" s="425"/>
      <c r="G125" s="425"/>
      <c r="H125" s="425"/>
      <c r="I125" s="425"/>
      <c r="J125" s="511"/>
      <c r="K125" s="235"/>
      <c r="L125" s="425"/>
      <c r="M125" s="425"/>
      <c r="N125" s="425"/>
      <c r="O125" s="425"/>
      <c r="P125" s="511"/>
      <c r="Q125" s="235"/>
      <c r="R125" s="425"/>
      <c r="S125" s="425"/>
      <c r="T125" s="425"/>
      <c r="U125" s="425"/>
      <c r="V125" s="425"/>
      <c r="W125" s="425"/>
      <c r="X125" s="425"/>
      <c r="Y125" s="425"/>
      <c r="Z125" s="425"/>
      <c r="AA125" s="425"/>
      <c r="AB125" s="425"/>
      <c r="AC125" s="425"/>
    </row>
    <row r="126" ht="15.75" customHeight="1">
      <c r="A126" s="425"/>
      <c r="B126" s="425"/>
      <c r="C126" s="425"/>
      <c r="D126" s="511"/>
      <c r="E126" s="235"/>
      <c r="F126" s="425"/>
      <c r="G126" s="425"/>
      <c r="H126" s="425"/>
      <c r="I126" s="425"/>
      <c r="J126" s="511"/>
      <c r="K126" s="235"/>
      <c r="L126" s="425"/>
      <c r="M126" s="425"/>
      <c r="N126" s="425"/>
      <c r="O126" s="425"/>
      <c r="P126" s="511"/>
      <c r="Q126" s="235"/>
      <c r="R126" s="425"/>
      <c r="S126" s="425"/>
      <c r="T126" s="425"/>
      <c r="U126" s="425"/>
      <c r="V126" s="425"/>
      <c r="W126" s="425"/>
      <c r="X126" s="425"/>
      <c r="Y126" s="425"/>
      <c r="Z126" s="425"/>
      <c r="AA126" s="425"/>
      <c r="AB126" s="425"/>
      <c r="AC126" s="425"/>
    </row>
    <row r="127" ht="15.75" customHeight="1">
      <c r="A127" s="425"/>
      <c r="B127" s="425"/>
      <c r="C127" s="425"/>
      <c r="D127" s="511"/>
      <c r="E127" s="235"/>
      <c r="F127" s="425"/>
      <c r="G127" s="425"/>
      <c r="H127" s="425"/>
      <c r="I127" s="425"/>
      <c r="J127" s="511"/>
      <c r="K127" s="235"/>
      <c r="L127" s="425"/>
      <c r="M127" s="425"/>
      <c r="N127" s="425"/>
      <c r="O127" s="425"/>
      <c r="P127" s="511"/>
      <c r="Q127" s="235"/>
      <c r="R127" s="425"/>
      <c r="S127" s="425"/>
      <c r="T127" s="425"/>
      <c r="U127" s="425"/>
      <c r="V127" s="425"/>
      <c r="W127" s="425"/>
      <c r="X127" s="425"/>
      <c r="Y127" s="425"/>
      <c r="Z127" s="425"/>
      <c r="AA127" s="425"/>
      <c r="AB127" s="425"/>
      <c r="AC127" s="425"/>
    </row>
    <row r="128" ht="15.75" customHeight="1">
      <c r="A128" s="425"/>
      <c r="B128" s="425"/>
      <c r="C128" s="425"/>
      <c r="D128" s="511"/>
      <c r="E128" s="235"/>
      <c r="F128" s="425"/>
      <c r="G128" s="425"/>
      <c r="H128" s="425"/>
      <c r="I128" s="425"/>
      <c r="J128" s="511"/>
      <c r="K128" s="235"/>
      <c r="L128" s="425"/>
      <c r="M128" s="425"/>
      <c r="N128" s="425"/>
      <c r="O128" s="425"/>
      <c r="P128" s="511"/>
      <c r="Q128" s="235"/>
      <c r="R128" s="425"/>
      <c r="S128" s="425"/>
      <c r="T128" s="425"/>
      <c r="U128" s="425"/>
      <c r="V128" s="425"/>
      <c r="W128" s="425"/>
      <c r="X128" s="425"/>
      <c r="Y128" s="425"/>
      <c r="Z128" s="425"/>
      <c r="AA128" s="425"/>
      <c r="AB128" s="425"/>
      <c r="AC128" s="425"/>
    </row>
    <row r="129" ht="15.75" customHeight="1">
      <c r="A129" s="425"/>
      <c r="B129" s="425"/>
      <c r="C129" s="425"/>
      <c r="D129" s="511"/>
      <c r="E129" s="235"/>
      <c r="F129" s="425"/>
      <c r="G129" s="425"/>
      <c r="H129" s="425"/>
      <c r="I129" s="425"/>
      <c r="J129" s="511"/>
      <c r="K129" s="235"/>
      <c r="L129" s="425"/>
      <c r="M129" s="425"/>
      <c r="N129" s="425"/>
      <c r="O129" s="425"/>
      <c r="P129" s="511"/>
      <c r="Q129" s="235"/>
      <c r="R129" s="425"/>
      <c r="S129" s="425"/>
      <c r="T129" s="425"/>
      <c r="U129" s="425"/>
      <c r="V129" s="425"/>
      <c r="W129" s="425"/>
      <c r="X129" s="425"/>
      <c r="Y129" s="425"/>
      <c r="Z129" s="425"/>
      <c r="AA129" s="425"/>
      <c r="AB129" s="425"/>
      <c r="AC129" s="425"/>
    </row>
    <row r="130" ht="15.75" customHeight="1">
      <c r="A130" s="425"/>
      <c r="B130" s="425"/>
      <c r="C130" s="425"/>
      <c r="D130" s="511"/>
      <c r="E130" s="235"/>
      <c r="F130" s="425"/>
      <c r="G130" s="425"/>
      <c r="H130" s="425"/>
      <c r="I130" s="425"/>
      <c r="J130" s="511"/>
      <c r="K130" s="235"/>
      <c r="L130" s="425"/>
      <c r="M130" s="425"/>
      <c r="N130" s="425"/>
      <c r="O130" s="425"/>
      <c r="P130" s="511"/>
      <c r="Q130" s="235"/>
      <c r="R130" s="425"/>
      <c r="S130" s="425"/>
      <c r="T130" s="425"/>
      <c r="U130" s="425"/>
      <c r="V130" s="425"/>
      <c r="W130" s="425"/>
      <c r="X130" s="425"/>
      <c r="Y130" s="425"/>
      <c r="Z130" s="425"/>
      <c r="AA130" s="425"/>
      <c r="AB130" s="425"/>
      <c r="AC130" s="425"/>
    </row>
    <row r="131" ht="15.75" customHeight="1">
      <c r="A131" s="425"/>
      <c r="B131" s="425"/>
      <c r="C131" s="425"/>
      <c r="D131" s="511"/>
      <c r="E131" s="235"/>
      <c r="F131" s="425"/>
      <c r="G131" s="425"/>
      <c r="H131" s="425"/>
      <c r="I131" s="425"/>
      <c r="J131" s="511"/>
      <c r="K131" s="235"/>
      <c r="L131" s="425"/>
      <c r="M131" s="425"/>
      <c r="N131" s="425"/>
      <c r="O131" s="425"/>
      <c r="P131" s="511"/>
      <c r="Q131" s="235"/>
      <c r="R131" s="425"/>
      <c r="S131" s="425"/>
      <c r="T131" s="425"/>
      <c r="U131" s="425"/>
      <c r="V131" s="425"/>
      <c r="W131" s="425"/>
      <c r="X131" s="425"/>
      <c r="Y131" s="425"/>
      <c r="Z131" s="425"/>
      <c r="AA131" s="425"/>
      <c r="AB131" s="425"/>
      <c r="AC131" s="425"/>
    </row>
    <row r="132" ht="15.75" customHeight="1">
      <c r="A132" s="425"/>
      <c r="B132" s="425"/>
      <c r="C132" s="425"/>
      <c r="D132" s="511"/>
      <c r="E132" s="235"/>
      <c r="F132" s="425"/>
      <c r="G132" s="425"/>
      <c r="H132" s="425"/>
      <c r="I132" s="425"/>
      <c r="J132" s="511"/>
      <c r="K132" s="235"/>
      <c r="L132" s="425"/>
      <c r="M132" s="425"/>
      <c r="N132" s="425"/>
      <c r="O132" s="425"/>
      <c r="P132" s="511"/>
      <c r="Q132" s="235"/>
      <c r="R132" s="425"/>
      <c r="S132" s="425"/>
      <c r="T132" s="425"/>
      <c r="U132" s="425"/>
      <c r="V132" s="425"/>
      <c r="W132" s="425"/>
      <c r="X132" s="425"/>
      <c r="Y132" s="425"/>
      <c r="Z132" s="425"/>
      <c r="AA132" s="425"/>
      <c r="AB132" s="425"/>
      <c r="AC132" s="425"/>
    </row>
    <row r="133" ht="15.75" customHeight="1">
      <c r="A133" s="425"/>
      <c r="B133" s="425"/>
      <c r="C133" s="425"/>
      <c r="D133" s="511"/>
      <c r="E133" s="235"/>
      <c r="F133" s="425"/>
      <c r="G133" s="425"/>
      <c r="H133" s="425"/>
      <c r="I133" s="425"/>
      <c r="J133" s="511"/>
      <c r="K133" s="235"/>
      <c r="L133" s="425"/>
      <c r="M133" s="425"/>
      <c r="N133" s="425"/>
      <c r="O133" s="425"/>
      <c r="P133" s="511"/>
      <c r="Q133" s="235"/>
      <c r="R133" s="425"/>
      <c r="S133" s="425"/>
      <c r="T133" s="425"/>
      <c r="U133" s="425"/>
      <c r="V133" s="425"/>
      <c r="W133" s="425"/>
      <c r="X133" s="425"/>
      <c r="Y133" s="425"/>
      <c r="Z133" s="425"/>
      <c r="AA133" s="425"/>
      <c r="AB133" s="425"/>
      <c r="AC133" s="425"/>
    </row>
    <row r="134" ht="15.75" customHeight="1">
      <c r="A134" s="425"/>
      <c r="B134" s="425"/>
      <c r="C134" s="425"/>
      <c r="D134" s="511"/>
      <c r="E134" s="235"/>
      <c r="F134" s="425"/>
      <c r="G134" s="425"/>
      <c r="H134" s="425"/>
      <c r="I134" s="425"/>
      <c r="J134" s="511"/>
      <c r="K134" s="235"/>
      <c r="L134" s="425"/>
      <c r="M134" s="425"/>
      <c r="N134" s="425"/>
      <c r="O134" s="425"/>
      <c r="P134" s="511"/>
      <c r="Q134" s="235"/>
      <c r="R134" s="425"/>
      <c r="S134" s="425"/>
      <c r="T134" s="425"/>
      <c r="U134" s="425"/>
      <c r="V134" s="425"/>
      <c r="W134" s="425"/>
      <c r="X134" s="425"/>
      <c r="Y134" s="425"/>
      <c r="Z134" s="425"/>
      <c r="AA134" s="425"/>
      <c r="AB134" s="425"/>
      <c r="AC134" s="425"/>
    </row>
    <row r="135" ht="15.75" customHeight="1">
      <c r="A135" s="425"/>
      <c r="B135" s="425"/>
      <c r="C135" s="425"/>
      <c r="D135" s="511"/>
      <c r="E135" s="235"/>
      <c r="F135" s="425"/>
      <c r="G135" s="425"/>
      <c r="H135" s="425"/>
      <c r="I135" s="425"/>
      <c r="J135" s="511"/>
      <c r="K135" s="235"/>
      <c r="L135" s="425"/>
      <c r="M135" s="425"/>
      <c r="N135" s="425"/>
      <c r="O135" s="425"/>
      <c r="P135" s="511"/>
      <c r="Q135" s="235"/>
      <c r="R135" s="425"/>
      <c r="S135" s="425"/>
      <c r="T135" s="425"/>
      <c r="U135" s="425"/>
      <c r="V135" s="425"/>
      <c r="W135" s="425"/>
      <c r="X135" s="425"/>
      <c r="Y135" s="425"/>
      <c r="Z135" s="425"/>
      <c r="AA135" s="425"/>
      <c r="AB135" s="425"/>
      <c r="AC135" s="425"/>
    </row>
    <row r="136" ht="15.75" customHeight="1">
      <c r="A136" s="425"/>
      <c r="B136" s="425"/>
      <c r="C136" s="425"/>
      <c r="D136" s="511"/>
      <c r="E136" s="235"/>
      <c r="F136" s="425"/>
      <c r="G136" s="425"/>
      <c r="H136" s="425"/>
      <c r="I136" s="425"/>
      <c r="J136" s="511"/>
      <c r="K136" s="235"/>
      <c r="L136" s="425"/>
      <c r="M136" s="425"/>
      <c r="N136" s="425"/>
      <c r="O136" s="425"/>
      <c r="P136" s="511"/>
      <c r="Q136" s="235"/>
      <c r="R136" s="425"/>
      <c r="S136" s="425"/>
      <c r="T136" s="425"/>
      <c r="U136" s="425"/>
      <c r="V136" s="425"/>
      <c r="W136" s="425"/>
      <c r="X136" s="425"/>
      <c r="Y136" s="425"/>
      <c r="Z136" s="425"/>
      <c r="AA136" s="425"/>
      <c r="AB136" s="425"/>
      <c r="AC136" s="425"/>
    </row>
    <row r="137" ht="15.75" customHeight="1">
      <c r="A137" s="425"/>
      <c r="B137" s="425"/>
      <c r="C137" s="425"/>
      <c r="D137" s="511"/>
      <c r="E137" s="235"/>
      <c r="F137" s="425"/>
      <c r="G137" s="425"/>
      <c r="H137" s="425"/>
      <c r="I137" s="425"/>
      <c r="J137" s="511"/>
      <c r="K137" s="235"/>
      <c r="L137" s="425"/>
      <c r="M137" s="425"/>
      <c r="N137" s="425"/>
      <c r="O137" s="425"/>
      <c r="P137" s="511"/>
      <c r="Q137" s="235"/>
      <c r="R137" s="425"/>
      <c r="S137" s="425"/>
      <c r="T137" s="425"/>
      <c r="U137" s="425"/>
      <c r="V137" s="425"/>
      <c r="W137" s="425"/>
      <c r="X137" s="425"/>
      <c r="Y137" s="425"/>
      <c r="Z137" s="425"/>
      <c r="AA137" s="425"/>
      <c r="AB137" s="425"/>
      <c r="AC137" s="425"/>
    </row>
    <row r="138" ht="15.75" customHeight="1">
      <c r="A138" s="425"/>
      <c r="B138" s="425"/>
      <c r="C138" s="425"/>
      <c r="D138" s="511"/>
      <c r="E138" s="235"/>
      <c r="F138" s="425"/>
      <c r="G138" s="425"/>
      <c r="H138" s="425"/>
      <c r="I138" s="425"/>
      <c r="J138" s="511"/>
      <c r="K138" s="235"/>
      <c r="L138" s="425"/>
      <c r="M138" s="425"/>
      <c r="N138" s="425"/>
      <c r="O138" s="425"/>
      <c r="P138" s="511"/>
      <c r="Q138" s="235"/>
      <c r="R138" s="425"/>
      <c r="S138" s="425"/>
      <c r="T138" s="425"/>
      <c r="U138" s="425"/>
      <c r="V138" s="425"/>
      <c r="W138" s="425"/>
      <c r="X138" s="425"/>
      <c r="Y138" s="425"/>
      <c r="Z138" s="425"/>
      <c r="AA138" s="425"/>
      <c r="AB138" s="425"/>
      <c r="AC138" s="425"/>
    </row>
    <row r="139" ht="15.75" customHeight="1">
      <c r="A139" s="425"/>
      <c r="B139" s="425"/>
      <c r="C139" s="425"/>
      <c r="D139" s="511"/>
      <c r="E139" s="235"/>
      <c r="F139" s="425"/>
      <c r="G139" s="425"/>
      <c r="H139" s="425"/>
      <c r="I139" s="425"/>
      <c r="J139" s="511"/>
      <c r="K139" s="235"/>
      <c r="L139" s="425"/>
      <c r="M139" s="425"/>
      <c r="N139" s="425"/>
      <c r="O139" s="425"/>
      <c r="P139" s="511"/>
      <c r="Q139" s="235"/>
      <c r="R139" s="425"/>
      <c r="S139" s="425"/>
      <c r="T139" s="425"/>
      <c r="U139" s="425"/>
      <c r="V139" s="425"/>
      <c r="W139" s="425"/>
      <c r="X139" s="425"/>
      <c r="Y139" s="425"/>
      <c r="Z139" s="425"/>
      <c r="AA139" s="425"/>
      <c r="AB139" s="425"/>
      <c r="AC139" s="425"/>
    </row>
    <row r="140" ht="15.75" customHeight="1">
      <c r="A140" s="425"/>
      <c r="B140" s="425"/>
      <c r="C140" s="425"/>
      <c r="D140" s="511"/>
      <c r="E140" s="235"/>
      <c r="F140" s="425"/>
      <c r="G140" s="425"/>
      <c r="H140" s="425"/>
      <c r="I140" s="425"/>
      <c r="J140" s="511"/>
      <c r="K140" s="235"/>
      <c r="L140" s="425"/>
      <c r="M140" s="425"/>
      <c r="N140" s="425"/>
      <c r="O140" s="425"/>
      <c r="P140" s="511"/>
      <c r="Q140" s="235"/>
      <c r="R140" s="425"/>
      <c r="S140" s="425"/>
      <c r="T140" s="425"/>
      <c r="U140" s="425"/>
      <c r="V140" s="425"/>
      <c r="W140" s="425"/>
      <c r="X140" s="425"/>
      <c r="Y140" s="425"/>
      <c r="Z140" s="425"/>
      <c r="AA140" s="425"/>
      <c r="AB140" s="425"/>
      <c r="AC140" s="425"/>
    </row>
    <row r="141" ht="15.75" customHeight="1">
      <c r="A141" s="425"/>
      <c r="B141" s="425"/>
      <c r="C141" s="425"/>
      <c r="D141" s="511"/>
      <c r="E141" s="235"/>
      <c r="F141" s="425"/>
      <c r="G141" s="425"/>
      <c r="H141" s="425"/>
      <c r="I141" s="425"/>
      <c r="J141" s="511"/>
      <c r="K141" s="235"/>
      <c r="L141" s="425"/>
      <c r="M141" s="425"/>
      <c r="N141" s="425"/>
      <c r="O141" s="425"/>
      <c r="P141" s="511"/>
      <c r="Q141" s="235"/>
      <c r="R141" s="425"/>
      <c r="S141" s="425"/>
      <c r="T141" s="425"/>
      <c r="U141" s="425"/>
      <c r="V141" s="425"/>
      <c r="W141" s="425"/>
      <c r="X141" s="425"/>
      <c r="Y141" s="425"/>
      <c r="Z141" s="425"/>
      <c r="AA141" s="425"/>
      <c r="AB141" s="425"/>
      <c r="AC141" s="425"/>
    </row>
    <row r="142" ht="15.75" customHeight="1">
      <c r="A142" s="425"/>
      <c r="B142" s="425"/>
      <c r="C142" s="425"/>
      <c r="D142" s="511"/>
      <c r="E142" s="235"/>
      <c r="F142" s="425"/>
      <c r="G142" s="425"/>
      <c r="H142" s="425"/>
      <c r="I142" s="425"/>
      <c r="J142" s="511"/>
      <c r="K142" s="235"/>
      <c r="L142" s="425"/>
      <c r="M142" s="425"/>
      <c r="N142" s="425"/>
      <c r="O142" s="425"/>
      <c r="P142" s="511"/>
      <c r="Q142" s="235"/>
      <c r="R142" s="425"/>
      <c r="S142" s="425"/>
      <c r="T142" s="425"/>
      <c r="U142" s="425"/>
      <c r="V142" s="425"/>
      <c r="W142" s="425"/>
      <c r="X142" s="425"/>
      <c r="Y142" s="425"/>
      <c r="Z142" s="425"/>
      <c r="AA142" s="425"/>
      <c r="AB142" s="425"/>
      <c r="AC142" s="425"/>
    </row>
    <row r="143" ht="15.75" customHeight="1">
      <c r="A143" s="425"/>
      <c r="B143" s="425"/>
      <c r="C143" s="425"/>
      <c r="D143" s="511"/>
      <c r="E143" s="235"/>
      <c r="F143" s="425"/>
      <c r="G143" s="425"/>
      <c r="H143" s="425"/>
      <c r="I143" s="425"/>
      <c r="J143" s="511"/>
      <c r="K143" s="235"/>
      <c r="L143" s="425"/>
      <c r="M143" s="425"/>
      <c r="N143" s="425"/>
      <c r="O143" s="425"/>
      <c r="P143" s="511"/>
      <c r="Q143" s="235"/>
      <c r="R143" s="425"/>
      <c r="S143" s="425"/>
      <c r="T143" s="425"/>
      <c r="U143" s="425"/>
      <c r="V143" s="425"/>
      <c r="W143" s="425"/>
      <c r="X143" s="425"/>
      <c r="Y143" s="425"/>
      <c r="Z143" s="425"/>
      <c r="AA143" s="425"/>
      <c r="AB143" s="425"/>
      <c r="AC143" s="425"/>
    </row>
    <row r="144" ht="15.75" customHeight="1">
      <c r="A144" s="425"/>
      <c r="B144" s="425"/>
      <c r="C144" s="425"/>
      <c r="D144" s="511"/>
      <c r="E144" s="235"/>
      <c r="F144" s="425"/>
      <c r="G144" s="425"/>
      <c r="H144" s="425"/>
      <c r="I144" s="425"/>
      <c r="J144" s="511"/>
      <c r="K144" s="235"/>
      <c r="L144" s="425"/>
      <c r="M144" s="425"/>
      <c r="N144" s="425"/>
      <c r="O144" s="425"/>
      <c r="P144" s="511"/>
      <c r="Q144" s="235"/>
      <c r="R144" s="425"/>
      <c r="S144" s="425"/>
      <c r="T144" s="425"/>
      <c r="U144" s="425"/>
      <c r="V144" s="425"/>
      <c r="W144" s="425"/>
      <c r="X144" s="425"/>
      <c r="Y144" s="425"/>
      <c r="Z144" s="425"/>
      <c r="AA144" s="425"/>
      <c r="AB144" s="425"/>
      <c r="AC144" s="425"/>
    </row>
    <row r="145" ht="15.75" customHeight="1">
      <c r="A145" s="425"/>
      <c r="B145" s="425"/>
      <c r="C145" s="425"/>
      <c r="D145" s="511"/>
      <c r="E145" s="235"/>
      <c r="F145" s="425"/>
      <c r="G145" s="425"/>
      <c r="H145" s="425"/>
      <c r="I145" s="425"/>
      <c r="J145" s="511"/>
      <c r="K145" s="235"/>
      <c r="L145" s="425"/>
      <c r="M145" s="425"/>
      <c r="N145" s="425"/>
      <c r="O145" s="425"/>
      <c r="P145" s="511"/>
      <c r="Q145" s="235"/>
      <c r="R145" s="425"/>
      <c r="S145" s="425"/>
      <c r="T145" s="425"/>
      <c r="U145" s="425"/>
      <c r="V145" s="425"/>
      <c r="W145" s="425"/>
      <c r="X145" s="425"/>
      <c r="Y145" s="425"/>
      <c r="Z145" s="425"/>
      <c r="AA145" s="425"/>
      <c r="AB145" s="425"/>
      <c r="AC145" s="425"/>
    </row>
    <row r="146" ht="15.75" customHeight="1">
      <c r="A146" s="425"/>
      <c r="B146" s="425"/>
      <c r="C146" s="425"/>
      <c r="D146" s="511"/>
      <c r="E146" s="235"/>
      <c r="F146" s="425"/>
      <c r="G146" s="425"/>
      <c r="H146" s="425"/>
      <c r="I146" s="425"/>
      <c r="J146" s="511"/>
      <c r="K146" s="235"/>
      <c r="L146" s="425"/>
      <c r="M146" s="425"/>
      <c r="N146" s="425"/>
      <c r="O146" s="425"/>
      <c r="P146" s="511"/>
      <c r="Q146" s="235"/>
      <c r="R146" s="425"/>
      <c r="S146" s="425"/>
      <c r="T146" s="425"/>
      <c r="U146" s="425"/>
      <c r="V146" s="425"/>
      <c r="W146" s="425"/>
      <c r="X146" s="425"/>
      <c r="Y146" s="425"/>
      <c r="Z146" s="425"/>
      <c r="AA146" s="425"/>
      <c r="AB146" s="425"/>
      <c r="AC146" s="425"/>
    </row>
    <row r="147" ht="15.75" customHeight="1">
      <c r="A147" s="425"/>
      <c r="B147" s="425"/>
      <c r="C147" s="425"/>
      <c r="D147" s="511"/>
      <c r="E147" s="235"/>
      <c r="F147" s="425"/>
      <c r="G147" s="425"/>
      <c r="H147" s="425"/>
      <c r="I147" s="425"/>
      <c r="J147" s="511"/>
      <c r="K147" s="235"/>
      <c r="L147" s="425"/>
      <c r="M147" s="425"/>
      <c r="N147" s="425"/>
      <c r="O147" s="425"/>
      <c r="P147" s="511"/>
      <c r="Q147" s="235"/>
      <c r="R147" s="425"/>
      <c r="S147" s="425"/>
      <c r="T147" s="425"/>
      <c r="U147" s="425"/>
      <c r="V147" s="425"/>
      <c r="W147" s="425"/>
      <c r="X147" s="425"/>
      <c r="Y147" s="425"/>
      <c r="Z147" s="425"/>
      <c r="AA147" s="425"/>
      <c r="AB147" s="425"/>
      <c r="AC147" s="425"/>
    </row>
    <row r="148" ht="15.75" customHeight="1">
      <c r="A148" s="425"/>
      <c r="B148" s="425"/>
      <c r="C148" s="425"/>
      <c r="D148" s="511"/>
      <c r="E148" s="235"/>
      <c r="F148" s="425"/>
      <c r="G148" s="425"/>
      <c r="H148" s="425"/>
      <c r="I148" s="425"/>
      <c r="J148" s="511"/>
      <c r="K148" s="235"/>
      <c r="L148" s="425"/>
      <c r="M148" s="425"/>
      <c r="N148" s="425"/>
      <c r="O148" s="425"/>
      <c r="P148" s="511"/>
      <c r="Q148" s="235"/>
      <c r="R148" s="425"/>
      <c r="S148" s="425"/>
      <c r="T148" s="425"/>
      <c r="U148" s="425"/>
      <c r="V148" s="425"/>
      <c r="W148" s="425"/>
      <c r="X148" s="425"/>
      <c r="Y148" s="425"/>
      <c r="Z148" s="425"/>
      <c r="AA148" s="425"/>
      <c r="AB148" s="425"/>
      <c r="AC148" s="425"/>
    </row>
    <row r="149" ht="15.75" customHeight="1">
      <c r="A149" s="425"/>
      <c r="B149" s="425"/>
      <c r="C149" s="425"/>
      <c r="D149" s="511"/>
      <c r="E149" s="235"/>
      <c r="F149" s="425"/>
      <c r="G149" s="425"/>
      <c r="H149" s="425"/>
      <c r="I149" s="425"/>
      <c r="J149" s="511"/>
      <c r="K149" s="235"/>
      <c r="L149" s="425"/>
      <c r="M149" s="425"/>
      <c r="N149" s="425"/>
      <c r="O149" s="425"/>
      <c r="P149" s="511"/>
      <c r="Q149" s="235"/>
      <c r="R149" s="425"/>
      <c r="S149" s="425"/>
      <c r="T149" s="425"/>
      <c r="U149" s="425"/>
      <c r="V149" s="425"/>
      <c r="W149" s="425"/>
      <c r="X149" s="425"/>
      <c r="Y149" s="425"/>
      <c r="Z149" s="425"/>
      <c r="AA149" s="425"/>
      <c r="AB149" s="425"/>
      <c r="AC149" s="425"/>
    </row>
    <row r="150" ht="15.75" customHeight="1">
      <c r="A150" s="425"/>
      <c r="B150" s="425"/>
      <c r="C150" s="425"/>
      <c r="D150" s="511"/>
      <c r="E150" s="235"/>
      <c r="F150" s="425"/>
      <c r="G150" s="425"/>
      <c r="H150" s="425"/>
      <c r="I150" s="425"/>
      <c r="J150" s="511"/>
      <c r="K150" s="235"/>
      <c r="L150" s="425"/>
      <c r="M150" s="425"/>
      <c r="N150" s="425"/>
      <c r="O150" s="425"/>
      <c r="P150" s="511"/>
      <c r="Q150" s="235"/>
      <c r="R150" s="425"/>
      <c r="S150" s="425"/>
      <c r="T150" s="425"/>
      <c r="U150" s="425"/>
      <c r="V150" s="425"/>
      <c r="W150" s="425"/>
      <c r="X150" s="425"/>
      <c r="Y150" s="425"/>
      <c r="Z150" s="425"/>
      <c r="AA150" s="425"/>
      <c r="AB150" s="425"/>
      <c r="AC150" s="425"/>
    </row>
    <row r="151" ht="15.75" customHeight="1">
      <c r="A151" s="425"/>
      <c r="B151" s="425"/>
      <c r="C151" s="425"/>
      <c r="D151" s="511"/>
      <c r="E151" s="235"/>
      <c r="F151" s="425"/>
      <c r="G151" s="425"/>
      <c r="H151" s="425"/>
      <c r="I151" s="425"/>
      <c r="J151" s="511"/>
      <c r="K151" s="235"/>
      <c r="L151" s="425"/>
      <c r="M151" s="425"/>
      <c r="N151" s="425"/>
      <c r="O151" s="425"/>
      <c r="P151" s="511"/>
      <c r="Q151" s="235"/>
      <c r="R151" s="425"/>
      <c r="S151" s="425"/>
      <c r="T151" s="425"/>
      <c r="U151" s="425"/>
      <c r="V151" s="425"/>
      <c r="W151" s="425"/>
      <c r="X151" s="425"/>
      <c r="Y151" s="425"/>
      <c r="Z151" s="425"/>
      <c r="AA151" s="425"/>
      <c r="AB151" s="425"/>
      <c r="AC151" s="425"/>
    </row>
    <row r="152" ht="15.75" customHeight="1">
      <c r="A152" s="425"/>
      <c r="B152" s="425"/>
      <c r="C152" s="425"/>
      <c r="D152" s="511"/>
      <c r="E152" s="235"/>
      <c r="F152" s="425"/>
      <c r="G152" s="425"/>
      <c r="H152" s="425"/>
      <c r="I152" s="425"/>
      <c r="J152" s="511"/>
      <c r="K152" s="235"/>
      <c r="L152" s="425"/>
      <c r="M152" s="425"/>
      <c r="N152" s="425"/>
      <c r="O152" s="425"/>
      <c r="P152" s="511"/>
      <c r="Q152" s="235"/>
      <c r="R152" s="425"/>
      <c r="S152" s="425"/>
      <c r="T152" s="425"/>
      <c r="U152" s="425"/>
      <c r="V152" s="425"/>
      <c r="W152" s="425"/>
      <c r="X152" s="425"/>
      <c r="Y152" s="425"/>
      <c r="Z152" s="425"/>
      <c r="AA152" s="425"/>
      <c r="AB152" s="425"/>
      <c r="AC152" s="425"/>
    </row>
    <row r="153" ht="15.75" customHeight="1">
      <c r="A153" s="425"/>
      <c r="B153" s="425"/>
      <c r="C153" s="425"/>
      <c r="D153" s="511"/>
      <c r="E153" s="235"/>
      <c r="F153" s="425"/>
      <c r="G153" s="425"/>
      <c r="H153" s="425"/>
      <c r="I153" s="425"/>
      <c r="J153" s="511"/>
      <c r="K153" s="235"/>
      <c r="L153" s="425"/>
      <c r="M153" s="425"/>
      <c r="N153" s="425"/>
      <c r="O153" s="425"/>
      <c r="P153" s="511"/>
      <c r="Q153" s="235"/>
      <c r="R153" s="425"/>
      <c r="S153" s="425"/>
      <c r="T153" s="425"/>
      <c r="U153" s="425"/>
      <c r="V153" s="425"/>
      <c r="W153" s="425"/>
      <c r="X153" s="425"/>
      <c r="Y153" s="425"/>
      <c r="Z153" s="425"/>
      <c r="AA153" s="425"/>
      <c r="AB153" s="425"/>
      <c r="AC153" s="425"/>
    </row>
    <row r="154" ht="15.75" customHeight="1">
      <c r="A154" s="425"/>
      <c r="B154" s="425"/>
      <c r="C154" s="425"/>
      <c r="D154" s="511"/>
      <c r="E154" s="235"/>
      <c r="F154" s="425"/>
      <c r="G154" s="425"/>
      <c r="H154" s="425"/>
      <c r="I154" s="425"/>
      <c r="J154" s="511"/>
      <c r="K154" s="235"/>
      <c r="L154" s="425"/>
      <c r="M154" s="425"/>
      <c r="N154" s="425"/>
      <c r="O154" s="425"/>
      <c r="P154" s="511"/>
      <c r="Q154" s="235"/>
      <c r="R154" s="425"/>
      <c r="S154" s="425"/>
      <c r="T154" s="425"/>
      <c r="U154" s="425"/>
      <c r="V154" s="425"/>
      <c r="W154" s="425"/>
      <c r="X154" s="425"/>
      <c r="Y154" s="425"/>
      <c r="Z154" s="425"/>
      <c r="AA154" s="425"/>
      <c r="AB154" s="425"/>
      <c r="AC154" s="425"/>
    </row>
    <row r="155" ht="15.75" customHeight="1">
      <c r="A155" s="425"/>
      <c r="B155" s="425"/>
      <c r="C155" s="425"/>
      <c r="D155" s="511"/>
      <c r="E155" s="235"/>
      <c r="F155" s="425"/>
      <c r="G155" s="425"/>
      <c r="H155" s="425"/>
      <c r="I155" s="425"/>
      <c r="J155" s="511"/>
      <c r="K155" s="235"/>
      <c r="L155" s="425"/>
      <c r="M155" s="425"/>
      <c r="N155" s="425"/>
      <c r="O155" s="425"/>
      <c r="P155" s="511"/>
      <c r="Q155" s="235"/>
      <c r="R155" s="425"/>
      <c r="S155" s="425"/>
      <c r="T155" s="425"/>
      <c r="U155" s="425"/>
      <c r="V155" s="425"/>
      <c r="W155" s="425"/>
      <c r="X155" s="425"/>
      <c r="Y155" s="425"/>
      <c r="Z155" s="425"/>
      <c r="AA155" s="425"/>
      <c r="AB155" s="425"/>
      <c r="AC155" s="425"/>
    </row>
    <row r="156" ht="15.75" customHeight="1">
      <c r="A156" s="425"/>
      <c r="B156" s="425"/>
      <c r="C156" s="425"/>
      <c r="D156" s="511"/>
      <c r="E156" s="235"/>
      <c r="F156" s="425"/>
      <c r="G156" s="425"/>
      <c r="H156" s="425"/>
      <c r="I156" s="425"/>
      <c r="J156" s="511"/>
      <c r="K156" s="235"/>
      <c r="L156" s="425"/>
      <c r="M156" s="425"/>
      <c r="N156" s="425"/>
      <c r="O156" s="425"/>
      <c r="P156" s="511"/>
      <c r="Q156" s="235"/>
      <c r="R156" s="425"/>
      <c r="S156" s="425"/>
      <c r="T156" s="425"/>
      <c r="U156" s="425"/>
      <c r="V156" s="425"/>
      <c r="W156" s="425"/>
      <c r="X156" s="425"/>
      <c r="Y156" s="425"/>
      <c r="Z156" s="425"/>
      <c r="AA156" s="425"/>
      <c r="AB156" s="425"/>
      <c r="AC156" s="425"/>
    </row>
    <row r="157" ht="15.75" customHeight="1">
      <c r="A157" s="425"/>
      <c r="B157" s="425"/>
      <c r="C157" s="425"/>
      <c r="D157" s="511"/>
      <c r="E157" s="235"/>
      <c r="F157" s="425"/>
      <c r="G157" s="425"/>
      <c r="H157" s="425"/>
      <c r="I157" s="425"/>
      <c r="J157" s="511"/>
      <c r="K157" s="235"/>
      <c r="L157" s="425"/>
      <c r="M157" s="425"/>
      <c r="N157" s="425"/>
      <c r="O157" s="425"/>
      <c r="P157" s="511"/>
      <c r="Q157" s="235"/>
      <c r="R157" s="425"/>
      <c r="S157" s="425"/>
      <c r="T157" s="425"/>
      <c r="U157" s="425"/>
      <c r="V157" s="425"/>
      <c r="W157" s="425"/>
      <c r="X157" s="425"/>
      <c r="Y157" s="425"/>
      <c r="Z157" s="425"/>
      <c r="AA157" s="425"/>
      <c r="AB157" s="425"/>
      <c r="AC157" s="425"/>
    </row>
    <row r="158" ht="15.75" customHeight="1">
      <c r="A158" s="425"/>
      <c r="B158" s="425"/>
      <c r="C158" s="425"/>
      <c r="D158" s="511"/>
      <c r="E158" s="235"/>
      <c r="F158" s="425"/>
      <c r="G158" s="425"/>
      <c r="H158" s="425"/>
      <c r="I158" s="425"/>
      <c r="J158" s="511"/>
      <c r="K158" s="235"/>
      <c r="L158" s="425"/>
      <c r="M158" s="425"/>
      <c r="N158" s="425"/>
      <c r="O158" s="425"/>
      <c r="P158" s="511"/>
      <c r="Q158" s="235"/>
      <c r="R158" s="425"/>
      <c r="S158" s="425"/>
      <c r="T158" s="425"/>
      <c r="U158" s="425"/>
      <c r="V158" s="425"/>
      <c r="W158" s="425"/>
      <c r="X158" s="425"/>
      <c r="Y158" s="425"/>
      <c r="Z158" s="425"/>
      <c r="AA158" s="425"/>
      <c r="AB158" s="425"/>
      <c r="AC158" s="425"/>
    </row>
    <row r="159" ht="15.75" customHeight="1">
      <c r="A159" s="425"/>
      <c r="B159" s="425"/>
      <c r="C159" s="425"/>
      <c r="D159" s="511"/>
      <c r="E159" s="235"/>
      <c r="F159" s="425"/>
      <c r="G159" s="425"/>
      <c r="H159" s="425"/>
      <c r="I159" s="425"/>
      <c r="J159" s="511"/>
      <c r="K159" s="235"/>
      <c r="L159" s="425"/>
      <c r="M159" s="425"/>
      <c r="N159" s="425"/>
      <c r="O159" s="425"/>
      <c r="P159" s="511"/>
      <c r="Q159" s="235"/>
      <c r="R159" s="425"/>
      <c r="S159" s="425"/>
      <c r="T159" s="425"/>
      <c r="U159" s="425"/>
      <c r="V159" s="425"/>
      <c r="W159" s="425"/>
      <c r="X159" s="425"/>
      <c r="Y159" s="425"/>
      <c r="Z159" s="425"/>
      <c r="AA159" s="425"/>
      <c r="AB159" s="425"/>
      <c r="AC159" s="425"/>
    </row>
    <row r="160" ht="15.75" customHeight="1">
      <c r="A160" s="425"/>
      <c r="B160" s="425"/>
      <c r="C160" s="425"/>
      <c r="D160" s="511"/>
      <c r="E160" s="235"/>
      <c r="F160" s="425"/>
      <c r="G160" s="425"/>
      <c r="H160" s="425"/>
      <c r="I160" s="425"/>
      <c r="J160" s="511"/>
      <c r="K160" s="235"/>
      <c r="L160" s="425"/>
      <c r="M160" s="425"/>
      <c r="N160" s="425"/>
      <c r="O160" s="425"/>
      <c r="P160" s="511"/>
      <c r="Q160" s="235"/>
      <c r="R160" s="425"/>
      <c r="S160" s="425"/>
      <c r="T160" s="425"/>
      <c r="U160" s="425"/>
      <c r="V160" s="425"/>
      <c r="W160" s="425"/>
      <c r="X160" s="425"/>
      <c r="Y160" s="425"/>
      <c r="Z160" s="425"/>
      <c r="AA160" s="425"/>
      <c r="AB160" s="425"/>
      <c r="AC160" s="425"/>
    </row>
    <row r="161" ht="15.75" customHeight="1">
      <c r="A161" s="425"/>
      <c r="B161" s="425"/>
      <c r="C161" s="425"/>
      <c r="D161" s="511"/>
      <c r="E161" s="235"/>
      <c r="F161" s="425"/>
      <c r="G161" s="425"/>
      <c r="H161" s="425"/>
      <c r="I161" s="425"/>
      <c r="J161" s="511"/>
      <c r="K161" s="235"/>
      <c r="L161" s="425"/>
      <c r="M161" s="425"/>
      <c r="N161" s="425"/>
      <c r="O161" s="425"/>
      <c r="P161" s="511"/>
      <c r="Q161" s="235"/>
      <c r="R161" s="425"/>
      <c r="S161" s="425"/>
      <c r="T161" s="425"/>
      <c r="U161" s="425"/>
      <c r="V161" s="425"/>
      <c r="W161" s="425"/>
      <c r="X161" s="425"/>
      <c r="Y161" s="425"/>
      <c r="Z161" s="425"/>
      <c r="AA161" s="425"/>
      <c r="AB161" s="425"/>
      <c r="AC161" s="425"/>
    </row>
    <row r="162" ht="15.75" customHeight="1">
      <c r="A162" s="425"/>
      <c r="B162" s="425"/>
      <c r="C162" s="425"/>
      <c r="D162" s="511"/>
      <c r="E162" s="235"/>
      <c r="F162" s="425"/>
      <c r="G162" s="425"/>
      <c r="H162" s="425"/>
      <c r="I162" s="425"/>
      <c r="J162" s="511"/>
      <c r="K162" s="235"/>
      <c r="L162" s="425"/>
      <c r="M162" s="425"/>
      <c r="N162" s="425"/>
      <c r="O162" s="425"/>
      <c r="P162" s="511"/>
      <c r="Q162" s="235"/>
      <c r="R162" s="425"/>
      <c r="S162" s="425"/>
      <c r="T162" s="425"/>
      <c r="U162" s="425"/>
      <c r="V162" s="425"/>
      <c r="W162" s="425"/>
      <c r="X162" s="425"/>
      <c r="Y162" s="425"/>
      <c r="Z162" s="425"/>
      <c r="AA162" s="425"/>
      <c r="AB162" s="425"/>
      <c r="AC162" s="425"/>
    </row>
    <row r="163" ht="15.75" customHeight="1">
      <c r="A163" s="425"/>
      <c r="B163" s="425"/>
      <c r="C163" s="425"/>
      <c r="D163" s="511"/>
      <c r="E163" s="235"/>
      <c r="F163" s="425"/>
      <c r="G163" s="425"/>
      <c r="H163" s="425"/>
      <c r="I163" s="425"/>
      <c r="J163" s="511"/>
      <c r="K163" s="235"/>
      <c r="L163" s="425"/>
      <c r="M163" s="425"/>
      <c r="N163" s="425"/>
      <c r="O163" s="425"/>
      <c r="P163" s="511"/>
      <c r="Q163" s="235"/>
      <c r="R163" s="425"/>
      <c r="S163" s="425"/>
      <c r="T163" s="425"/>
      <c r="U163" s="425"/>
      <c r="V163" s="425"/>
      <c r="W163" s="425"/>
      <c r="X163" s="425"/>
      <c r="Y163" s="425"/>
      <c r="Z163" s="425"/>
      <c r="AA163" s="425"/>
      <c r="AB163" s="425"/>
      <c r="AC163" s="425"/>
    </row>
    <row r="164" ht="15.75" customHeight="1">
      <c r="A164" s="425"/>
      <c r="B164" s="425"/>
      <c r="C164" s="425"/>
      <c r="D164" s="511"/>
      <c r="E164" s="235"/>
      <c r="F164" s="425"/>
      <c r="G164" s="425"/>
      <c r="H164" s="425"/>
      <c r="I164" s="425"/>
      <c r="J164" s="511"/>
      <c r="K164" s="235"/>
      <c r="L164" s="425"/>
      <c r="M164" s="425"/>
      <c r="N164" s="425"/>
      <c r="O164" s="425"/>
      <c r="P164" s="511"/>
      <c r="Q164" s="235"/>
      <c r="R164" s="425"/>
      <c r="S164" s="425"/>
      <c r="T164" s="425"/>
      <c r="U164" s="425"/>
      <c r="V164" s="425"/>
      <c r="W164" s="425"/>
      <c r="X164" s="425"/>
      <c r="Y164" s="425"/>
      <c r="Z164" s="425"/>
      <c r="AA164" s="425"/>
      <c r="AB164" s="425"/>
      <c r="AC164" s="425"/>
    </row>
    <row r="165" ht="15.75" customHeight="1">
      <c r="A165" s="425"/>
      <c r="B165" s="425"/>
      <c r="C165" s="425"/>
      <c r="D165" s="511"/>
      <c r="E165" s="235"/>
      <c r="F165" s="425"/>
      <c r="G165" s="425"/>
      <c r="H165" s="425"/>
      <c r="I165" s="425"/>
      <c r="J165" s="511"/>
      <c r="K165" s="235"/>
      <c r="L165" s="425"/>
      <c r="M165" s="425"/>
      <c r="N165" s="425"/>
      <c r="O165" s="425"/>
      <c r="P165" s="511"/>
      <c r="Q165" s="235"/>
      <c r="R165" s="425"/>
      <c r="S165" s="425"/>
      <c r="T165" s="425"/>
      <c r="U165" s="425"/>
      <c r="V165" s="425"/>
      <c r="W165" s="425"/>
      <c r="X165" s="425"/>
      <c r="Y165" s="425"/>
      <c r="Z165" s="425"/>
      <c r="AA165" s="425"/>
      <c r="AB165" s="425"/>
      <c r="AC165" s="425"/>
    </row>
    <row r="166" ht="15.75" customHeight="1">
      <c r="A166" s="425"/>
      <c r="B166" s="425"/>
      <c r="C166" s="425"/>
      <c r="D166" s="511"/>
      <c r="E166" s="235"/>
      <c r="F166" s="425"/>
      <c r="G166" s="425"/>
      <c r="H166" s="425"/>
      <c r="I166" s="425"/>
      <c r="J166" s="511"/>
      <c r="K166" s="235"/>
      <c r="L166" s="425"/>
      <c r="M166" s="425"/>
      <c r="N166" s="425"/>
      <c r="O166" s="425"/>
      <c r="P166" s="511"/>
      <c r="Q166" s="235"/>
      <c r="R166" s="425"/>
      <c r="S166" s="425"/>
      <c r="T166" s="425"/>
      <c r="U166" s="425"/>
      <c r="V166" s="425"/>
      <c r="W166" s="425"/>
      <c r="X166" s="425"/>
      <c r="Y166" s="425"/>
      <c r="Z166" s="425"/>
      <c r="AA166" s="425"/>
      <c r="AB166" s="425"/>
      <c r="AC166" s="425"/>
    </row>
    <row r="167" ht="15.75" customHeight="1">
      <c r="A167" s="425"/>
      <c r="B167" s="425"/>
      <c r="C167" s="425"/>
      <c r="D167" s="511"/>
      <c r="E167" s="235"/>
      <c r="F167" s="425"/>
      <c r="G167" s="425"/>
      <c r="H167" s="425"/>
      <c r="I167" s="425"/>
      <c r="J167" s="511"/>
      <c r="K167" s="235"/>
      <c r="L167" s="425"/>
      <c r="M167" s="425"/>
      <c r="N167" s="425"/>
      <c r="O167" s="425"/>
      <c r="P167" s="511"/>
      <c r="Q167" s="235"/>
      <c r="R167" s="425"/>
      <c r="S167" s="425"/>
      <c r="T167" s="425"/>
      <c r="U167" s="425"/>
      <c r="V167" s="425"/>
      <c r="W167" s="425"/>
      <c r="X167" s="425"/>
      <c r="Y167" s="425"/>
      <c r="Z167" s="425"/>
      <c r="AA167" s="425"/>
      <c r="AB167" s="425"/>
      <c r="AC167" s="425"/>
    </row>
    <row r="168" ht="15.75" customHeight="1">
      <c r="A168" s="425"/>
      <c r="B168" s="425"/>
      <c r="C168" s="425"/>
      <c r="D168" s="511"/>
      <c r="E168" s="235"/>
      <c r="F168" s="425"/>
      <c r="G168" s="425"/>
      <c r="H168" s="425"/>
      <c r="I168" s="425"/>
      <c r="J168" s="511"/>
      <c r="K168" s="235"/>
      <c r="L168" s="425"/>
      <c r="M168" s="425"/>
      <c r="N168" s="425"/>
      <c r="O168" s="425"/>
      <c r="P168" s="511"/>
      <c r="Q168" s="235"/>
      <c r="R168" s="425"/>
      <c r="S168" s="425"/>
      <c r="T168" s="425"/>
      <c r="U168" s="425"/>
      <c r="V168" s="425"/>
      <c r="W168" s="425"/>
      <c r="X168" s="425"/>
      <c r="Y168" s="425"/>
      <c r="Z168" s="425"/>
      <c r="AA168" s="425"/>
      <c r="AB168" s="425"/>
      <c r="AC168" s="425"/>
    </row>
    <row r="169" ht="15.75" customHeight="1">
      <c r="A169" s="425"/>
      <c r="B169" s="425"/>
      <c r="C169" s="425"/>
      <c r="D169" s="511"/>
      <c r="E169" s="235"/>
      <c r="F169" s="425"/>
      <c r="G169" s="425"/>
      <c r="H169" s="425"/>
      <c r="I169" s="425"/>
      <c r="J169" s="511"/>
      <c r="K169" s="235"/>
      <c r="L169" s="425"/>
      <c r="M169" s="425"/>
      <c r="N169" s="425"/>
      <c r="O169" s="425"/>
      <c r="P169" s="511"/>
      <c r="Q169" s="235"/>
      <c r="R169" s="425"/>
      <c r="S169" s="425"/>
      <c r="T169" s="425"/>
      <c r="U169" s="425"/>
      <c r="V169" s="425"/>
      <c r="W169" s="425"/>
      <c r="X169" s="425"/>
      <c r="Y169" s="425"/>
      <c r="Z169" s="425"/>
      <c r="AA169" s="425"/>
      <c r="AB169" s="425"/>
      <c r="AC169" s="425"/>
    </row>
    <row r="170" ht="15.75" customHeight="1">
      <c r="A170" s="425"/>
      <c r="B170" s="425"/>
      <c r="C170" s="425"/>
      <c r="D170" s="511"/>
      <c r="E170" s="235"/>
      <c r="F170" s="425"/>
      <c r="G170" s="425"/>
      <c r="H170" s="425"/>
      <c r="I170" s="425"/>
      <c r="J170" s="511"/>
      <c r="K170" s="235"/>
      <c r="L170" s="425"/>
      <c r="M170" s="425"/>
      <c r="N170" s="425"/>
      <c r="O170" s="425"/>
      <c r="P170" s="511"/>
      <c r="Q170" s="235"/>
      <c r="R170" s="425"/>
      <c r="S170" s="425"/>
      <c r="T170" s="425"/>
      <c r="U170" s="425"/>
      <c r="V170" s="425"/>
      <c r="W170" s="425"/>
      <c r="X170" s="425"/>
      <c r="Y170" s="425"/>
      <c r="Z170" s="425"/>
      <c r="AA170" s="425"/>
      <c r="AB170" s="425"/>
      <c r="AC170" s="425"/>
    </row>
    <row r="171" ht="15.75" customHeight="1">
      <c r="A171" s="425"/>
      <c r="B171" s="425"/>
      <c r="C171" s="425"/>
      <c r="D171" s="511"/>
      <c r="E171" s="235"/>
      <c r="F171" s="425"/>
      <c r="G171" s="425"/>
      <c r="H171" s="425"/>
      <c r="I171" s="425"/>
      <c r="J171" s="511"/>
      <c r="K171" s="235"/>
      <c r="L171" s="425"/>
      <c r="M171" s="425"/>
      <c r="N171" s="425"/>
      <c r="O171" s="425"/>
      <c r="P171" s="511"/>
      <c r="Q171" s="235"/>
      <c r="R171" s="425"/>
      <c r="S171" s="425"/>
      <c r="T171" s="425"/>
      <c r="U171" s="425"/>
      <c r="V171" s="425"/>
      <c r="W171" s="425"/>
      <c r="X171" s="425"/>
      <c r="Y171" s="425"/>
      <c r="Z171" s="425"/>
      <c r="AA171" s="425"/>
      <c r="AB171" s="425"/>
      <c r="AC171" s="425"/>
    </row>
    <row r="172" ht="15.75" customHeight="1">
      <c r="A172" s="425"/>
      <c r="B172" s="425"/>
      <c r="C172" s="425"/>
      <c r="D172" s="511"/>
      <c r="E172" s="235"/>
      <c r="F172" s="425"/>
      <c r="G172" s="425"/>
      <c r="H172" s="425"/>
      <c r="I172" s="425"/>
      <c r="J172" s="511"/>
      <c r="K172" s="235"/>
      <c r="L172" s="425"/>
      <c r="M172" s="425"/>
      <c r="N172" s="425"/>
      <c r="O172" s="425"/>
      <c r="P172" s="511"/>
      <c r="Q172" s="235"/>
      <c r="R172" s="425"/>
      <c r="S172" s="425"/>
      <c r="T172" s="425"/>
      <c r="U172" s="425"/>
      <c r="V172" s="425"/>
      <c r="W172" s="425"/>
      <c r="X172" s="425"/>
      <c r="Y172" s="425"/>
      <c r="Z172" s="425"/>
      <c r="AA172" s="425"/>
      <c r="AB172" s="425"/>
      <c r="AC172" s="425"/>
    </row>
    <row r="173" ht="15.75" customHeight="1">
      <c r="A173" s="425"/>
      <c r="B173" s="425"/>
      <c r="C173" s="425"/>
      <c r="D173" s="511"/>
      <c r="E173" s="235"/>
      <c r="F173" s="425"/>
      <c r="G173" s="425"/>
      <c r="H173" s="425"/>
      <c r="I173" s="425"/>
      <c r="J173" s="511"/>
      <c r="K173" s="235"/>
      <c r="L173" s="425"/>
      <c r="M173" s="425"/>
      <c r="N173" s="425"/>
      <c r="O173" s="425"/>
      <c r="P173" s="511"/>
      <c r="Q173" s="235"/>
      <c r="R173" s="425"/>
      <c r="S173" s="425"/>
      <c r="T173" s="425"/>
      <c r="U173" s="425"/>
      <c r="V173" s="425"/>
      <c r="W173" s="425"/>
      <c r="X173" s="425"/>
      <c r="Y173" s="425"/>
      <c r="Z173" s="425"/>
      <c r="AA173" s="425"/>
      <c r="AB173" s="425"/>
      <c r="AC173" s="425"/>
    </row>
    <row r="174" ht="15.75" customHeight="1">
      <c r="A174" s="425"/>
      <c r="B174" s="425"/>
      <c r="C174" s="425"/>
      <c r="D174" s="511"/>
      <c r="E174" s="235"/>
      <c r="F174" s="425"/>
      <c r="G174" s="425"/>
      <c r="H174" s="425"/>
      <c r="I174" s="425"/>
      <c r="J174" s="511"/>
      <c r="K174" s="235"/>
      <c r="L174" s="425"/>
      <c r="M174" s="425"/>
      <c r="N174" s="425"/>
      <c r="O174" s="425"/>
      <c r="P174" s="511"/>
      <c r="Q174" s="235"/>
      <c r="R174" s="425"/>
      <c r="S174" s="425"/>
      <c r="T174" s="425"/>
      <c r="U174" s="425"/>
      <c r="V174" s="425"/>
      <c r="W174" s="425"/>
      <c r="X174" s="425"/>
      <c r="Y174" s="425"/>
      <c r="Z174" s="425"/>
      <c r="AA174" s="425"/>
      <c r="AB174" s="425"/>
      <c r="AC174" s="425"/>
    </row>
    <row r="175" ht="15.75" customHeight="1">
      <c r="A175" s="425"/>
      <c r="B175" s="425"/>
      <c r="C175" s="425"/>
      <c r="D175" s="511"/>
      <c r="E175" s="235"/>
      <c r="F175" s="425"/>
      <c r="G175" s="425"/>
      <c r="H175" s="425"/>
      <c r="I175" s="425"/>
      <c r="J175" s="511"/>
      <c r="K175" s="235"/>
      <c r="L175" s="425"/>
      <c r="M175" s="425"/>
      <c r="N175" s="425"/>
      <c r="O175" s="425"/>
      <c r="P175" s="511"/>
      <c r="Q175" s="235"/>
      <c r="R175" s="425"/>
      <c r="S175" s="425"/>
      <c r="T175" s="425"/>
      <c r="U175" s="425"/>
      <c r="V175" s="425"/>
      <c r="W175" s="425"/>
      <c r="X175" s="425"/>
      <c r="Y175" s="425"/>
      <c r="Z175" s="425"/>
      <c r="AA175" s="425"/>
      <c r="AB175" s="425"/>
      <c r="AC175" s="425"/>
    </row>
    <row r="176" ht="15.75" customHeight="1">
      <c r="A176" s="425"/>
      <c r="B176" s="425"/>
      <c r="C176" s="425"/>
      <c r="D176" s="511"/>
      <c r="E176" s="235"/>
      <c r="F176" s="425"/>
      <c r="G176" s="425"/>
      <c r="H176" s="425"/>
      <c r="I176" s="425"/>
      <c r="J176" s="511"/>
      <c r="K176" s="235"/>
      <c r="L176" s="425"/>
      <c r="M176" s="425"/>
      <c r="N176" s="425"/>
      <c r="O176" s="425"/>
      <c r="P176" s="511"/>
      <c r="Q176" s="235"/>
      <c r="R176" s="425"/>
      <c r="S176" s="425"/>
      <c r="T176" s="425"/>
      <c r="U176" s="425"/>
      <c r="V176" s="425"/>
      <c r="W176" s="425"/>
      <c r="X176" s="425"/>
      <c r="Y176" s="425"/>
      <c r="Z176" s="425"/>
      <c r="AA176" s="425"/>
      <c r="AB176" s="425"/>
      <c r="AC176" s="425"/>
    </row>
    <row r="177" ht="15.75" customHeight="1">
      <c r="A177" s="425"/>
      <c r="B177" s="425"/>
      <c r="C177" s="425"/>
      <c r="D177" s="511"/>
      <c r="E177" s="235"/>
      <c r="F177" s="425"/>
      <c r="G177" s="425"/>
      <c r="H177" s="425"/>
      <c r="I177" s="425"/>
      <c r="J177" s="511"/>
      <c r="K177" s="235"/>
      <c r="L177" s="425"/>
      <c r="M177" s="425"/>
      <c r="N177" s="425"/>
      <c r="O177" s="425"/>
      <c r="P177" s="511"/>
      <c r="Q177" s="235"/>
      <c r="R177" s="425"/>
      <c r="S177" s="425"/>
      <c r="T177" s="425"/>
      <c r="U177" s="425"/>
      <c r="V177" s="425"/>
      <c r="W177" s="425"/>
      <c r="X177" s="425"/>
      <c r="Y177" s="425"/>
      <c r="Z177" s="425"/>
      <c r="AA177" s="425"/>
      <c r="AB177" s="425"/>
      <c r="AC177" s="425"/>
    </row>
    <row r="178" ht="15.75" customHeight="1">
      <c r="A178" s="425"/>
      <c r="B178" s="425"/>
      <c r="C178" s="425"/>
      <c r="D178" s="511"/>
      <c r="E178" s="235"/>
      <c r="F178" s="425"/>
      <c r="G178" s="425"/>
      <c r="H178" s="425"/>
      <c r="I178" s="425"/>
      <c r="J178" s="511"/>
      <c r="K178" s="235"/>
      <c r="L178" s="425"/>
      <c r="M178" s="425"/>
      <c r="N178" s="425"/>
      <c r="O178" s="425"/>
      <c r="P178" s="511"/>
      <c r="Q178" s="235"/>
      <c r="R178" s="425"/>
      <c r="S178" s="425"/>
      <c r="T178" s="425"/>
      <c r="U178" s="425"/>
      <c r="V178" s="425"/>
      <c r="W178" s="425"/>
      <c r="X178" s="425"/>
      <c r="Y178" s="425"/>
      <c r="Z178" s="425"/>
      <c r="AA178" s="425"/>
      <c r="AB178" s="425"/>
      <c r="AC178" s="425"/>
    </row>
    <row r="179" ht="15.75" customHeight="1">
      <c r="A179" s="425"/>
      <c r="B179" s="425"/>
      <c r="C179" s="425"/>
      <c r="D179" s="511"/>
      <c r="E179" s="235"/>
      <c r="F179" s="425"/>
      <c r="G179" s="425"/>
      <c r="H179" s="425"/>
      <c r="I179" s="425"/>
      <c r="J179" s="511"/>
      <c r="K179" s="235"/>
      <c r="L179" s="425"/>
      <c r="M179" s="425"/>
      <c r="N179" s="425"/>
      <c r="O179" s="425"/>
      <c r="P179" s="511"/>
      <c r="Q179" s="235"/>
      <c r="R179" s="425"/>
      <c r="S179" s="425"/>
      <c r="T179" s="425"/>
      <c r="U179" s="425"/>
      <c r="V179" s="425"/>
      <c r="W179" s="425"/>
      <c r="X179" s="425"/>
      <c r="Y179" s="425"/>
      <c r="Z179" s="425"/>
      <c r="AA179" s="425"/>
      <c r="AB179" s="425"/>
      <c r="AC179" s="425"/>
    </row>
    <row r="180" ht="15.75" customHeight="1">
      <c r="A180" s="425"/>
      <c r="B180" s="425"/>
      <c r="C180" s="425"/>
      <c r="D180" s="511"/>
      <c r="E180" s="235"/>
      <c r="F180" s="425"/>
      <c r="G180" s="425"/>
      <c r="H180" s="425"/>
      <c r="I180" s="425"/>
      <c r="J180" s="511"/>
      <c r="K180" s="235"/>
      <c r="L180" s="425"/>
      <c r="M180" s="425"/>
      <c r="N180" s="425"/>
      <c r="O180" s="425"/>
      <c r="P180" s="511"/>
      <c r="Q180" s="235"/>
      <c r="R180" s="425"/>
      <c r="S180" s="425"/>
      <c r="T180" s="425"/>
      <c r="U180" s="425"/>
      <c r="V180" s="425"/>
      <c r="W180" s="425"/>
      <c r="X180" s="425"/>
      <c r="Y180" s="425"/>
      <c r="Z180" s="425"/>
      <c r="AA180" s="425"/>
      <c r="AB180" s="425"/>
      <c r="AC180" s="425"/>
    </row>
    <row r="181" ht="15.75" customHeight="1">
      <c r="A181" s="425"/>
      <c r="B181" s="425"/>
      <c r="C181" s="425"/>
      <c r="D181" s="511"/>
      <c r="E181" s="235"/>
      <c r="F181" s="425"/>
      <c r="G181" s="425"/>
      <c r="H181" s="425"/>
      <c r="I181" s="425"/>
      <c r="J181" s="511"/>
      <c r="K181" s="235"/>
      <c r="L181" s="425"/>
      <c r="M181" s="425"/>
      <c r="N181" s="425"/>
      <c r="O181" s="425"/>
      <c r="P181" s="511"/>
      <c r="Q181" s="235"/>
      <c r="R181" s="425"/>
      <c r="S181" s="425"/>
      <c r="T181" s="425"/>
      <c r="U181" s="425"/>
      <c r="V181" s="425"/>
      <c r="W181" s="425"/>
      <c r="X181" s="425"/>
      <c r="Y181" s="425"/>
      <c r="Z181" s="425"/>
      <c r="AA181" s="425"/>
      <c r="AB181" s="425"/>
      <c r="AC181" s="425"/>
    </row>
    <row r="182" ht="15.75" customHeight="1">
      <c r="A182" s="425"/>
      <c r="B182" s="425"/>
      <c r="C182" s="425"/>
      <c r="D182" s="511"/>
      <c r="E182" s="235"/>
      <c r="F182" s="425"/>
      <c r="G182" s="425"/>
      <c r="H182" s="425"/>
      <c r="I182" s="425"/>
      <c r="J182" s="511"/>
      <c r="K182" s="235"/>
      <c r="L182" s="425"/>
      <c r="M182" s="425"/>
      <c r="N182" s="425"/>
      <c r="O182" s="425"/>
      <c r="P182" s="511"/>
      <c r="Q182" s="235"/>
      <c r="R182" s="425"/>
      <c r="S182" s="425"/>
      <c r="T182" s="425"/>
      <c r="U182" s="425"/>
      <c r="V182" s="425"/>
      <c r="W182" s="425"/>
      <c r="X182" s="425"/>
      <c r="Y182" s="425"/>
      <c r="Z182" s="425"/>
      <c r="AA182" s="425"/>
      <c r="AB182" s="425"/>
      <c r="AC182" s="425"/>
    </row>
    <row r="183" ht="15.75" customHeight="1">
      <c r="A183" s="425"/>
      <c r="B183" s="425"/>
      <c r="C183" s="425"/>
      <c r="D183" s="511"/>
      <c r="E183" s="235"/>
      <c r="F183" s="425"/>
      <c r="G183" s="425"/>
      <c r="H183" s="425"/>
      <c r="I183" s="425"/>
      <c r="J183" s="511"/>
      <c r="K183" s="235"/>
      <c r="L183" s="425"/>
      <c r="M183" s="425"/>
      <c r="N183" s="425"/>
      <c r="O183" s="425"/>
      <c r="P183" s="511"/>
      <c r="Q183" s="235"/>
      <c r="R183" s="425"/>
      <c r="S183" s="425"/>
      <c r="T183" s="425"/>
      <c r="U183" s="425"/>
      <c r="V183" s="425"/>
      <c r="W183" s="425"/>
      <c r="X183" s="425"/>
      <c r="Y183" s="425"/>
      <c r="Z183" s="425"/>
      <c r="AA183" s="425"/>
      <c r="AB183" s="425"/>
      <c r="AC183" s="425"/>
    </row>
    <row r="184" ht="15.75" customHeight="1">
      <c r="A184" s="425"/>
      <c r="B184" s="425"/>
      <c r="C184" s="425"/>
      <c r="D184" s="511"/>
      <c r="E184" s="235"/>
      <c r="F184" s="425"/>
      <c r="G184" s="425"/>
      <c r="H184" s="425"/>
      <c r="I184" s="425"/>
      <c r="J184" s="511"/>
      <c r="K184" s="235"/>
      <c r="L184" s="425"/>
      <c r="M184" s="425"/>
      <c r="N184" s="425"/>
      <c r="O184" s="425"/>
      <c r="P184" s="511"/>
      <c r="Q184" s="235"/>
      <c r="R184" s="425"/>
      <c r="S184" s="425"/>
      <c r="T184" s="425"/>
      <c r="U184" s="425"/>
      <c r="V184" s="425"/>
      <c r="W184" s="425"/>
      <c r="X184" s="425"/>
      <c r="Y184" s="425"/>
      <c r="Z184" s="425"/>
      <c r="AA184" s="425"/>
      <c r="AB184" s="425"/>
      <c r="AC184" s="425"/>
    </row>
    <row r="185" ht="15.75" customHeight="1">
      <c r="A185" s="425"/>
      <c r="B185" s="425"/>
      <c r="C185" s="425"/>
      <c r="D185" s="511"/>
      <c r="E185" s="235"/>
      <c r="F185" s="425"/>
      <c r="G185" s="425"/>
      <c r="H185" s="425"/>
      <c r="I185" s="425"/>
      <c r="J185" s="511"/>
      <c r="K185" s="235"/>
      <c r="L185" s="425"/>
      <c r="M185" s="425"/>
      <c r="N185" s="425"/>
      <c r="O185" s="425"/>
      <c r="P185" s="511"/>
      <c r="Q185" s="235"/>
      <c r="R185" s="425"/>
      <c r="S185" s="425"/>
      <c r="T185" s="425"/>
      <c r="U185" s="425"/>
      <c r="V185" s="425"/>
      <c r="W185" s="425"/>
      <c r="X185" s="425"/>
      <c r="Y185" s="425"/>
      <c r="Z185" s="425"/>
      <c r="AA185" s="425"/>
      <c r="AB185" s="425"/>
      <c r="AC185" s="425"/>
    </row>
    <row r="186" ht="15.75" customHeight="1">
      <c r="A186" s="425"/>
      <c r="B186" s="425"/>
      <c r="C186" s="425"/>
      <c r="D186" s="511"/>
      <c r="E186" s="235"/>
      <c r="F186" s="425"/>
      <c r="G186" s="425"/>
      <c r="H186" s="425"/>
      <c r="I186" s="425"/>
      <c r="J186" s="511"/>
      <c r="K186" s="235"/>
      <c r="L186" s="425"/>
      <c r="M186" s="425"/>
      <c r="N186" s="425"/>
      <c r="O186" s="425"/>
      <c r="P186" s="511"/>
      <c r="Q186" s="235"/>
      <c r="R186" s="425"/>
      <c r="S186" s="425"/>
      <c r="T186" s="425"/>
      <c r="U186" s="425"/>
      <c r="V186" s="425"/>
      <c r="W186" s="425"/>
      <c r="X186" s="425"/>
      <c r="Y186" s="425"/>
      <c r="Z186" s="425"/>
      <c r="AA186" s="425"/>
      <c r="AB186" s="425"/>
      <c r="AC186" s="425"/>
    </row>
    <row r="187" ht="15.75" customHeight="1">
      <c r="A187" s="425"/>
      <c r="B187" s="425"/>
      <c r="C187" s="425"/>
      <c r="D187" s="511"/>
      <c r="E187" s="235"/>
      <c r="F187" s="425"/>
      <c r="G187" s="425"/>
      <c r="H187" s="425"/>
      <c r="I187" s="425"/>
      <c r="J187" s="511"/>
      <c r="K187" s="235"/>
      <c r="L187" s="425"/>
      <c r="M187" s="425"/>
      <c r="N187" s="425"/>
      <c r="O187" s="425"/>
      <c r="P187" s="511"/>
      <c r="Q187" s="235"/>
      <c r="R187" s="425"/>
      <c r="S187" s="425"/>
      <c r="T187" s="425"/>
      <c r="U187" s="425"/>
      <c r="V187" s="425"/>
      <c r="W187" s="425"/>
      <c r="X187" s="425"/>
      <c r="Y187" s="425"/>
      <c r="Z187" s="425"/>
      <c r="AA187" s="425"/>
      <c r="AB187" s="425"/>
      <c r="AC187" s="425"/>
    </row>
    <row r="188" ht="15.75" customHeight="1">
      <c r="A188" s="425"/>
      <c r="B188" s="425"/>
      <c r="C188" s="425"/>
      <c r="D188" s="511"/>
      <c r="E188" s="235"/>
      <c r="F188" s="425"/>
      <c r="G188" s="425"/>
      <c r="H188" s="425"/>
      <c r="I188" s="425"/>
      <c r="J188" s="511"/>
      <c r="K188" s="235"/>
      <c r="L188" s="425"/>
      <c r="M188" s="425"/>
      <c r="N188" s="425"/>
      <c r="O188" s="425"/>
      <c r="P188" s="511"/>
      <c r="Q188" s="235"/>
      <c r="R188" s="425"/>
      <c r="S188" s="425"/>
      <c r="T188" s="425"/>
      <c r="U188" s="425"/>
      <c r="V188" s="425"/>
      <c r="W188" s="425"/>
      <c r="X188" s="425"/>
      <c r="Y188" s="425"/>
      <c r="Z188" s="425"/>
      <c r="AA188" s="425"/>
      <c r="AB188" s="425"/>
      <c r="AC188" s="425"/>
    </row>
    <row r="189" ht="15.75" customHeight="1">
      <c r="A189" s="425"/>
      <c r="B189" s="425"/>
      <c r="C189" s="425"/>
      <c r="D189" s="511"/>
      <c r="E189" s="235"/>
      <c r="F189" s="425"/>
      <c r="G189" s="425"/>
      <c r="H189" s="425"/>
      <c r="I189" s="425"/>
      <c r="J189" s="511"/>
      <c r="K189" s="235"/>
      <c r="L189" s="425"/>
      <c r="M189" s="425"/>
      <c r="N189" s="425"/>
      <c r="O189" s="425"/>
      <c r="P189" s="511"/>
      <c r="Q189" s="235"/>
      <c r="R189" s="425"/>
      <c r="S189" s="425"/>
      <c r="T189" s="425"/>
      <c r="U189" s="425"/>
      <c r="V189" s="425"/>
      <c r="W189" s="425"/>
      <c r="X189" s="425"/>
      <c r="Y189" s="425"/>
      <c r="Z189" s="425"/>
      <c r="AA189" s="425"/>
      <c r="AB189" s="425"/>
      <c r="AC189" s="425"/>
    </row>
    <row r="190" ht="15.75" customHeight="1">
      <c r="A190" s="425"/>
      <c r="B190" s="425"/>
      <c r="C190" s="425"/>
      <c r="D190" s="511"/>
      <c r="E190" s="235"/>
      <c r="F190" s="425"/>
      <c r="G190" s="425"/>
      <c r="H190" s="425"/>
      <c r="I190" s="425"/>
      <c r="J190" s="511"/>
      <c r="K190" s="235"/>
      <c r="L190" s="425"/>
      <c r="M190" s="425"/>
      <c r="N190" s="425"/>
      <c r="O190" s="425"/>
      <c r="P190" s="511"/>
      <c r="Q190" s="235"/>
      <c r="R190" s="425"/>
      <c r="S190" s="425"/>
      <c r="T190" s="425"/>
      <c r="U190" s="425"/>
      <c r="V190" s="425"/>
      <c r="W190" s="425"/>
      <c r="X190" s="425"/>
      <c r="Y190" s="425"/>
      <c r="Z190" s="425"/>
      <c r="AA190" s="425"/>
      <c r="AB190" s="425"/>
      <c r="AC190" s="425"/>
    </row>
    <row r="191" ht="15.75" customHeight="1">
      <c r="A191" s="425"/>
      <c r="B191" s="425"/>
      <c r="C191" s="425"/>
      <c r="D191" s="511"/>
      <c r="E191" s="235"/>
      <c r="F191" s="425"/>
      <c r="G191" s="425"/>
      <c r="H191" s="425"/>
      <c r="I191" s="425"/>
      <c r="J191" s="511"/>
      <c r="K191" s="235"/>
      <c r="L191" s="425"/>
      <c r="M191" s="425"/>
      <c r="N191" s="425"/>
      <c r="O191" s="425"/>
      <c r="P191" s="511"/>
      <c r="Q191" s="235"/>
      <c r="R191" s="425"/>
      <c r="S191" s="425"/>
      <c r="T191" s="425"/>
      <c r="U191" s="425"/>
      <c r="V191" s="425"/>
      <c r="W191" s="425"/>
      <c r="X191" s="425"/>
      <c r="Y191" s="425"/>
      <c r="Z191" s="425"/>
      <c r="AA191" s="425"/>
      <c r="AB191" s="425"/>
      <c r="AC191" s="425"/>
    </row>
    <row r="192" ht="15.75" customHeight="1">
      <c r="A192" s="425"/>
      <c r="B192" s="425"/>
      <c r="C192" s="425"/>
      <c r="D192" s="511"/>
      <c r="E192" s="235"/>
      <c r="F192" s="425"/>
      <c r="G192" s="425"/>
      <c r="H192" s="425"/>
      <c r="I192" s="425"/>
      <c r="J192" s="511"/>
      <c r="K192" s="235"/>
      <c r="L192" s="425"/>
      <c r="M192" s="425"/>
      <c r="N192" s="425"/>
      <c r="O192" s="425"/>
      <c r="P192" s="511"/>
      <c r="Q192" s="235"/>
      <c r="R192" s="425"/>
      <c r="S192" s="425"/>
      <c r="T192" s="425"/>
      <c r="U192" s="425"/>
      <c r="V192" s="425"/>
      <c r="W192" s="425"/>
      <c r="X192" s="425"/>
      <c r="Y192" s="425"/>
      <c r="Z192" s="425"/>
      <c r="AA192" s="425"/>
      <c r="AB192" s="425"/>
      <c r="AC192" s="425"/>
    </row>
    <row r="193" ht="15.75" customHeight="1">
      <c r="A193" s="425"/>
      <c r="B193" s="425"/>
      <c r="C193" s="425"/>
      <c r="D193" s="511"/>
      <c r="E193" s="235"/>
      <c r="F193" s="425"/>
      <c r="G193" s="425"/>
      <c r="H193" s="425"/>
      <c r="I193" s="425"/>
      <c r="J193" s="511"/>
      <c r="K193" s="235"/>
      <c r="L193" s="425"/>
      <c r="M193" s="425"/>
      <c r="N193" s="425"/>
      <c r="O193" s="425"/>
      <c r="P193" s="511"/>
      <c r="Q193" s="235"/>
      <c r="R193" s="425"/>
      <c r="S193" s="425"/>
      <c r="T193" s="425"/>
      <c r="U193" s="425"/>
      <c r="V193" s="425"/>
      <c r="W193" s="425"/>
      <c r="X193" s="425"/>
      <c r="Y193" s="425"/>
      <c r="Z193" s="425"/>
      <c r="AA193" s="425"/>
      <c r="AB193" s="425"/>
      <c r="AC193" s="425"/>
    </row>
    <row r="194" ht="15.75" customHeight="1">
      <c r="A194" s="425"/>
      <c r="B194" s="425"/>
      <c r="C194" s="425"/>
      <c r="D194" s="511"/>
      <c r="E194" s="235"/>
      <c r="F194" s="425"/>
      <c r="G194" s="425"/>
      <c r="H194" s="425"/>
      <c r="I194" s="425"/>
      <c r="J194" s="511"/>
      <c r="K194" s="235"/>
      <c r="L194" s="425"/>
      <c r="M194" s="425"/>
      <c r="N194" s="425"/>
      <c r="O194" s="425"/>
      <c r="P194" s="511"/>
      <c r="Q194" s="235"/>
      <c r="R194" s="425"/>
      <c r="S194" s="425"/>
      <c r="T194" s="425"/>
      <c r="U194" s="425"/>
      <c r="V194" s="425"/>
      <c r="W194" s="425"/>
      <c r="X194" s="425"/>
      <c r="Y194" s="425"/>
      <c r="Z194" s="425"/>
      <c r="AA194" s="425"/>
      <c r="AB194" s="425"/>
      <c r="AC194" s="425"/>
    </row>
    <row r="195" ht="15.75" customHeight="1">
      <c r="A195" s="425"/>
      <c r="B195" s="425"/>
      <c r="C195" s="425"/>
      <c r="D195" s="511"/>
      <c r="E195" s="235"/>
      <c r="F195" s="425"/>
      <c r="G195" s="425"/>
      <c r="H195" s="425"/>
      <c r="I195" s="425"/>
      <c r="J195" s="511"/>
      <c r="K195" s="235"/>
      <c r="L195" s="425"/>
      <c r="M195" s="425"/>
      <c r="N195" s="425"/>
      <c r="O195" s="425"/>
      <c r="P195" s="511"/>
      <c r="Q195" s="235"/>
      <c r="R195" s="425"/>
      <c r="S195" s="425"/>
      <c r="T195" s="425"/>
      <c r="U195" s="425"/>
      <c r="V195" s="425"/>
      <c r="W195" s="425"/>
      <c r="X195" s="425"/>
      <c r="Y195" s="425"/>
      <c r="Z195" s="425"/>
      <c r="AA195" s="425"/>
      <c r="AB195" s="425"/>
      <c r="AC195" s="425"/>
    </row>
    <row r="196" ht="15.75" customHeight="1">
      <c r="A196" s="425"/>
      <c r="B196" s="425"/>
      <c r="C196" s="425"/>
      <c r="D196" s="511"/>
      <c r="E196" s="235"/>
      <c r="F196" s="425"/>
      <c r="G196" s="425"/>
      <c r="H196" s="425"/>
      <c r="I196" s="425"/>
      <c r="J196" s="511"/>
      <c r="K196" s="235"/>
      <c r="L196" s="425"/>
      <c r="M196" s="425"/>
      <c r="N196" s="425"/>
      <c r="O196" s="425"/>
      <c r="P196" s="511"/>
      <c r="Q196" s="235"/>
      <c r="R196" s="425"/>
      <c r="S196" s="425"/>
      <c r="T196" s="425"/>
      <c r="U196" s="425"/>
      <c r="V196" s="425"/>
      <c r="W196" s="425"/>
      <c r="X196" s="425"/>
      <c r="Y196" s="425"/>
      <c r="Z196" s="425"/>
      <c r="AA196" s="425"/>
      <c r="AB196" s="425"/>
      <c r="AC196" s="425"/>
    </row>
    <row r="197" ht="15.75" customHeight="1">
      <c r="A197" s="425"/>
      <c r="B197" s="425"/>
      <c r="C197" s="425"/>
      <c r="D197" s="511"/>
      <c r="E197" s="235"/>
      <c r="F197" s="425"/>
      <c r="G197" s="425"/>
      <c r="H197" s="425"/>
      <c r="I197" s="425"/>
      <c r="J197" s="511"/>
      <c r="K197" s="235"/>
      <c r="L197" s="425"/>
      <c r="M197" s="425"/>
      <c r="N197" s="425"/>
      <c r="O197" s="425"/>
      <c r="P197" s="511"/>
      <c r="Q197" s="235"/>
      <c r="R197" s="425"/>
      <c r="S197" s="425"/>
      <c r="T197" s="425"/>
      <c r="U197" s="425"/>
      <c r="V197" s="425"/>
      <c r="W197" s="425"/>
      <c r="X197" s="425"/>
      <c r="Y197" s="425"/>
      <c r="Z197" s="425"/>
      <c r="AA197" s="425"/>
      <c r="AB197" s="425"/>
      <c r="AC197" s="425"/>
    </row>
    <row r="198" ht="15.75" customHeight="1">
      <c r="A198" s="425"/>
      <c r="B198" s="425"/>
      <c r="C198" s="425"/>
      <c r="D198" s="511"/>
      <c r="E198" s="235"/>
      <c r="F198" s="425"/>
      <c r="G198" s="425"/>
      <c r="H198" s="425"/>
      <c r="I198" s="425"/>
      <c r="J198" s="511"/>
      <c r="K198" s="235"/>
      <c r="L198" s="425"/>
      <c r="M198" s="425"/>
      <c r="N198" s="425"/>
      <c r="O198" s="425"/>
      <c r="P198" s="511"/>
      <c r="Q198" s="235"/>
      <c r="R198" s="425"/>
      <c r="S198" s="425"/>
      <c r="T198" s="425"/>
      <c r="U198" s="425"/>
      <c r="V198" s="425"/>
      <c r="W198" s="425"/>
      <c r="X198" s="425"/>
      <c r="Y198" s="425"/>
      <c r="Z198" s="425"/>
      <c r="AA198" s="425"/>
      <c r="AB198" s="425"/>
      <c r="AC198" s="425"/>
    </row>
    <row r="199" ht="15.75" customHeight="1">
      <c r="A199" s="425"/>
      <c r="B199" s="425"/>
      <c r="C199" s="425"/>
      <c r="D199" s="511"/>
      <c r="E199" s="235"/>
      <c r="F199" s="425"/>
      <c r="G199" s="425"/>
      <c r="H199" s="425"/>
      <c r="I199" s="425"/>
      <c r="J199" s="511"/>
      <c r="K199" s="235"/>
      <c r="L199" s="425"/>
      <c r="M199" s="425"/>
      <c r="N199" s="425"/>
      <c r="O199" s="425"/>
      <c r="P199" s="511"/>
      <c r="Q199" s="235"/>
      <c r="R199" s="425"/>
      <c r="S199" s="425"/>
      <c r="T199" s="425"/>
      <c r="U199" s="425"/>
      <c r="V199" s="425"/>
      <c r="W199" s="425"/>
      <c r="X199" s="425"/>
      <c r="Y199" s="425"/>
      <c r="Z199" s="425"/>
      <c r="AA199" s="425"/>
      <c r="AB199" s="425"/>
      <c r="AC199" s="425"/>
    </row>
    <row r="200" ht="15.75" customHeight="1">
      <c r="A200" s="425"/>
      <c r="B200" s="425"/>
      <c r="C200" s="425"/>
      <c r="D200" s="511"/>
      <c r="E200" s="235"/>
      <c r="F200" s="425"/>
      <c r="G200" s="425"/>
      <c r="H200" s="425"/>
      <c r="I200" s="425"/>
      <c r="J200" s="511"/>
      <c r="K200" s="235"/>
      <c r="L200" s="425"/>
      <c r="M200" s="425"/>
      <c r="N200" s="425"/>
      <c r="O200" s="425"/>
      <c r="P200" s="511"/>
      <c r="Q200" s="235"/>
      <c r="R200" s="425"/>
      <c r="S200" s="425"/>
      <c r="T200" s="425"/>
      <c r="U200" s="425"/>
      <c r="V200" s="425"/>
      <c r="W200" s="425"/>
      <c r="X200" s="425"/>
      <c r="Y200" s="425"/>
      <c r="Z200" s="425"/>
      <c r="AA200" s="425"/>
      <c r="AB200" s="425"/>
      <c r="AC200" s="425"/>
    </row>
    <row r="201" ht="15.75" customHeight="1">
      <c r="A201" s="425"/>
      <c r="B201" s="425"/>
      <c r="C201" s="425"/>
      <c r="D201" s="511"/>
      <c r="E201" s="235"/>
      <c r="F201" s="425"/>
      <c r="G201" s="425"/>
      <c r="H201" s="425"/>
      <c r="I201" s="425"/>
      <c r="J201" s="511"/>
      <c r="K201" s="235"/>
      <c r="L201" s="425"/>
      <c r="M201" s="425"/>
      <c r="N201" s="425"/>
      <c r="O201" s="425"/>
      <c r="P201" s="511"/>
      <c r="Q201" s="235"/>
      <c r="R201" s="425"/>
      <c r="S201" s="425"/>
      <c r="T201" s="425"/>
      <c r="U201" s="425"/>
      <c r="V201" s="425"/>
      <c r="W201" s="425"/>
      <c r="X201" s="425"/>
      <c r="Y201" s="425"/>
      <c r="Z201" s="425"/>
      <c r="AA201" s="425"/>
      <c r="AB201" s="425"/>
      <c r="AC201" s="425"/>
    </row>
    <row r="202" ht="15.75" customHeight="1">
      <c r="A202" s="425"/>
      <c r="B202" s="425"/>
      <c r="C202" s="425"/>
      <c r="D202" s="511"/>
      <c r="E202" s="235"/>
      <c r="F202" s="425"/>
      <c r="G202" s="425"/>
      <c r="H202" s="425"/>
      <c r="I202" s="425"/>
      <c r="J202" s="511"/>
      <c r="K202" s="235"/>
      <c r="L202" s="425"/>
      <c r="M202" s="425"/>
      <c r="N202" s="425"/>
      <c r="O202" s="425"/>
      <c r="P202" s="511"/>
      <c r="Q202" s="235"/>
      <c r="R202" s="425"/>
      <c r="S202" s="425"/>
      <c r="T202" s="425"/>
      <c r="U202" s="425"/>
      <c r="V202" s="425"/>
      <c r="W202" s="425"/>
      <c r="X202" s="425"/>
      <c r="Y202" s="425"/>
      <c r="Z202" s="425"/>
      <c r="AA202" s="425"/>
      <c r="AB202" s="425"/>
      <c r="AC202" s="425"/>
    </row>
    <row r="203" ht="15.75" customHeight="1">
      <c r="A203" s="425"/>
      <c r="B203" s="425"/>
      <c r="C203" s="425"/>
      <c r="D203" s="511"/>
      <c r="E203" s="235"/>
      <c r="F203" s="425"/>
      <c r="G203" s="425"/>
      <c r="H203" s="425"/>
      <c r="I203" s="425"/>
      <c r="J203" s="511"/>
      <c r="K203" s="235"/>
      <c r="L203" s="425"/>
      <c r="M203" s="425"/>
      <c r="N203" s="425"/>
      <c r="O203" s="425"/>
      <c r="P203" s="511"/>
      <c r="Q203" s="235"/>
      <c r="R203" s="425"/>
      <c r="S203" s="425"/>
      <c r="T203" s="425"/>
      <c r="U203" s="425"/>
      <c r="V203" s="425"/>
      <c r="W203" s="425"/>
      <c r="X203" s="425"/>
      <c r="Y203" s="425"/>
      <c r="Z203" s="425"/>
      <c r="AA203" s="425"/>
      <c r="AB203" s="425"/>
      <c r="AC203" s="425"/>
    </row>
    <row r="204" ht="15.75" customHeight="1">
      <c r="A204" s="425"/>
      <c r="B204" s="425"/>
      <c r="C204" s="425"/>
      <c r="D204" s="511"/>
      <c r="E204" s="235"/>
      <c r="F204" s="425"/>
      <c r="G204" s="425"/>
      <c r="H204" s="425"/>
      <c r="I204" s="425"/>
      <c r="J204" s="511"/>
      <c r="K204" s="235"/>
      <c r="L204" s="425"/>
      <c r="M204" s="425"/>
      <c r="N204" s="425"/>
      <c r="O204" s="425"/>
      <c r="P204" s="511"/>
      <c r="Q204" s="235"/>
      <c r="R204" s="425"/>
      <c r="S204" s="425"/>
      <c r="T204" s="425"/>
      <c r="U204" s="425"/>
      <c r="V204" s="425"/>
      <c r="W204" s="425"/>
      <c r="X204" s="425"/>
      <c r="Y204" s="425"/>
      <c r="Z204" s="425"/>
      <c r="AA204" s="425"/>
      <c r="AB204" s="425"/>
      <c r="AC204" s="425"/>
    </row>
    <row r="205" ht="15.75" customHeight="1">
      <c r="A205" s="425"/>
      <c r="B205" s="425"/>
      <c r="C205" s="425"/>
      <c r="D205" s="511"/>
      <c r="E205" s="235"/>
      <c r="F205" s="425"/>
      <c r="G205" s="425"/>
      <c r="H205" s="425"/>
      <c r="I205" s="425"/>
      <c r="J205" s="511"/>
      <c r="K205" s="235"/>
      <c r="L205" s="425"/>
      <c r="M205" s="425"/>
      <c r="N205" s="425"/>
      <c r="O205" s="425"/>
      <c r="P205" s="511"/>
      <c r="Q205" s="235"/>
      <c r="R205" s="425"/>
      <c r="S205" s="425"/>
      <c r="T205" s="425"/>
      <c r="U205" s="425"/>
      <c r="V205" s="425"/>
      <c r="W205" s="425"/>
      <c r="X205" s="425"/>
      <c r="Y205" s="425"/>
      <c r="Z205" s="425"/>
      <c r="AA205" s="425"/>
      <c r="AB205" s="425"/>
      <c r="AC205" s="425"/>
    </row>
    <row r="206" ht="15.75" customHeight="1">
      <c r="A206" s="425"/>
      <c r="B206" s="425"/>
      <c r="C206" s="425"/>
      <c r="D206" s="511"/>
      <c r="E206" s="235"/>
      <c r="F206" s="425"/>
      <c r="G206" s="425"/>
      <c r="H206" s="425"/>
      <c r="I206" s="425"/>
      <c r="J206" s="511"/>
      <c r="K206" s="235"/>
      <c r="L206" s="425"/>
      <c r="M206" s="425"/>
      <c r="N206" s="425"/>
      <c r="O206" s="425"/>
      <c r="P206" s="511"/>
      <c r="Q206" s="235"/>
      <c r="R206" s="425"/>
      <c r="S206" s="425"/>
      <c r="T206" s="425"/>
      <c r="U206" s="425"/>
      <c r="V206" s="425"/>
      <c r="W206" s="425"/>
      <c r="X206" s="425"/>
      <c r="Y206" s="425"/>
      <c r="Z206" s="425"/>
      <c r="AA206" s="425"/>
      <c r="AB206" s="425"/>
      <c r="AC206" s="425"/>
    </row>
    <row r="207" ht="15.75" customHeight="1">
      <c r="A207" s="425"/>
      <c r="B207" s="425"/>
      <c r="C207" s="425"/>
      <c r="D207" s="511"/>
      <c r="E207" s="235"/>
      <c r="F207" s="425"/>
      <c r="G207" s="425"/>
      <c r="H207" s="425"/>
      <c r="I207" s="425"/>
      <c r="J207" s="511"/>
      <c r="K207" s="235"/>
      <c r="L207" s="425"/>
      <c r="M207" s="425"/>
      <c r="N207" s="425"/>
      <c r="O207" s="425"/>
      <c r="P207" s="511"/>
      <c r="Q207" s="235"/>
      <c r="R207" s="425"/>
      <c r="S207" s="425"/>
      <c r="T207" s="425"/>
      <c r="U207" s="425"/>
      <c r="V207" s="425"/>
      <c r="W207" s="425"/>
      <c r="X207" s="425"/>
      <c r="Y207" s="425"/>
      <c r="Z207" s="425"/>
      <c r="AA207" s="425"/>
      <c r="AB207" s="425"/>
      <c r="AC207" s="425"/>
    </row>
    <row r="208" ht="15.75" customHeight="1">
      <c r="A208" s="425"/>
      <c r="B208" s="425"/>
      <c r="C208" s="425"/>
      <c r="D208" s="511"/>
      <c r="E208" s="235"/>
      <c r="F208" s="425"/>
      <c r="G208" s="425"/>
      <c r="H208" s="425"/>
      <c r="I208" s="425"/>
      <c r="J208" s="511"/>
      <c r="K208" s="235"/>
      <c r="L208" s="425"/>
      <c r="M208" s="425"/>
      <c r="N208" s="425"/>
      <c r="O208" s="425"/>
      <c r="P208" s="511"/>
      <c r="Q208" s="235"/>
      <c r="R208" s="425"/>
      <c r="S208" s="425"/>
      <c r="T208" s="425"/>
      <c r="U208" s="425"/>
      <c r="V208" s="425"/>
      <c r="W208" s="425"/>
      <c r="X208" s="425"/>
      <c r="Y208" s="425"/>
      <c r="Z208" s="425"/>
      <c r="AA208" s="425"/>
      <c r="AB208" s="425"/>
      <c r="AC208" s="425"/>
    </row>
    <row r="209" ht="15.75" customHeight="1">
      <c r="A209" s="425"/>
      <c r="B209" s="425"/>
      <c r="C209" s="425"/>
      <c r="D209" s="511"/>
      <c r="E209" s="235"/>
      <c r="F209" s="425"/>
      <c r="G209" s="425"/>
      <c r="H209" s="425"/>
      <c r="I209" s="425"/>
      <c r="J209" s="511"/>
      <c r="K209" s="235"/>
      <c r="L209" s="425"/>
      <c r="M209" s="425"/>
      <c r="N209" s="425"/>
      <c r="O209" s="425"/>
      <c r="P209" s="511"/>
      <c r="Q209" s="235"/>
      <c r="R209" s="425"/>
      <c r="S209" s="425"/>
      <c r="T209" s="425"/>
      <c r="U209" s="425"/>
      <c r="V209" s="425"/>
      <c r="W209" s="425"/>
      <c r="X209" s="425"/>
      <c r="Y209" s="425"/>
      <c r="Z209" s="425"/>
      <c r="AA209" s="425"/>
      <c r="AB209" s="425"/>
      <c r="AC209" s="425"/>
    </row>
    <row r="210" ht="15.75" customHeight="1">
      <c r="A210" s="425"/>
      <c r="B210" s="425"/>
      <c r="C210" s="425"/>
      <c r="D210" s="511"/>
      <c r="E210" s="235"/>
      <c r="F210" s="425"/>
      <c r="G210" s="425"/>
      <c r="H210" s="425"/>
      <c r="I210" s="425"/>
      <c r="J210" s="511"/>
      <c r="K210" s="235"/>
      <c r="L210" s="425"/>
      <c r="M210" s="425"/>
      <c r="N210" s="425"/>
      <c r="O210" s="425"/>
      <c r="P210" s="511"/>
      <c r="Q210" s="235"/>
      <c r="R210" s="425"/>
      <c r="S210" s="425"/>
      <c r="T210" s="425"/>
      <c r="U210" s="425"/>
      <c r="V210" s="425"/>
      <c r="W210" s="425"/>
      <c r="X210" s="425"/>
      <c r="Y210" s="425"/>
      <c r="Z210" s="425"/>
      <c r="AA210" s="425"/>
      <c r="AB210" s="425"/>
      <c r="AC210" s="425"/>
    </row>
    <row r="211" ht="15.75" customHeight="1">
      <c r="A211" s="425"/>
      <c r="B211" s="425"/>
      <c r="C211" s="425"/>
      <c r="D211" s="511"/>
      <c r="E211" s="235"/>
      <c r="F211" s="425"/>
      <c r="G211" s="425"/>
      <c r="H211" s="425"/>
      <c r="I211" s="425"/>
      <c r="J211" s="511"/>
      <c r="K211" s="235"/>
      <c r="L211" s="425"/>
      <c r="M211" s="425"/>
      <c r="N211" s="425"/>
      <c r="O211" s="425"/>
      <c r="P211" s="511"/>
      <c r="Q211" s="235"/>
      <c r="R211" s="425"/>
      <c r="S211" s="425"/>
      <c r="T211" s="425"/>
      <c r="U211" s="425"/>
      <c r="V211" s="425"/>
      <c r="W211" s="425"/>
      <c r="X211" s="425"/>
      <c r="Y211" s="425"/>
      <c r="Z211" s="425"/>
      <c r="AA211" s="425"/>
      <c r="AB211" s="425"/>
      <c r="AC211" s="425"/>
    </row>
    <row r="212" ht="15.75" customHeight="1">
      <c r="A212" s="425"/>
      <c r="B212" s="425"/>
      <c r="C212" s="425"/>
      <c r="D212" s="511"/>
      <c r="E212" s="235"/>
      <c r="F212" s="425"/>
      <c r="G212" s="425"/>
      <c r="H212" s="425"/>
      <c r="I212" s="425"/>
      <c r="J212" s="511"/>
      <c r="K212" s="235"/>
      <c r="L212" s="425"/>
      <c r="M212" s="425"/>
      <c r="N212" s="425"/>
      <c r="O212" s="425"/>
      <c r="P212" s="511"/>
      <c r="Q212" s="235"/>
      <c r="R212" s="425"/>
      <c r="S212" s="425"/>
      <c r="T212" s="425"/>
      <c r="U212" s="425"/>
      <c r="V212" s="425"/>
      <c r="W212" s="425"/>
      <c r="X212" s="425"/>
      <c r="Y212" s="425"/>
      <c r="Z212" s="425"/>
      <c r="AA212" s="425"/>
      <c r="AB212" s="425"/>
      <c r="AC212" s="425"/>
    </row>
    <row r="213" ht="15.75" customHeight="1">
      <c r="A213" s="425"/>
      <c r="B213" s="425"/>
      <c r="C213" s="425"/>
      <c r="D213" s="511"/>
      <c r="E213" s="235"/>
      <c r="F213" s="425"/>
      <c r="G213" s="425"/>
      <c r="H213" s="425"/>
      <c r="I213" s="425"/>
      <c r="J213" s="511"/>
      <c r="K213" s="235"/>
      <c r="L213" s="425"/>
      <c r="M213" s="425"/>
      <c r="N213" s="425"/>
      <c r="O213" s="425"/>
      <c r="P213" s="511"/>
      <c r="Q213" s="235"/>
      <c r="R213" s="425"/>
      <c r="S213" s="425"/>
      <c r="T213" s="425"/>
      <c r="U213" s="425"/>
      <c r="V213" s="425"/>
      <c r="W213" s="425"/>
      <c r="X213" s="425"/>
      <c r="Y213" s="425"/>
      <c r="Z213" s="425"/>
      <c r="AA213" s="425"/>
      <c r="AB213" s="425"/>
      <c r="AC213" s="425"/>
    </row>
    <row r="214" ht="15.75" customHeight="1">
      <c r="A214" s="425"/>
      <c r="B214" s="425"/>
      <c r="C214" s="425"/>
      <c r="D214" s="511"/>
      <c r="E214" s="235"/>
      <c r="F214" s="425"/>
      <c r="G214" s="425"/>
      <c r="H214" s="425"/>
      <c r="I214" s="425"/>
      <c r="J214" s="511"/>
      <c r="K214" s="235"/>
      <c r="L214" s="425"/>
      <c r="M214" s="425"/>
      <c r="N214" s="425"/>
      <c r="O214" s="425"/>
      <c r="P214" s="511"/>
      <c r="Q214" s="235"/>
      <c r="R214" s="425"/>
      <c r="S214" s="425"/>
      <c r="T214" s="425"/>
      <c r="U214" s="425"/>
      <c r="V214" s="425"/>
      <c r="W214" s="425"/>
      <c r="X214" s="425"/>
      <c r="Y214" s="425"/>
      <c r="Z214" s="425"/>
      <c r="AA214" s="425"/>
      <c r="AB214" s="425"/>
      <c r="AC214" s="425"/>
    </row>
    <row r="215" ht="15.75" customHeight="1">
      <c r="A215" s="425"/>
      <c r="B215" s="425"/>
      <c r="C215" s="425"/>
      <c r="D215" s="511"/>
      <c r="E215" s="235"/>
      <c r="F215" s="425"/>
      <c r="G215" s="425"/>
      <c r="H215" s="425"/>
      <c r="I215" s="425"/>
      <c r="J215" s="511"/>
      <c r="K215" s="235"/>
      <c r="L215" s="425"/>
      <c r="M215" s="425"/>
      <c r="N215" s="425"/>
      <c r="O215" s="425"/>
      <c r="P215" s="511"/>
      <c r="Q215" s="235"/>
      <c r="R215" s="425"/>
      <c r="S215" s="425"/>
      <c r="T215" s="425"/>
      <c r="U215" s="425"/>
      <c r="V215" s="425"/>
      <c r="W215" s="425"/>
      <c r="X215" s="425"/>
      <c r="Y215" s="425"/>
      <c r="Z215" s="425"/>
      <c r="AA215" s="425"/>
      <c r="AB215" s="425"/>
      <c r="AC215" s="425"/>
    </row>
    <row r="216" ht="15.75" customHeight="1">
      <c r="A216" s="425"/>
      <c r="B216" s="425"/>
      <c r="C216" s="425"/>
      <c r="D216" s="511"/>
      <c r="E216" s="235"/>
      <c r="F216" s="425"/>
      <c r="G216" s="425"/>
      <c r="H216" s="425"/>
      <c r="I216" s="425"/>
      <c r="J216" s="511"/>
      <c r="K216" s="235"/>
      <c r="L216" s="425"/>
      <c r="M216" s="425"/>
      <c r="N216" s="425"/>
      <c r="O216" s="425"/>
      <c r="P216" s="511"/>
      <c r="Q216" s="235"/>
      <c r="R216" s="425"/>
      <c r="S216" s="425"/>
      <c r="T216" s="425"/>
      <c r="U216" s="425"/>
      <c r="V216" s="425"/>
      <c r="W216" s="425"/>
      <c r="X216" s="425"/>
      <c r="Y216" s="425"/>
      <c r="Z216" s="425"/>
      <c r="AA216" s="425"/>
      <c r="AB216" s="425"/>
      <c r="AC216" s="425"/>
    </row>
    <row r="217" ht="15.75" customHeight="1">
      <c r="A217" s="425"/>
      <c r="B217" s="425"/>
      <c r="C217" s="425"/>
      <c r="D217" s="511"/>
      <c r="E217" s="235"/>
      <c r="F217" s="425"/>
      <c r="G217" s="425"/>
      <c r="H217" s="425"/>
      <c r="I217" s="425"/>
      <c r="J217" s="511"/>
      <c r="K217" s="235"/>
      <c r="L217" s="425"/>
      <c r="M217" s="425"/>
      <c r="N217" s="425"/>
      <c r="O217" s="425"/>
      <c r="P217" s="511"/>
      <c r="Q217" s="235"/>
      <c r="R217" s="425"/>
      <c r="S217" s="425"/>
      <c r="T217" s="425"/>
      <c r="U217" s="425"/>
      <c r="V217" s="425"/>
      <c r="W217" s="425"/>
      <c r="X217" s="425"/>
      <c r="Y217" s="425"/>
      <c r="Z217" s="425"/>
      <c r="AA217" s="425"/>
      <c r="AB217" s="425"/>
      <c r="AC217" s="425"/>
    </row>
    <row r="218" ht="15.75" customHeight="1">
      <c r="A218" s="425"/>
      <c r="B218" s="425"/>
      <c r="C218" s="425"/>
      <c r="D218" s="511"/>
      <c r="E218" s="235"/>
      <c r="F218" s="425"/>
      <c r="G218" s="425"/>
      <c r="H218" s="425"/>
      <c r="I218" s="425"/>
      <c r="J218" s="511"/>
      <c r="K218" s="235"/>
      <c r="L218" s="425"/>
      <c r="M218" s="425"/>
      <c r="N218" s="425"/>
      <c r="O218" s="425"/>
      <c r="P218" s="511"/>
      <c r="Q218" s="235"/>
      <c r="R218" s="425"/>
      <c r="S218" s="425"/>
      <c r="T218" s="425"/>
      <c r="U218" s="425"/>
      <c r="V218" s="425"/>
      <c r="W218" s="425"/>
      <c r="X218" s="425"/>
      <c r="Y218" s="425"/>
      <c r="Z218" s="425"/>
      <c r="AA218" s="425"/>
      <c r="AB218" s="425"/>
      <c r="AC218" s="425"/>
    </row>
    <row r="219" ht="15.75" customHeight="1">
      <c r="A219" s="425"/>
      <c r="B219" s="425"/>
      <c r="C219" s="425"/>
      <c r="D219" s="511"/>
      <c r="E219" s="235"/>
      <c r="F219" s="425"/>
      <c r="G219" s="425"/>
      <c r="H219" s="425"/>
      <c r="I219" s="425"/>
      <c r="J219" s="511"/>
      <c r="K219" s="235"/>
      <c r="L219" s="425"/>
      <c r="M219" s="425"/>
      <c r="N219" s="425"/>
      <c r="O219" s="425"/>
      <c r="P219" s="511"/>
      <c r="Q219" s="235"/>
      <c r="R219" s="425"/>
      <c r="S219" s="425"/>
      <c r="T219" s="425"/>
      <c r="U219" s="425"/>
      <c r="V219" s="425"/>
      <c r="W219" s="425"/>
      <c r="X219" s="425"/>
      <c r="Y219" s="425"/>
      <c r="Z219" s="425"/>
      <c r="AA219" s="425"/>
      <c r="AB219" s="425"/>
      <c r="AC219" s="425"/>
    </row>
    <row r="220" ht="15.75" customHeight="1">
      <c r="A220" s="425"/>
      <c r="B220" s="425"/>
      <c r="C220" s="425"/>
      <c r="D220" s="511"/>
      <c r="E220" s="235"/>
      <c r="F220" s="425"/>
      <c r="G220" s="425"/>
      <c r="H220" s="425"/>
      <c r="I220" s="425"/>
      <c r="J220" s="511"/>
      <c r="K220" s="235"/>
      <c r="L220" s="425"/>
      <c r="M220" s="425"/>
      <c r="N220" s="425"/>
      <c r="O220" s="425"/>
      <c r="P220" s="511"/>
      <c r="Q220" s="235"/>
      <c r="R220" s="425"/>
      <c r="S220" s="425"/>
      <c r="T220" s="425"/>
      <c r="U220" s="425"/>
      <c r="V220" s="425"/>
      <c r="W220" s="425"/>
      <c r="X220" s="425"/>
      <c r="Y220" s="425"/>
      <c r="Z220" s="425"/>
      <c r="AA220" s="425"/>
      <c r="AB220" s="425"/>
      <c r="AC220" s="425"/>
    </row>
    <row r="221" ht="15.75" customHeight="1">
      <c r="A221" s="425"/>
      <c r="B221" s="425"/>
      <c r="C221" s="425"/>
      <c r="D221" s="511"/>
      <c r="E221" s="235"/>
      <c r="F221" s="425"/>
      <c r="G221" s="425"/>
      <c r="H221" s="425"/>
      <c r="I221" s="425"/>
      <c r="J221" s="511"/>
      <c r="K221" s="235"/>
      <c r="L221" s="425"/>
      <c r="M221" s="425"/>
      <c r="N221" s="425"/>
      <c r="O221" s="425"/>
      <c r="P221" s="511"/>
      <c r="Q221" s="235"/>
      <c r="R221" s="425"/>
      <c r="S221" s="425"/>
      <c r="T221" s="425"/>
      <c r="U221" s="425"/>
      <c r="V221" s="425"/>
      <c r="W221" s="425"/>
      <c r="X221" s="425"/>
      <c r="Y221" s="425"/>
      <c r="Z221" s="425"/>
      <c r="AA221" s="425"/>
      <c r="AB221" s="425"/>
      <c r="AC221" s="425"/>
    </row>
    <row r="222" ht="15.75" customHeight="1">
      <c r="A222" s="425"/>
      <c r="B222" s="425"/>
      <c r="C222" s="425"/>
      <c r="D222" s="511"/>
      <c r="E222" s="235"/>
      <c r="F222" s="425"/>
      <c r="G222" s="425"/>
      <c r="H222" s="425"/>
      <c r="I222" s="425"/>
      <c r="J222" s="511"/>
      <c r="K222" s="235"/>
      <c r="L222" s="425"/>
      <c r="M222" s="425"/>
      <c r="N222" s="425"/>
      <c r="O222" s="425"/>
      <c r="P222" s="511"/>
      <c r="Q222" s="235"/>
      <c r="R222" s="425"/>
      <c r="S222" s="425"/>
      <c r="T222" s="425"/>
      <c r="U222" s="425"/>
      <c r="V222" s="425"/>
      <c r="W222" s="425"/>
      <c r="X222" s="425"/>
      <c r="Y222" s="425"/>
      <c r="Z222" s="425"/>
      <c r="AA222" s="425"/>
      <c r="AB222" s="425"/>
      <c r="AC222" s="425"/>
    </row>
    <row r="223" ht="15.75" customHeight="1">
      <c r="A223" s="425"/>
      <c r="B223" s="425"/>
      <c r="C223" s="425"/>
      <c r="D223" s="511"/>
      <c r="E223" s="235"/>
      <c r="F223" s="425"/>
      <c r="G223" s="425"/>
      <c r="H223" s="425"/>
      <c r="I223" s="425"/>
      <c r="J223" s="511"/>
      <c r="K223" s="235"/>
      <c r="L223" s="425"/>
      <c r="M223" s="425"/>
      <c r="N223" s="425"/>
      <c r="O223" s="425"/>
      <c r="P223" s="511"/>
      <c r="Q223" s="235"/>
      <c r="R223" s="425"/>
      <c r="S223" s="425"/>
      <c r="T223" s="425"/>
      <c r="U223" s="425"/>
      <c r="V223" s="425"/>
      <c r="W223" s="425"/>
      <c r="X223" s="425"/>
      <c r="Y223" s="425"/>
      <c r="Z223" s="425"/>
      <c r="AA223" s="425"/>
      <c r="AB223" s="425"/>
      <c r="AC223" s="425"/>
    </row>
    <row r="224" ht="15.75" customHeight="1">
      <c r="A224" s="425"/>
      <c r="B224" s="425"/>
      <c r="C224" s="425"/>
      <c r="D224" s="511"/>
      <c r="E224" s="235"/>
      <c r="F224" s="425"/>
      <c r="G224" s="425"/>
      <c r="H224" s="425"/>
      <c r="I224" s="425"/>
      <c r="J224" s="511"/>
      <c r="K224" s="235"/>
      <c r="L224" s="425"/>
      <c r="M224" s="425"/>
      <c r="N224" s="425"/>
      <c r="O224" s="425"/>
      <c r="P224" s="511"/>
      <c r="Q224" s="235"/>
      <c r="R224" s="425"/>
      <c r="S224" s="425"/>
      <c r="T224" s="425"/>
      <c r="U224" s="425"/>
      <c r="V224" s="425"/>
      <c r="W224" s="425"/>
      <c r="X224" s="425"/>
      <c r="Y224" s="425"/>
      <c r="Z224" s="425"/>
      <c r="AA224" s="425"/>
      <c r="AB224" s="425"/>
      <c r="AC224" s="425"/>
    </row>
    <row r="225" ht="15.75" customHeight="1">
      <c r="A225" s="425"/>
      <c r="B225" s="425"/>
      <c r="C225" s="425"/>
      <c r="D225" s="511"/>
      <c r="E225" s="235"/>
      <c r="F225" s="425"/>
      <c r="G225" s="425"/>
      <c r="H225" s="425"/>
      <c r="I225" s="425"/>
      <c r="J225" s="511"/>
      <c r="K225" s="235"/>
      <c r="L225" s="425"/>
      <c r="M225" s="425"/>
      <c r="N225" s="425"/>
      <c r="O225" s="425"/>
      <c r="P225" s="511"/>
      <c r="Q225" s="235"/>
      <c r="R225" s="425"/>
      <c r="S225" s="425"/>
      <c r="T225" s="425"/>
      <c r="U225" s="425"/>
      <c r="V225" s="425"/>
      <c r="W225" s="425"/>
      <c r="X225" s="425"/>
      <c r="Y225" s="425"/>
      <c r="Z225" s="425"/>
      <c r="AA225" s="425"/>
      <c r="AB225" s="425"/>
      <c r="AC225" s="425"/>
    </row>
    <row r="226" ht="15.75" customHeight="1">
      <c r="A226" s="425"/>
      <c r="B226" s="425"/>
      <c r="C226" s="425"/>
      <c r="D226" s="511"/>
      <c r="E226" s="235"/>
      <c r="F226" s="425"/>
      <c r="G226" s="425"/>
      <c r="H226" s="425"/>
      <c r="I226" s="425"/>
      <c r="J226" s="511"/>
      <c r="K226" s="235"/>
      <c r="L226" s="425"/>
      <c r="M226" s="425"/>
      <c r="N226" s="425"/>
      <c r="O226" s="425"/>
      <c r="P226" s="511"/>
      <c r="Q226" s="235"/>
      <c r="R226" s="425"/>
      <c r="S226" s="425"/>
      <c r="T226" s="425"/>
      <c r="U226" s="425"/>
      <c r="V226" s="425"/>
      <c r="W226" s="425"/>
      <c r="X226" s="425"/>
      <c r="Y226" s="425"/>
      <c r="Z226" s="425"/>
      <c r="AA226" s="425"/>
      <c r="AB226" s="425"/>
      <c r="AC226" s="425"/>
    </row>
    <row r="227" ht="15.75" customHeight="1">
      <c r="A227" s="425"/>
      <c r="B227" s="425"/>
      <c r="C227" s="425"/>
      <c r="D227" s="511"/>
      <c r="E227" s="235"/>
      <c r="F227" s="425"/>
      <c r="G227" s="425"/>
      <c r="H227" s="425"/>
      <c r="I227" s="425"/>
      <c r="J227" s="511"/>
      <c r="K227" s="235"/>
      <c r="L227" s="425"/>
      <c r="M227" s="425"/>
      <c r="N227" s="425"/>
      <c r="O227" s="425"/>
      <c r="P227" s="511"/>
      <c r="Q227" s="235"/>
      <c r="R227" s="425"/>
      <c r="S227" s="425"/>
      <c r="T227" s="425"/>
      <c r="U227" s="425"/>
      <c r="V227" s="425"/>
      <c r="W227" s="425"/>
      <c r="X227" s="425"/>
      <c r="Y227" s="425"/>
      <c r="Z227" s="425"/>
      <c r="AA227" s="425"/>
      <c r="AB227" s="425"/>
      <c r="AC227" s="425"/>
    </row>
    <row r="228" ht="15.75" customHeight="1">
      <c r="A228" s="425"/>
      <c r="B228" s="425"/>
      <c r="C228" s="425"/>
      <c r="D228" s="511"/>
      <c r="E228" s="235"/>
      <c r="F228" s="425"/>
      <c r="G228" s="425"/>
      <c r="H228" s="425"/>
      <c r="I228" s="425"/>
      <c r="J228" s="511"/>
      <c r="K228" s="235"/>
      <c r="L228" s="425"/>
      <c r="M228" s="425"/>
      <c r="N228" s="425"/>
      <c r="O228" s="425"/>
      <c r="P228" s="511"/>
      <c r="Q228" s="235"/>
      <c r="R228" s="425"/>
      <c r="S228" s="425"/>
      <c r="T228" s="425"/>
      <c r="U228" s="425"/>
      <c r="V228" s="425"/>
      <c r="W228" s="425"/>
      <c r="X228" s="425"/>
      <c r="Y228" s="425"/>
      <c r="Z228" s="425"/>
      <c r="AA228" s="425"/>
      <c r="AB228" s="425"/>
      <c r="AC228" s="425"/>
    </row>
    <row r="229" ht="15.75" customHeight="1">
      <c r="A229" s="425"/>
      <c r="B229" s="425"/>
      <c r="C229" s="425"/>
      <c r="D229" s="511"/>
      <c r="E229" s="235"/>
      <c r="F229" s="425"/>
      <c r="G229" s="425"/>
      <c r="H229" s="425"/>
      <c r="I229" s="425"/>
      <c r="J229" s="511"/>
      <c r="K229" s="235"/>
      <c r="L229" s="425"/>
      <c r="M229" s="425"/>
      <c r="N229" s="425"/>
      <c r="O229" s="425"/>
      <c r="P229" s="511"/>
      <c r="Q229" s="235"/>
      <c r="R229" s="425"/>
      <c r="S229" s="425"/>
      <c r="T229" s="425"/>
      <c r="U229" s="425"/>
      <c r="V229" s="425"/>
      <c r="W229" s="425"/>
      <c r="X229" s="425"/>
      <c r="Y229" s="425"/>
      <c r="Z229" s="425"/>
      <c r="AA229" s="425"/>
      <c r="AB229" s="425"/>
      <c r="AC229" s="425"/>
    </row>
    <row r="230" ht="15.75" customHeight="1">
      <c r="A230" s="425"/>
      <c r="B230" s="425"/>
      <c r="C230" s="425"/>
      <c r="D230" s="511"/>
      <c r="E230" s="235"/>
      <c r="F230" s="425"/>
      <c r="G230" s="425"/>
      <c r="H230" s="425"/>
      <c r="I230" s="425"/>
      <c r="J230" s="511"/>
      <c r="K230" s="235"/>
      <c r="L230" s="425"/>
      <c r="M230" s="425"/>
      <c r="N230" s="425"/>
      <c r="O230" s="425"/>
      <c r="P230" s="511"/>
      <c r="Q230" s="235"/>
      <c r="R230" s="425"/>
      <c r="S230" s="425"/>
      <c r="T230" s="425"/>
      <c r="U230" s="425"/>
      <c r="V230" s="425"/>
      <c r="W230" s="425"/>
      <c r="X230" s="425"/>
      <c r="Y230" s="425"/>
      <c r="Z230" s="425"/>
      <c r="AA230" s="425"/>
      <c r="AB230" s="425"/>
      <c r="AC230" s="425"/>
    </row>
    <row r="231" ht="15.75" customHeight="1">
      <c r="A231" s="425"/>
      <c r="B231" s="425"/>
      <c r="C231" s="425"/>
      <c r="D231" s="511"/>
      <c r="E231" s="235"/>
      <c r="F231" s="425"/>
      <c r="G231" s="425"/>
      <c r="H231" s="425"/>
      <c r="I231" s="425"/>
      <c r="J231" s="511"/>
      <c r="K231" s="235"/>
      <c r="L231" s="425"/>
      <c r="M231" s="425"/>
      <c r="N231" s="425"/>
      <c r="O231" s="425"/>
      <c r="P231" s="511"/>
      <c r="Q231" s="235"/>
      <c r="R231" s="425"/>
      <c r="S231" s="425"/>
      <c r="T231" s="425"/>
      <c r="U231" s="425"/>
      <c r="V231" s="425"/>
      <c r="W231" s="425"/>
      <c r="X231" s="425"/>
      <c r="Y231" s="425"/>
      <c r="Z231" s="425"/>
      <c r="AA231" s="425"/>
      <c r="AB231" s="425"/>
      <c r="AC231" s="425"/>
    </row>
    <row r="232" ht="15.75" customHeight="1">
      <c r="A232" s="425"/>
      <c r="B232" s="425"/>
      <c r="C232" s="425"/>
      <c r="D232" s="511"/>
      <c r="E232" s="235"/>
      <c r="F232" s="425"/>
      <c r="G232" s="425"/>
      <c r="H232" s="425"/>
      <c r="I232" s="425"/>
      <c r="J232" s="511"/>
      <c r="K232" s="235"/>
      <c r="L232" s="425"/>
      <c r="M232" s="425"/>
      <c r="N232" s="425"/>
      <c r="O232" s="425"/>
      <c r="P232" s="511"/>
      <c r="Q232" s="235"/>
      <c r="R232" s="425"/>
      <c r="S232" s="425"/>
      <c r="T232" s="425"/>
      <c r="U232" s="425"/>
      <c r="V232" s="425"/>
      <c r="W232" s="425"/>
      <c r="X232" s="425"/>
      <c r="Y232" s="425"/>
      <c r="Z232" s="425"/>
      <c r="AA232" s="425"/>
      <c r="AB232" s="425"/>
      <c r="AC232" s="425"/>
    </row>
    <row r="233" ht="15.75" customHeight="1">
      <c r="A233" s="425"/>
      <c r="B233" s="425"/>
      <c r="C233" s="425"/>
      <c r="D233" s="511"/>
      <c r="E233" s="235"/>
      <c r="F233" s="425"/>
      <c r="G233" s="425"/>
      <c r="H233" s="425"/>
      <c r="I233" s="425"/>
      <c r="J233" s="511"/>
      <c r="K233" s="235"/>
      <c r="L233" s="425"/>
      <c r="M233" s="425"/>
      <c r="N233" s="425"/>
      <c r="O233" s="425"/>
      <c r="P233" s="511"/>
      <c r="Q233" s="235"/>
      <c r="R233" s="425"/>
      <c r="S233" s="425"/>
      <c r="T233" s="425"/>
      <c r="U233" s="425"/>
      <c r="V233" s="425"/>
      <c r="W233" s="425"/>
      <c r="X233" s="425"/>
      <c r="Y233" s="425"/>
      <c r="Z233" s="425"/>
      <c r="AA233" s="425"/>
      <c r="AB233" s="425"/>
      <c r="AC233" s="425"/>
    </row>
    <row r="234" ht="15.75" customHeight="1">
      <c r="A234" s="425"/>
      <c r="B234" s="425"/>
      <c r="C234" s="425"/>
      <c r="D234" s="511"/>
      <c r="E234" s="235"/>
      <c r="F234" s="425"/>
      <c r="G234" s="425"/>
      <c r="H234" s="425"/>
      <c r="I234" s="425"/>
      <c r="J234" s="511"/>
      <c r="K234" s="235"/>
      <c r="L234" s="425"/>
      <c r="M234" s="425"/>
      <c r="N234" s="425"/>
      <c r="O234" s="425"/>
      <c r="P234" s="511"/>
      <c r="Q234" s="235"/>
      <c r="R234" s="425"/>
      <c r="S234" s="425"/>
      <c r="T234" s="425"/>
      <c r="U234" s="425"/>
      <c r="V234" s="425"/>
      <c r="W234" s="425"/>
      <c r="X234" s="425"/>
      <c r="Y234" s="425"/>
      <c r="Z234" s="425"/>
      <c r="AA234" s="425"/>
      <c r="AB234" s="425"/>
      <c r="AC234" s="425"/>
    </row>
    <row r="235" ht="15.75" customHeight="1">
      <c r="A235" s="425"/>
      <c r="B235" s="425"/>
      <c r="C235" s="425"/>
      <c r="D235" s="511"/>
      <c r="E235" s="235"/>
      <c r="F235" s="425"/>
      <c r="G235" s="425"/>
      <c r="H235" s="425"/>
      <c r="I235" s="425"/>
      <c r="J235" s="511"/>
      <c r="K235" s="235"/>
      <c r="L235" s="425"/>
      <c r="M235" s="425"/>
      <c r="N235" s="425"/>
      <c r="O235" s="425"/>
      <c r="P235" s="511"/>
      <c r="Q235" s="235"/>
      <c r="R235" s="425"/>
      <c r="S235" s="425"/>
      <c r="T235" s="425"/>
      <c r="U235" s="425"/>
      <c r="V235" s="425"/>
      <c r="W235" s="425"/>
      <c r="X235" s="425"/>
      <c r="Y235" s="425"/>
      <c r="Z235" s="425"/>
      <c r="AA235" s="425"/>
      <c r="AB235" s="425"/>
      <c r="AC235" s="425"/>
    </row>
    <row r="236" ht="15.75" customHeight="1">
      <c r="A236" s="425"/>
      <c r="B236" s="425"/>
      <c r="C236" s="425"/>
      <c r="D236" s="511"/>
      <c r="E236" s="235"/>
      <c r="F236" s="425"/>
      <c r="G236" s="425"/>
      <c r="H236" s="425"/>
      <c r="I236" s="425"/>
      <c r="J236" s="511"/>
      <c r="K236" s="235"/>
      <c r="L236" s="425"/>
      <c r="M236" s="425"/>
      <c r="N236" s="425"/>
      <c r="O236" s="425"/>
      <c r="P236" s="511"/>
      <c r="Q236" s="235"/>
      <c r="R236" s="425"/>
      <c r="S236" s="425"/>
      <c r="T236" s="425"/>
      <c r="U236" s="425"/>
      <c r="V236" s="425"/>
      <c r="W236" s="425"/>
      <c r="X236" s="425"/>
      <c r="Y236" s="425"/>
      <c r="Z236" s="425"/>
      <c r="AA236" s="425"/>
      <c r="AB236" s="425"/>
      <c r="AC236" s="425"/>
    </row>
    <row r="237" ht="15.75" customHeight="1">
      <c r="A237" s="425"/>
      <c r="B237" s="425"/>
      <c r="C237" s="425"/>
      <c r="D237" s="511"/>
      <c r="E237" s="235"/>
      <c r="F237" s="425"/>
      <c r="G237" s="425"/>
      <c r="H237" s="425"/>
      <c r="I237" s="425"/>
      <c r="J237" s="511"/>
      <c r="K237" s="235"/>
      <c r="L237" s="425"/>
      <c r="M237" s="425"/>
      <c r="N237" s="425"/>
      <c r="O237" s="425"/>
      <c r="P237" s="511"/>
      <c r="Q237" s="235"/>
      <c r="R237" s="425"/>
      <c r="S237" s="425"/>
      <c r="T237" s="425"/>
      <c r="U237" s="425"/>
      <c r="V237" s="425"/>
      <c r="W237" s="425"/>
      <c r="X237" s="425"/>
      <c r="Y237" s="425"/>
      <c r="Z237" s="425"/>
      <c r="AA237" s="425"/>
      <c r="AB237" s="425"/>
      <c r="AC237" s="425"/>
    </row>
    <row r="238" ht="15.75" customHeight="1">
      <c r="A238" s="425"/>
      <c r="B238" s="425"/>
      <c r="C238" s="425"/>
      <c r="D238" s="511"/>
      <c r="E238" s="235"/>
      <c r="F238" s="425"/>
      <c r="G238" s="425"/>
      <c r="H238" s="425"/>
      <c r="I238" s="425"/>
      <c r="J238" s="511"/>
      <c r="K238" s="235"/>
      <c r="L238" s="425"/>
      <c r="M238" s="425"/>
      <c r="N238" s="425"/>
      <c r="O238" s="425"/>
      <c r="P238" s="511"/>
      <c r="Q238" s="235"/>
      <c r="R238" s="425"/>
      <c r="S238" s="425"/>
      <c r="T238" s="425"/>
      <c r="U238" s="425"/>
      <c r="V238" s="425"/>
      <c r="W238" s="425"/>
      <c r="X238" s="425"/>
      <c r="Y238" s="425"/>
      <c r="Z238" s="425"/>
      <c r="AA238" s="425"/>
      <c r="AB238" s="425"/>
      <c r="AC238" s="425"/>
    </row>
    <row r="239" ht="15.75" customHeight="1">
      <c r="A239" s="425"/>
      <c r="B239" s="425"/>
      <c r="C239" s="425"/>
      <c r="D239" s="511"/>
      <c r="E239" s="235"/>
      <c r="F239" s="425"/>
      <c r="G239" s="425"/>
      <c r="H239" s="425"/>
      <c r="I239" s="425"/>
      <c r="J239" s="511"/>
      <c r="K239" s="235"/>
      <c r="L239" s="425"/>
      <c r="M239" s="425"/>
      <c r="N239" s="425"/>
      <c r="O239" s="425"/>
      <c r="P239" s="511"/>
      <c r="Q239" s="235"/>
      <c r="R239" s="425"/>
      <c r="S239" s="425"/>
      <c r="T239" s="425"/>
      <c r="U239" s="425"/>
      <c r="V239" s="425"/>
      <c r="W239" s="425"/>
      <c r="X239" s="425"/>
      <c r="Y239" s="425"/>
      <c r="Z239" s="425"/>
      <c r="AA239" s="425"/>
      <c r="AB239" s="425"/>
      <c r="AC239" s="425"/>
    </row>
    <row r="240" ht="15.75" customHeight="1">
      <c r="A240" s="425"/>
      <c r="B240" s="425"/>
      <c r="C240" s="425"/>
      <c r="D240" s="511"/>
      <c r="E240" s="235"/>
      <c r="F240" s="425"/>
      <c r="G240" s="425"/>
      <c r="H240" s="425"/>
      <c r="I240" s="425"/>
      <c r="J240" s="511"/>
      <c r="K240" s="235"/>
      <c r="L240" s="425"/>
      <c r="M240" s="425"/>
      <c r="N240" s="425"/>
      <c r="O240" s="425"/>
      <c r="P240" s="511"/>
      <c r="Q240" s="235"/>
      <c r="R240" s="425"/>
      <c r="S240" s="425"/>
      <c r="T240" s="425"/>
      <c r="U240" s="425"/>
      <c r="V240" s="425"/>
      <c r="W240" s="425"/>
      <c r="X240" s="425"/>
      <c r="Y240" s="425"/>
      <c r="Z240" s="425"/>
      <c r="AA240" s="425"/>
      <c r="AB240" s="425"/>
      <c r="AC240" s="425"/>
    </row>
    <row r="241" ht="15.75" customHeight="1">
      <c r="A241" s="425"/>
      <c r="B241" s="425"/>
      <c r="C241" s="425"/>
      <c r="D241" s="511"/>
      <c r="E241" s="235"/>
      <c r="F241" s="425"/>
      <c r="G241" s="425"/>
      <c r="H241" s="425"/>
      <c r="I241" s="425"/>
      <c r="J241" s="511"/>
      <c r="K241" s="235"/>
      <c r="L241" s="425"/>
      <c r="M241" s="425"/>
      <c r="N241" s="425"/>
      <c r="O241" s="425"/>
      <c r="P241" s="511"/>
      <c r="Q241" s="235"/>
      <c r="R241" s="425"/>
      <c r="S241" s="425"/>
      <c r="T241" s="425"/>
      <c r="U241" s="425"/>
      <c r="V241" s="425"/>
      <c r="W241" s="425"/>
      <c r="X241" s="425"/>
      <c r="Y241" s="425"/>
      <c r="Z241" s="425"/>
      <c r="AA241" s="425"/>
      <c r="AB241" s="425"/>
      <c r="AC241" s="425"/>
    </row>
    <row r="242" ht="15.75" customHeight="1">
      <c r="A242" s="425"/>
      <c r="B242" s="425"/>
      <c r="C242" s="425"/>
      <c r="D242" s="511"/>
      <c r="E242" s="235"/>
      <c r="F242" s="425"/>
      <c r="G242" s="425"/>
      <c r="H242" s="425"/>
      <c r="I242" s="425"/>
      <c r="J242" s="511"/>
      <c r="K242" s="235"/>
      <c r="L242" s="425"/>
      <c r="M242" s="425"/>
      <c r="N242" s="425"/>
      <c r="O242" s="425"/>
      <c r="P242" s="511"/>
      <c r="Q242" s="235"/>
      <c r="R242" s="425"/>
      <c r="S242" s="425"/>
      <c r="T242" s="425"/>
      <c r="U242" s="425"/>
      <c r="V242" s="425"/>
      <c r="W242" s="425"/>
      <c r="X242" s="425"/>
      <c r="Y242" s="425"/>
      <c r="Z242" s="425"/>
      <c r="AA242" s="425"/>
      <c r="AB242" s="425"/>
      <c r="AC242" s="425"/>
    </row>
    <row r="243" ht="15.75" customHeight="1">
      <c r="A243" s="425"/>
      <c r="B243" s="425"/>
      <c r="C243" s="425"/>
      <c r="D243" s="511"/>
      <c r="E243" s="235"/>
      <c r="F243" s="425"/>
      <c r="G243" s="425"/>
      <c r="H243" s="425"/>
      <c r="I243" s="425"/>
      <c r="J243" s="511"/>
      <c r="K243" s="235"/>
      <c r="L243" s="425"/>
      <c r="M243" s="425"/>
      <c r="N243" s="425"/>
      <c r="O243" s="425"/>
      <c r="P243" s="511"/>
      <c r="Q243" s="235"/>
      <c r="R243" s="425"/>
      <c r="S243" s="425"/>
      <c r="T243" s="425"/>
      <c r="U243" s="425"/>
      <c r="V243" s="425"/>
      <c r="W243" s="425"/>
      <c r="X243" s="425"/>
      <c r="Y243" s="425"/>
      <c r="Z243" s="425"/>
      <c r="AA243" s="425"/>
      <c r="AB243" s="425"/>
      <c r="AC243" s="425"/>
    </row>
    <row r="244" ht="15.75" customHeight="1">
      <c r="A244" s="425"/>
      <c r="B244" s="425"/>
      <c r="C244" s="425"/>
      <c r="D244" s="511"/>
      <c r="E244" s="235"/>
      <c r="F244" s="425"/>
      <c r="G244" s="425"/>
      <c r="H244" s="425"/>
      <c r="I244" s="425"/>
      <c r="J244" s="511"/>
      <c r="K244" s="235"/>
      <c r="L244" s="425"/>
      <c r="M244" s="425"/>
      <c r="N244" s="425"/>
      <c r="O244" s="425"/>
      <c r="P244" s="511"/>
      <c r="Q244" s="235"/>
      <c r="R244" s="425"/>
      <c r="S244" s="425"/>
      <c r="T244" s="425"/>
      <c r="U244" s="425"/>
      <c r="V244" s="425"/>
      <c r="W244" s="425"/>
      <c r="X244" s="425"/>
      <c r="Y244" s="425"/>
      <c r="Z244" s="425"/>
      <c r="AA244" s="425"/>
      <c r="AB244" s="425"/>
      <c r="AC244" s="425"/>
    </row>
    <row r="245" ht="15.75" customHeight="1">
      <c r="A245" s="425"/>
      <c r="B245" s="425"/>
      <c r="C245" s="425"/>
      <c r="D245" s="511"/>
      <c r="E245" s="235"/>
      <c r="F245" s="425"/>
      <c r="G245" s="425"/>
      <c r="H245" s="425"/>
      <c r="I245" s="425"/>
      <c r="J245" s="511"/>
      <c r="K245" s="235"/>
      <c r="L245" s="425"/>
      <c r="M245" s="425"/>
      <c r="N245" s="425"/>
      <c r="O245" s="425"/>
      <c r="P245" s="511"/>
      <c r="Q245" s="235"/>
      <c r="R245" s="425"/>
      <c r="S245" s="425"/>
      <c r="T245" s="425"/>
      <c r="U245" s="425"/>
      <c r="V245" s="425"/>
      <c r="W245" s="425"/>
      <c r="X245" s="425"/>
      <c r="Y245" s="425"/>
      <c r="Z245" s="425"/>
      <c r="AA245" s="425"/>
      <c r="AB245" s="425"/>
      <c r="AC245" s="425"/>
    </row>
    <row r="246" ht="15.75" customHeight="1">
      <c r="A246" s="425"/>
      <c r="B246" s="425"/>
      <c r="C246" s="425"/>
      <c r="D246" s="511"/>
      <c r="E246" s="235"/>
      <c r="F246" s="425"/>
      <c r="G246" s="425"/>
      <c r="H246" s="425"/>
      <c r="I246" s="425"/>
      <c r="J246" s="511"/>
      <c r="K246" s="235"/>
      <c r="L246" s="425"/>
      <c r="M246" s="425"/>
      <c r="N246" s="425"/>
      <c r="O246" s="425"/>
      <c r="P246" s="511"/>
      <c r="Q246" s="235"/>
      <c r="R246" s="425"/>
      <c r="S246" s="425"/>
      <c r="T246" s="425"/>
      <c r="U246" s="425"/>
      <c r="V246" s="425"/>
      <c r="W246" s="425"/>
      <c r="X246" s="425"/>
      <c r="Y246" s="425"/>
      <c r="Z246" s="425"/>
      <c r="AA246" s="425"/>
      <c r="AB246" s="425"/>
      <c r="AC246" s="425"/>
    </row>
    <row r="247" ht="15.75" customHeight="1">
      <c r="A247" s="425"/>
      <c r="B247" s="425"/>
      <c r="C247" s="425"/>
      <c r="D247" s="511"/>
      <c r="E247" s="235"/>
      <c r="F247" s="425"/>
      <c r="G247" s="425"/>
      <c r="H247" s="425"/>
      <c r="I247" s="425"/>
      <c r="J247" s="511"/>
      <c r="K247" s="235"/>
      <c r="L247" s="425"/>
      <c r="M247" s="425"/>
      <c r="N247" s="425"/>
      <c r="O247" s="425"/>
      <c r="P247" s="511"/>
      <c r="Q247" s="235"/>
      <c r="R247" s="425"/>
      <c r="S247" s="425"/>
      <c r="T247" s="425"/>
      <c r="U247" s="425"/>
      <c r="V247" s="425"/>
      <c r="W247" s="425"/>
      <c r="X247" s="425"/>
      <c r="Y247" s="425"/>
      <c r="Z247" s="425"/>
      <c r="AA247" s="425"/>
      <c r="AB247" s="425"/>
      <c r="AC247" s="425"/>
    </row>
    <row r="248" ht="15.75" customHeight="1">
      <c r="A248" s="425"/>
      <c r="B248" s="425"/>
      <c r="C248" s="425"/>
      <c r="D248" s="511"/>
      <c r="E248" s="235"/>
      <c r="F248" s="425"/>
      <c r="G248" s="425"/>
      <c r="H248" s="425"/>
      <c r="I248" s="425"/>
      <c r="J248" s="511"/>
      <c r="K248" s="235"/>
      <c r="L248" s="425"/>
      <c r="M248" s="425"/>
      <c r="N248" s="425"/>
      <c r="O248" s="425"/>
      <c r="P248" s="511"/>
      <c r="Q248" s="235"/>
      <c r="R248" s="425"/>
      <c r="S248" s="425"/>
      <c r="T248" s="425"/>
      <c r="U248" s="425"/>
      <c r="V248" s="425"/>
      <c r="W248" s="425"/>
      <c r="X248" s="425"/>
      <c r="Y248" s="425"/>
      <c r="Z248" s="425"/>
      <c r="AA248" s="425"/>
      <c r="AB248" s="425"/>
      <c r="AC248" s="425"/>
    </row>
    <row r="249" ht="15.75" customHeight="1">
      <c r="A249" s="425"/>
      <c r="B249" s="425"/>
      <c r="C249" s="425"/>
      <c r="D249" s="511"/>
      <c r="E249" s="235"/>
      <c r="F249" s="425"/>
      <c r="G249" s="425"/>
      <c r="H249" s="425"/>
      <c r="I249" s="425"/>
      <c r="J249" s="511"/>
      <c r="K249" s="235"/>
      <c r="L249" s="425"/>
      <c r="M249" s="425"/>
      <c r="N249" s="425"/>
      <c r="O249" s="425"/>
      <c r="P249" s="511"/>
      <c r="Q249" s="235"/>
      <c r="R249" s="425"/>
      <c r="S249" s="425"/>
      <c r="T249" s="425"/>
      <c r="U249" s="425"/>
      <c r="V249" s="425"/>
      <c r="W249" s="425"/>
      <c r="X249" s="425"/>
      <c r="Y249" s="425"/>
      <c r="Z249" s="425"/>
      <c r="AA249" s="425"/>
      <c r="AB249" s="425"/>
      <c r="AC249" s="425"/>
    </row>
    <row r="250" ht="15.75" customHeight="1">
      <c r="A250" s="425"/>
      <c r="B250" s="425"/>
      <c r="C250" s="425"/>
      <c r="D250" s="511"/>
      <c r="E250" s="235"/>
      <c r="F250" s="425"/>
      <c r="G250" s="425"/>
      <c r="H250" s="425"/>
      <c r="I250" s="425"/>
      <c r="J250" s="511"/>
      <c r="K250" s="235"/>
      <c r="L250" s="425"/>
      <c r="M250" s="425"/>
      <c r="N250" s="425"/>
      <c r="O250" s="425"/>
      <c r="P250" s="511"/>
      <c r="Q250" s="235"/>
      <c r="R250" s="425"/>
      <c r="S250" s="425"/>
      <c r="T250" s="425"/>
      <c r="U250" s="425"/>
      <c r="V250" s="425"/>
      <c r="W250" s="425"/>
      <c r="X250" s="425"/>
      <c r="Y250" s="425"/>
      <c r="Z250" s="425"/>
      <c r="AA250" s="425"/>
      <c r="AB250" s="425"/>
      <c r="AC250" s="425"/>
    </row>
    <row r="251" ht="15.75" customHeight="1">
      <c r="A251" s="425"/>
      <c r="B251" s="425"/>
      <c r="C251" s="425"/>
      <c r="D251" s="511"/>
      <c r="E251" s="235"/>
      <c r="F251" s="425"/>
      <c r="G251" s="425"/>
      <c r="H251" s="425"/>
      <c r="I251" s="425"/>
      <c r="J251" s="511"/>
      <c r="K251" s="235"/>
      <c r="L251" s="425"/>
      <c r="M251" s="425"/>
      <c r="N251" s="425"/>
      <c r="O251" s="425"/>
      <c r="P251" s="511"/>
      <c r="Q251" s="235"/>
      <c r="R251" s="425"/>
      <c r="S251" s="425"/>
      <c r="T251" s="425"/>
      <c r="U251" s="425"/>
      <c r="V251" s="425"/>
      <c r="W251" s="425"/>
      <c r="X251" s="425"/>
      <c r="Y251" s="425"/>
      <c r="Z251" s="425"/>
      <c r="AA251" s="425"/>
      <c r="AB251" s="425"/>
      <c r="AC251" s="425"/>
    </row>
    <row r="252" ht="15.75" customHeight="1">
      <c r="A252" s="425"/>
      <c r="B252" s="425"/>
      <c r="C252" s="425"/>
      <c r="D252" s="511"/>
      <c r="E252" s="235"/>
      <c r="F252" s="425"/>
      <c r="G252" s="425"/>
      <c r="H252" s="425"/>
      <c r="I252" s="425"/>
      <c r="J252" s="511"/>
      <c r="K252" s="235"/>
      <c r="L252" s="425"/>
      <c r="M252" s="425"/>
      <c r="N252" s="425"/>
      <c r="O252" s="425"/>
      <c r="P252" s="511"/>
      <c r="Q252" s="235"/>
      <c r="R252" s="425"/>
      <c r="S252" s="425"/>
      <c r="T252" s="425"/>
      <c r="U252" s="425"/>
      <c r="V252" s="425"/>
      <c r="W252" s="425"/>
      <c r="X252" s="425"/>
      <c r="Y252" s="425"/>
      <c r="Z252" s="425"/>
      <c r="AA252" s="425"/>
      <c r="AB252" s="425"/>
      <c r="AC252" s="425"/>
    </row>
    <row r="253" ht="15.75" customHeight="1">
      <c r="A253" s="425"/>
      <c r="B253" s="425"/>
      <c r="C253" s="425"/>
      <c r="D253" s="511"/>
      <c r="E253" s="235"/>
      <c r="F253" s="425"/>
      <c r="G253" s="425"/>
      <c r="H253" s="425"/>
      <c r="I253" s="425"/>
      <c r="J253" s="511"/>
      <c r="K253" s="235"/>
      <c r="L253" s="425"/>
      <c r="M253" s="425"/>
      <c r="N253" s="425"/>
      <c r="O253" s="425"/>
      <c r="P253" s="511"/>
      <c r="Q253" s="235"/>
      <c r="R253" s="425"/>
      <c r="S253" s="425"/>
      <c r="T253" s="425"/>
      <c r="U253" s="425"/>
      <c r="V253" s="425"/>
      <c r="W253" s="425"/>
      <c r="X253" s="425"/>
      <c r="Y253" s="425"/>
      <c r="Z253" s="425"/>
      <c r="AA253" s="425"/>
      <c r="AB253" s="425"/>
      <c r="AC253" s="425"/>
    </row>
    <row r="254" ht="15.75" customHeight="1">
      <c r="A254" s="425"/>
      <c r="B254" s="425"/>
      <c r="C254" s="425"/>
      <c r="D254" s="511"/>
      <c r="E254" s="235"/>
      <c r="F254" s="425"/>
      <c r="G254" s="425"/>
      <c r="H254" s="425"/>
      <c r="I254" s="425"/>
      <c r="J254" s="511"/>
      <c r="K254" s="235"/>
      <c r="L254" s="425"/>
      <c r="M254" s="425"/>
      <c r="N254" s="425"/>
      <c r="O254" s="425"/>
      <c r="P254" s="511"/>
      <c r="Q254" s="235"/>
      <c r="R254" s="425"/>
      <c r="S254" s="425"/>
      <c r="T254" s="425"/>
      <c r="U254" s="425"/>
      <c r="V254" s="425"/>
      <c r="W254" s="425"/>
      <c r="X254" s="425"/>
      <c r="Y254" s="425"/>
      <c r="Z254" s="425"/>
      <c r="AA254" s="425"/>
      <c r="AB254" s="425"/>
      <c r="AC254" s="425"/>
    </row>
    <row r="255" ht="15.75" customHeight="1">
      <c r="A255" s="425"/>
      <c r="B255" s="425"/>
      <c r="C255" s="425"/>
      <c r="D255" s="511"/>
      <c r="E255" s="235"/>
      <c r="F255" s="425"/>
      <c r="G255" s="425"/>
      <c r="H255" s="425"/>
      <c r="I255" s="425"/>
      <c r="J255" s="511"/>
      <c r="K255" s="235"/>
      <c r="L255" s="425"/>
      <c r="M255" s="425"/>
      <c r="N255" s="425"/>
      <c r="O255" s="425"/>
      <c r="P255" s="511"/>
      <c r="Q255" s="235"/>
      <c r="R255" s="425"/>
      <c r="S255" s="425"/>
      <c r="T255" s="425"/>
      <c r="U255" s="425"/>
      <c r="V255" s="425"/>
      <c r="W255" s="425"/>
      <c r="X255" s="425"/>
      <c r="Y255" s="425"/>
      <c r="Z255" s="425"/>
      <c r="AA255" s="425"/>
      <c r="AB255" s="425"/>
      <c r="AC255" s="425"/>
    </row>
    <row r="256" ht="15.75" customHeight="1">
      <c r="A256" s="425"/>
      <c r="B256" s="425"/>
      <c r="C256" s="425"/>
      <c r="D256" s="511"/>
      <c r="E256" s="235"/>
      <c r="F256" s="425"/>
      <c r="G256" s="425"/>
      <c r="H256" s="425"/>
      <c r="I256" s="425"/>
      <c r="J256" s="511"/>
      <c r="K256" s="235"/>
      <c r="L256" s="425"/>
      <c r="M256" s="425"/>
      <c r="N256" s="425"/>
      <c r="O256" s="425"/>
      <c r="P256" s="511"/>
      <c r="Q256" s="235"/>
      <c r="R256" s="425"/>
      <c r="S256" s="425"/>
      <c r="T256" s="425"/>
      <c r="U256" s="425"/>
      <c r="V256" s="425"/>
      <c r="W256" s="425"/>
      <c r="X256" s="425"/>
      <c r="Y256" s="425"/>
      <c r="Z256" s="425"/>
      <c r="AA256" s="425"/>
      <c r="AB256" s="425"/>
      <c r="AC256" s="425"/>
    </row>
    <row r="257" ht="15.75" customHeight="1">
      <c r="A257" s="425"/>
      <c r="B257" s="425"/>
      <c r="C257" s="425"/>
      <c r="D257" s="511"/>
      <c r="E257" s="235"/>
      <c r="F257" s="425"/>
      <c r="G257" s="425"/>
      <c r="H257" s="425"/>
      <c r="I257" s="425"/>
      <c r="J257" s="511"/>
      <c r="K257" s="235"/>
      <c r="L257" s="425"/>
      <c r="M257" s="425"/>
      <c r="N257" s="425"/>
      <c r="O257" s="425"/>
      <c r="P257" s="511"/>
      <c r="Q257" s="235"/>
      <c r="R257" s="425"/>
      <c r="S257" s="425"/>
      <c r="T257" s="425"/>
      <c r="U257" s="425"/>
      <c r="V257" s="425"/>
      <c r="W257" s="425"/>
      <c r="X257" s="425"/>
      <c r="Y257" s="425"/>
      <c r="Z257" s="425"/>
      <c r="AA257" s="425"/>
      <c r="AB257" s="425"/>
      <c r="AC257" s="425"/>
    </row>
    <row r="258" ht="15.75" customHeight="1">
      <c r="A258" s="425"/>
      <c r="B258" s="425"/>
      <c r="C258" s="425"/>
      <c r="D258" s="511"/>
      <c r="E258" s="235"/>
      <c r="F258" s="425"/>
      <c r="G258" s="425"/>
      <c r="H258" s="425"/>
      <c r="I258" s="425"/>
      <c r="J258" s="511"/>
      <c r="K258" s="235"/>
      <c r="L258" s="425"/>
      <c r="M258" s="425"/>
      <c r="N258" s="425"/>
      <c r="O258" s="425"/>
      <c r="P258" s="511"/>
      <c r="Q258" s="235"/>
      <c r="R258" s="425"/>
      <c r="S258" s="425"/>
      <c r="T258" s="425"/>
      <c r="U258" s="425"/>
      <c r="V258" s="425"/>
      <c r="W258" s="425"/>
      <c r="X258" s="425"/>
      <c r="Y258" s="425"/>
      <c r="Z258" s="425"/>
      <c r="AA258" s="425"/>
      <c r="AB258" s="425"/>
      <c r="AC258" s="425"/>
    </row>
    <row r="259" ht="15.75" customHeight="1">
      <c r="A259" s="425"/>
      <c r="B259" s="425"/>
      <c r="C259" s="425"/>
      <c r="D259" s="511"/>
      <c r="E259" s="235"/>
      <c r="F259" s="425"/>
      <c r="G259" s="425"/>
      <c r="H259" s="425"/>
      <c r="I259" s="425"/>
      <c r="J259" s="511"/>
      <c r="K259" s="235"/>
      <c r="L259" s="425"/>
      <c r="M259" s="425"/>
      <c r="N259" s="425"/>
      <c r="O259" s="425"/>
      <c r="P259" s="511"/>
      <c r="Q259" s="235"/>
      <c r="R259" s="425"/>
      <c r="S259" s="425"/>
      <c r="T259" s="425"/>
      <c r="U259" s="425"/>
      <c r="V259" s="425"/>
      <c r="W259" s="425"/>
      <c r="X259" s="425"/>
      <c r="Y259" s="425"/>
      <c r="Z259" s="425"/>
      <c r="AA259" s="425"/>
      <c r="AB259" s="425"/>
      <c r="AC259" s="425"/>
    </row>
    <row r="260" ht="15.75" customHeight="1">
      <c r="A260" s="425"/>
      <c r="B260" s="425"/>
      <c r="C260" s="425"/>
      <c r="D260" s="511"/>
      <c r="E260" s="235"/>
      <c r="F260" s="425"/>
      <c r="G260" s="425"/>
      <c r="H260" s="425"/>
      <c r="I260" s="425"/>
      <c r="J260" s="511"/>
      <c r="K260" s="235"/>
      <c r="L260" s="425"/>
      <c r="M260" s="425"/>
      <c r="N260" s="425"/>
      <c r="O260" s="425"/>
      <c r="P260" s="511"/>
      <c r="Q260" s="235"/>
      <c r="R260" s="425"/>
      <c r="S260" s="425"/>
      <c r="T260" s="425"/>
      <c r="U260" s="425"/>
      <c r="V260" s="425"/>
      <c r="W260" s="425"/>
      <c r="X260" s="425"/>
      <c r="Y260" s="425"/>
      <c r="Z260" s="425"/>
      <c r="AA260" s="425"/>
      <c r="AB260" s="425"/>
      <c r="AC260" s="425"/>
    </row>
    <row r="261" ht="15.75" customHeight="1">
      <c r="A261" s="425"/>
      <c r="B261" s="425"/>
      <c r="C261" s="425"/>
      <c r="D261" s="511"/>
      <c r="E261" s="235"/>
      <c r="F261" s="425"/>
      <c r="G261" s="425"/>
      <c r="H261" s="425"/>
      <c r="I261" s="425"/>
      <c r="J261" s="511"/>
      <c r="K261" s="235"/>
      <c r="L261" s="425"/>
      <c r="M261" s="425"/>
      <c r="N261" s="425"/>
      <c r="O261" s="425"/>
      <c r="P261" s="511"/>
      <c r="Q261" s="235"/>
      <c r="R261" s="425"/>
      <c r="S261" s="425"/>
      <c r="T261" s="425"/>
      <c r="U261" s="425"/>
      <c r="V261" s="425"/>
      <c r="W261" s="425"/>
      <c r="X261" s="425"/>
      <c r="Y261" s="425"/>
      <c r="Z261" s="425"/>
      <c r="AA261" s="425"/>
      <c r="AB261" s="425"/>
      <c r="AC261" s="425"/>
    </row>
    <row r="262" ht="15.75" customHeight="1">
      <c r="A262" s="425"/>
      <c r="B262" s="425"/>
      <c r="C262" s="425"/>
      <c r="D262" s="511"/>
      <c r="E262" s="235"/>
      <c r="F262" s="425"/>
      <c r="G262" s="425"/>
      <c r="H262" s="425"/>
      <c r="I262" s="425"/>
      <c r="J262" s="511"/>
      <c r="K262" s="235"/>
      <c r="L262" s="425"/>
      <c r="M262" s="425"/>
      <c r="N262" s="425"/>
      <c r="O262" s="425"/>
      <c r="P262" s="511"/>
      <c r="Q262" s="235"/>
      <c r="R262" s="425"/>
      <c r="S262" s="425"/>
      <c r="T262" s="425"/>
      <c r="U262" s="425"/>
      <c r="V262" s="425"/>
      <c r="W262" s="425"/>
      <c r="X262" s="425"/>
      <c r="Y262" s="425"/>
      <c r="Z262" s="425"/>
      <c r="AA262" s="425"/>
      <c r="AB262" s="425"/>
      <c r="AC262" s="425"/>
    </row>
    <row r="263" ht="15.75" customHeight="1">
      <c r="A263" s="425"/>
      <c r="B263" s="425"/>
      <c r="C263" s="425"/>
      <c r="D263" s="511"/>
      <c r="E263" s="235"/>
      <c r="F263" s="425"/>
      <c r="G263" s="425"/>
      <c r="H263" s="425"/>
      <c r="I263" s="425"/>
      <c r="J263" s="511"/>
      <c r="K263" s="235"/>
      <c r="L263" s="425"/>
      <c r="M263" s="425"/>
      <c r="N263" s="425"/>
      <c r="O263" s="425"/>
      <c r="P263" s="511"/>
      <c r="Q263" s="235"/>
      <c r="R263" s="425"/>
      <c r="S263" s="425"/>
      <c r="T263" s="425"/>
      <c r="U263" s="425"/>
      <c r="V263" s="425"/>
      <c r="W263" s="425"/>
      <c r="X263" s="425"/>
      <c r="Y263" s="425"/>
      <c r="Z263" s="425"/>
      <c r="AA263" s="425"/>
      <c r="AB263" s="425"/>
      <c r="AC263" s="425"/>
    </row>
    <row r="264" ht="15.75" customHeight="1">
      <c r="A264" s="425"/>
      <c r="B264" s="425"/>
      <c r="C264" s="425"/>
      <c r="D264" s="511"/>
      <c r="E264" s="235"/>
      <c r="F264" s="425"/>
      <c r="G264" s="425"/>
      <c r="H264" s="425"/>
      <c r="I264" s="425"/>
      <c r="J264" s="511"/>
      <c r="K264" s="235"/>
      <c r="L264" s="425"/>
      <c r="M264" s="425"/>
      <c r="N264" s="425"/>
      <c r="O264" s="425"/>
      <c r="P264" s="511"/>
      <c r="Q264" s="235"/>
      <c r="R264" s="425"/>
      <c r="S264" s="425"/>
      <c r="T264" s="425"/>
      <c r="U264" s="425"/>
      <c r="V264" s="425"/>
      <c r="W264" s="425"/>
      <c r="X264" s="425"/>
      <c r="Y264" s="425"/>
      <c r="Z264" s="425"/>
      <c r="AA264" s="425"/>
      <c r="AB264" s="425"/>
      <c r="AC264" s="425"/>
    </row>
    <row r="265" ht="15.75" customHeight="1">
      <c r="A265" s="425"/>
      <c r="B265" s="425"/>
      <c r="C265" s="425"/>
      <c r="D265" s="511"/>
      <c r="E265" s="235"/>
      <c r="F265" s="425"/>
      <c r="G265" s="425"/>
      <c r="H265" s="425"/>
      <c r="I265" s="425"/>
      <c r="J265" s="511"/>
      <c r="K265" s="235"/>
      <c r="L265" s="425"/>
      <c r="M265" s="425"/>
      <c r="N265" s="425"/>
      <c r="O265" s="425"/>
      <c r="P265" s="511"/>
      <c r="Q265" s="235"/>
      <c r="R265" s="425"/>
      <c r="S265" s="425"/>
      <c r="T265" s="425"/>
      <c r="U265" s="425"/>
      <c r="V265" s="425"/>
      <c r="W265" s="425"/>
      <c r="X265" s="425"/>
      <c r="Y265" s="425"/>
      <c r="Z265" s="425"/>
      <c r="AA265" s="425"/>
      <c r="AB265" s="425"/>
      <c r="AC265" s="425"/>
    </row>
    <row r="266" ht="15.75" customHeight="1">
      <c r="A266" s="425"/>
      <c r="B266" s="425"/>
      <c r="C266" s="425"/>
      <c r="D266" s="511"/>
      <c r="E266" s="235"/>
      <c r="F266" s="425"/>
      <c r="G266" s="425"/>
      <c r="H266" s="425"/>
      <c r="I266" s="425"/>
      <c r="J266" s="511"/>
      <c r="K266" s="235"/>
      <c r="L266" s="425"/>
      <c r="M266" s="425"/>
      <c r="N266" s="425"/>
      <c r="O266" s="425"/>
      <c r="P266" s="511"/>
      <c r="Q266" s="235"/>
      <c r="R266" s="425"/>
      <c r="S266" s="425"/>
      <c r="T266" s="425"/>
      <c r="U266" s="425"/>
      <c r="V266" s="425"/>
      <c r="W266" s="425"/>
      <c r="X266" s="425"/>
      <c r="Y266" s="425"/>
      <c r="Z266" s="425"/>
      <c r="AA266" s="425"/>
      <c r="AB266" s="425"/>
      <c r="AC266" s="425"/>
    </row>
    <row r="267" ht="15.75" customHeight="1">
      <c r="A267" s="425"/>
      <c r="B267" s="425"/>
      <c r="C267" s="425"/>
      <c r="D267" s="511"/>
      <c r="E267" s="235"/>
      <c r="F267" s="425"/>
      <c r="G267" s="425"/>
      <c r="H267" s="425"/>
      <c r="I267" s="425"/>
      <c r="J267" s="511"/>
      <c r="K267" s="235"/>
      <c r="L267" s="425"/>
      <c r="M267" s="425"/>
      <c r="N267" s="425"/>
      <c r="O267" s="425"/>
      <c r="P267" s="511"/>
      <c r="Q267" s="235"/>
      <c r="R267" s="425"/>
      <c r="S267" s="425"/>
      <c r="T267" s="425"/>
      <c r="U267" s="425"/>
      <c r="V267" s="425"/>
      <c r="W267" s="425"/>
      <c r="X267" s="425"/>
      <c r="Y267" s="425"/>
      <c r="Z267" s="425"/>
      <c r="AA267" s="425"/>
      <c r="AB267" s="425"/>
      <c r="AC267" s="425"/>
    </row>
    <row r="268" ht="15.75" customHeight="1">
      <c r="A268" s="425"/>
      <c r="B268" s="425"/>
      <c r="C268" s="425"/>
      <c r="D268" s="511"/>
      <c r="E268" s="235"/>
      <c r="F268" s="425"/>
      <c r="G268" s="425"/>
      <c r="H268" s="425"/>
      <c r="I268" s="425"/>
      <c r="J268" s="511"/>
      <c r="K268" s="235"/>
      <c r="L268" s="425"/>
      <c r="M268" s="425"/>
      <c r="N268" s="425"/>
      <c r="O268" s="425"/>
      <c r="P268" s="511"/>
      <c r="Q268" s="235"/>
      <c r="R268" s="425"/>
      <c r="S268" s="425"/>
      <c r="T268" s="425"/>
      <c r="U268" s="425"/>
      <c r="V268" s="425"/>
      <c r="W268" s="425"/>
      <c r="X268" s="425"/>
      <c r="Y268" s="425"/>
      <c r="Z268" s="425"/>
      <c r="AA268" s="425"/>
      <c r="AB268" s="425"/>
      <c r="AC268" s="425"/>
    </row>
    <row r="269" ht="15.75" customHeight="1">
      <c r="A269" s="425"/>
      <c r="B269" s="425"/>
      <c r="C269" s="425"/>
      <c r="D269" s="511"/>
      <c r="E269" s="235"/>
      <c r="F269" s="425"/>
      <c r="G269" s="425"/>
      <c r="H269" s="425"/>
      <c r="I269" s="425"/>
      <c r="J269" s="511"/>
      <c r="K269" s="235"/>
      <c r="L269" s="425"/>
      <c r="M269" s="425"/>
      <c r="N269" s="425"/>
      <c r="O269" s="425"/>
      <c r="P269" s="511"/>
      <c r="Q269" s="235"/>
      <c r="R269" s="425"/>
      <c r="S269" s="425"/>
      <c r="T269" s="425"/>
      <c r="U269" s="425"/>
      <c r="V269" s="425"/>
      <c r="W269" s="425"/>
      <c r="X269" s="425"/>
      <c r="Y269" s="425"/>
      <c r="Z269" s="425"/>
      <c r="AA269" s="425"/>
      <c r="AB269" s="425"/>
      <c r="AC269" s="425"/>
    </row>
    <row r="270" ht="15.75" customHeight="1">
      <c r="A270" s="425"/>
      <c r="B270" s="425"/>
      <c r="C270" s="425"/>
      <c r="D270" s="511"/>
      <c r="E270" s="235"/>
      <c r="F270" s="425"/>
      <c r="G270" s="425"/>
      <c r="H270" s="425"/>
      <c r="I270" s="425"/>
      <c r="J270" s="511"/>
      <c r="K270" s="235"/>
      <c r="L270" s="425"/>
      <c r="M270" s="425"/>
      <c r="N270" s="425"/>
      <c r="O270" s="425"/>
      <c r="P270" s="511"/>
      <c r="Q270" s="235"/>
      <c r="R270" s="425"/>
      <c r="S270" s="425"/>
      <c r="T270" s="425"/>
      <c r="U270" s="425"/>
      <c r="V270" s="425"/>
      <c r="W270" s="425"/>
      <c r="X270" s="425"/>
      <c r="Y270" s="425"/>
      <c r="Z270" s="425"/>
      <c r="AA270" s="425"/>
      <c r="AB270" s="425"/>
      <c r="AC270" s="425"/>
    </row>
    <row r="271" ht="15.75" customHeight="1">
      <c r="A271" s="425"/>
      <c r="B271" s="425"/>
      <c r="C271" s="425"/>
      <c r="D271" s="511"/>
      <c r="E271" s="235"/>
      <c r="F271" s="425"/>
      <c r="G271" s="425"/>
      <c r="H271" s="425"/>
      <c r="I271" s="425"/>
      <c r="J271" s="511"/>
      <c r="K271" s="235"/>
      <c r="L271" s="425"/>
      <c r="M271" s="425"/>
      <c r="N271" s="425"/>
      <c r="O271" s="425"/>
      <c r="P271" s="511"/>
      <c r="Q271" s="235"/>
      <c r="R271" s="425"/>
      <c r="S271" s="425"/>
      <c r="T271" s="425"/>
      <c r="U271" s="425"/>
      <c r="V271" s="425"/>
      <c r="W271" s="425"/>
      <c r="X271" s="425"/>
      <c r="Y271" s="425"/>
      <c r="Z271" s="425"/>
      <c r="AA271" s="425"/>
      <c r="AB271" s="425"/>
      <c r="AC271" s="425"/>
    </row>
    <row r="272" ht="15.75" customHeight="1">
      <c r="A272" s="425"/>
      <c r="B272" s="425"/>
      <c r="C272" s="425"/>
      <c r="D272" s="511"/>
      <c r="E272" s="235"/>
      <c r="F272" s="425"/>
      <c r="G272" s="425"/>
      <c r="H272" s="425"/>
      <c r="I272" s="425"/>
      <c r="J272" s="511"/>
      <c r="K272" s="235"/>
      <c r="L272" s="425"/>
      <c r="M272" s="425"/>
      <c r="N272" s="425"/>
      <c r="O272" s="425"/>
      <c r="P272" s="511"/>
      <c r="Q272" s="235"/>
      <c r="R272" s="425"/>
      <c r="S272" s="425"/>
      <c r="T272" s="425"/>
      <c r="U272" s="425"/>
      <c r="V272" s="425"/>
      <c r="W272" s="425"/>
      <c r="X272" s="425"/>
      <c r="Y272" s="425"/>
      <c r="Z272" s="425"/>
      <c r="AA272" s="425"/>
      <c r="AB272" s="425"/>
      <c r="AC272" s="425"/>
    </row>
    <row r="273" ht="15.75" customHeight="1">
      <c r="A273" s="425"/>
      <c r="B273" s="425"/>
      <c r="C273" s="425"/>
      <c r="D273" s="511"/>
      <c r="E273" s="235"/>
      <c r="F273" s="425"/>
      <c r="G273" s="425"/>
      <c r="H273" s="425"/>
      <c r="I273" s="425"/>
      <c r="J273" s="511"/>
      <c r="K273" s="235"/>
      <c r="L273" s="425"/>
      <c r="M273" s="425"/>
      <c r="N273" s="425"/>
      <c r="O273" s="425"/>
      <c r="P273" s="511"/>
      <c r="Q273" s="235"/>
      <c r="R273" s="425"/>
      <c r="S273" s="425"/>
      <c r="T273" s="425"/>
      <c r="U273" s="425"/>
      <c r="V273" s="425"/>
      <c r="W273" s="425"/>
      <c r="X273" s="425"/>
      <c r="Y273" s="425"/>
      <c r="Z273" s="425"/>
      <c r="AA273" s="425"/>
      <c r="AB273" s="425"/>
      <c r="AC273" s="425"/>
    </row>
    <row r="274" ht="15.75" customHeight="1">
      <c r="A274" s="425"/>
      <c r="B274" s="425"/>
      <c r="C274" s="425"/>
      <c r="D274" s="511"/>
      <c r="E274" s="235"/>
      <c r="F274" s="425"/>
      <c r="G274" s="425"/>
      <c r="H274" s="425"/>
      <c r="I274" s="425"/>
      <c r="J274" s="511"/>
      <c r="K274" s="235"/>
      <c r="L274" s="425"/>
      <c r="M274" s="425"/>
      <c r="N274" s="425"/>
      <c r="O274" s="425"/>
      <c r="P274" s="511"/>
      <c r="Q274" s="235"/>
      <c r="R274" s="425"/>
      <c r="S274" s="425"/>
      <c r="T274" s="425"/>
      <c r="U274" s="425"/>
      <c r="V274" s="425"/>
      <c r="W274" s="425"/>
      <c r="X274" s="425"/>
      <c r="Y274" s="425"/>
      <c r="Z274" s="425"/>
      <c r="AA274" s="425"/>
      <c r="AB274" s="425"/>
      <c r="AC274" s="425"/>
    </row>
    <row r="275" ht="15.75" customHeight="1">
      <c r="A275" s="425"/>
      <c r="B275" s="425"/>
      <c r="C275" s="425"/>
      <c r="D275" s="511"/>
      <c r="E275" s="235"/>
      <c r="F275" s="425"/>
      <c r="G275" s="425"/>
      <c r="H275" s="425"/>
      <c r="I275" s="425"/>
      <c r="J275" s="511"/>
      <c r="K275" s="235"/>
      <c r="L275" s="425"/>
      <c r="M275" s="425"/>
      <c r="N275" s="425"/>
      <c r="O275" s="425"/>
      <c r="P275" s="511"/>
      <c r="Q275" s="235"/>
      <c r="R275" s="425"/>
      <c r="S275" s="425"/>
      <c r="T275" s="425"/>
      <c r="U275" s="425"/>
      <c r="V275" s="425"/>
      <c r="W275" s="425"/>
      <c r="X275" s="425"/>
      <c r="Y275" s="425"/>
      <c r="Z275" s="425"/>
      <c r="AA275" s="425"/>
      <c r="AB275" s="425"/>
      <c r="AC275" s="425"/>
    </row>
    <row r="276" ht="15.75" customHeight="1">
      <c r="A276" s="425"/>
      <c r="B276" s="425"/>
      <c r="C276" s="425"/>
      <c r="D276" s="511"/>
      <c r="E276" s="235"/>
      <c r="F276" s="425"/>
      <c r="G276" s="425"/>
      <c r="H276" s="425"/>
      <c r="I276" s="425"/>
      <c r="J276" s="511"/>
      <c r="K276" s="235"/>
      <c r="L276" s="425"/>
      <c r="M276" s="425"/>
      <c r="N276" s="425"/>
      <c r="O276" s="425"/>
      <c r="P276" s="511"/>
      <c r="Q276" s="235"/>
      <c r="R276" s="425"/>
      <c r="S276" s="425"/>
      <c r="T276" s="425"/>
      <c r="U276" s="425"/>
      <c r="V276" s="425"/>
      <c r="W276" s="425"/>
      <c r="X276" s="425"/>
      <c r="Y276" s="425"/>
      <c r="Z276" s="425"/>
      <c r="AA276" s="425"/>
      <c r="AB276" s="425"/>
      <c r="AC276" s="425"/>
    </row>
    <row r="277" ht="15.75" customHeight="1">
      <c r="A277" s="425"/>
      <c r="B277" s="425"/>
      <c r="C277" s="425"/>
      <c r="D277" s="511"/>
      <c r="E277" s="235"/>
      <c r="F277" s="425"/>
      <c r="G277" s="425"/>
      <c r="H277" s="425"/>
      <c r="I277" s="425"/>
      <c r="J277" s="511"/>
      <c r="K277" s="235"/>
      <c r="L277" s="425"/>
      <c r="M277" s="425"/>
      <c r="N277" s="425"/>
      <c r="O277" s="425"/>
      <c r="P277" s="511"/>
      <c r="Q277" s="235"/>
      <c r="R277" s="425"/>
      <c r="S277" s="425"/>
      <c r="T277" s="425"/>
      <c r="U277" s="425"/>
      <c r="V277" s="425"/>
      <c r="W277" s="425"/>
      <c r="X277" s="425"/>
      <c r="Y277" s="425"/>
      <c r="Z277" s="425"/>
      <c r="AA277" s="425"/>
      <c r="AB277" s="425"/>
      <c r="AC277" s="425"/>
    </row>
    <row r="278" ht="15.75" customHeight="1">
      <c r="A278" s="425"/>
      <c r="B278" s="425"/>
      <c r="C278" s="425"/>
      <c r="D278" s="511"/>
      <c r="E278" s="235"/>
      <c r="F278" s="425"/>
      <c r="G278" s="425"/>
      <c r="H278" s="425"/>
      <c r="I278" s="425"/>
      <c r="J278" s="511"/>
      <c r="K278" s="235"/>
      <c r="L278" s="425"/>
      <c r="M278" s="425"/>
      <c r="N278" s="425"/>
      <c r="O278" s="425"/>
      <c r="P278" s="511"/>
      <c r="Q278" s="235"/>
      <c r="R278" s="425"/>
      <c r="S278" s="425"/>
      <c r="T278" s="425"/>
      <c r="U278" s="425"/>
      <c r="V278" s="425"/>
      <c r="W278" s="425"/>
      <c r="X278" s="425"/>
      <c r="Y278" s="425"/>
      <c r="Z278" s="425"/>
      <c r="AA278" s="425"/>
      <c r="AB278" s="425"/>
      <c r="AC278" s="425"/>
    </row>
    <row r="279" ht="15.75" customHeight="1">
      <c r="A279" s="425"/>
      <c r="B279" s="425"/>
      <c r="C279" s="425"/>
      <c r="D279" s="511"/>
      <c r="E279" s="235"/>
      <c r="F279" s="425"/>
      <c r="G279" s="425"/>
      <c r="H279" s="425"/>
      <c r="I279" s="425"/>
      <c r="J279" s="511"/>
      <c r="K279" s="235"/>
      <c r="L279" s="425"/>
      <c r="M279" s="425"/>
      <c r="N279" s="425"/>
      <c r="O279" s="425"/>
      <c r="P279" s="511"/>
      <c r="Q279" s="235"/>
      <c r="R279" s="425"/>
      <c r="S279" s="425"/>
      <c r="T279" s="425"/>
      <c r="U279" s="425"/>
      <c r="V279" s="425"/>
      <c r="W279" s="425"/>
      <c r="X279" s="425"/>
      <c r="Y279" s="425"/>
      <c r="Z279" s="425"/>
      <c r="AA279" s="425"/>
      <c r="AB279" s="425"/>
      <c r="AC279" s="425"/>
    </row>
    <row r="280" ht="15.75" customHeight="1">
      <c r="A280" s="425"/>
      <c r="B280" s="425"/>
      <c r="C280" s="425"/>
      <c r="D280" s="511"/>
      <c r="E280" s="235"/>
      <c r="F280" s="425"/>
      <c r="G280" s="425"/>
      <c r="H280" s="425"/>
      <c r="I280" s="425"/>
      <c r="J280" s="511"/>
      <c r="K280" s="235"/>
      <c r="L280" s="425"/>
      <c r="M280" s="425"/>
      <c r="N280" s="425"/>
      <c r="O280" s="425"/>
      <c r="P280" s="511"/>
      <c r="Q280" s="235"/>
      <c r="R280" s="425"/>
      <c r="S280" s="425"/>
      <c r="T280" s="425"/>
      <c r="U280" s="425"/>
      <c r="V280" s="425"/>
      <c r="W280" s="425"/>
      <c r="X280" s="425"/>
      <c r="Y280" s="425"/>
      <c r="Z280" s="425"/>
      <c r="AA280" s="425"/>
      <c r="AB280" s="425"/>
      <c r="AC280" s="425"/>
    </row>
    <row r="281" ht="15.75" customHeight="1">
      <c r="A281" s="425"/>
      <c r="B281" s="425"/>
      <c r="C281" s="425"/>
      <c r="D281" s="511"/>
      <c r="E281" s="235"/>
      <c r="F281" s="425"/>
      <c r="G281" s="425"/>
      <c r="H281" s="425"/>
      <c r="I281" s="425"/>
      <c r="J281" s="511"/>
      <c r="K281" s="235"/>
      <c r="L281" s="425"/>
      <c r="M281" s="425"/>
      <c r="N281" s="425"/>
      <c r="O281" s="425"/>
      <c r="P281" s="511"/>
      <c r="Q281" s="235"/>
      <c r="R281" s="425"/>
      <c r="S281" s="425"/>
      <c r="T281" s="425"/>
      <c r="U281" s="425"/>
      <c r="V281" s="425"/>
      <c r="W281" s="425"/>
      <c r="X281" s="425"/>
      <c r="Y281" s="425"/>
      <c r="Z281" s="425"/>
      <c r="AA281" s="425"/>
      <c r="AB281" s="425"/>
      <c r="AC281" s="425"/>
    </row>
    <row r="282" ht="15.75" customHeight="1">
      <c r="A282" s="425"/>
      <c r="B282" s="425"/>
      <c r="C282" s="425"/>
      <c r="D282" s="511"/>
      <c r="E282" s="235"/>
      <c r="F282" s="425"/>
      <c r="G282" s="425"/>
      <c r="H282" s="425"/>
      <c r="I282" s="425"/>
      <c r="J282" s="511"/>
      <c r="K282" s="235"/>
      <c r="L282" s="425"/>
      <c r="M282" s="425"/>
      <c r="N282" s="425"/>
      <c r="O282" s="425"/>
      <c r="P282" s="511"/>
      <c r="Q282" s="235"/>
      <c r="R282" s="425"/>
      <c r="S282" s="425"/>
      <c r="T282" s="425"/>
      <c r="U282" s="425"/>
      <c r="V282" s="425"/>
      <c r="W282" s="425"/>
      <c r="X282" s="425"/>
      <c r="Y282" s="425"/>
      <c r="Z282" s="425"/>
      <c r="AA282" s="425"/>
      <c r="AB282" s="425"/>
      <c r="AC282" s="425"/>
    </row>
    <row r="283" ht="15.75" customHeight="1">
      <c r="A283" s="425"/>
      <c r="B283" s="425"/>
      <c r="C283" s="425"/>
      <c r="D283" s="511"/>
      <c r="E283" s="235"/>
      <c r="F283" s="425"/>
      <c r="G283" s="425"/>
      <c r="H283" s="425"/>
      <c r="I283" s="425"/>
      <c r="J283" s="511"/>
      <c r="K283" s="235"/>
      <c r="L283" s="425"/>
      <c r="M283" s="425"/>
      <c r="N283" s="425"/>
      <c r="O283" s="425"/>
      <c r="P283" s="511"/>
      <c r="Q283" s="235"/>
      <c r="R283" s="425"/>
      <c r="S283" s="425"/>
      <c r="T283" s="425"/>
      <c r="U283" s="425"/>
      <c r="V283" s="425"/>
      <c r="W283" s="425"/>
      <c r="X283" s="425"/>
      <c r="Y283" s="425"/>
      <c r="Z283" s="425"/>
      <c r="AA283" s="425"/>
      <c r="AB283" s="425"/>
      <c r="AC283" s="425"/>
    </row>
    <row r="284" ht="15.75" customHeight="1">
      <c r="A284" s="425"/>
      <c r="B284" s="425"/>
      <c r="C284" s="425"/>
      <c r="D284" s="511"/>
      <c r="E284" s="235"/>
      <c r="F284" s="425"/>
      <c r="G284" s="425"/>
      <c r="H284" s="425"/>
      <c r="I284" s="425"/>
      <c r="J284" s="511"/>
      <c r="K284" s="235"/>
      <c r="L284" s="425"/>
      <c r="M284" s="425"/>
      <c r="N284" s="425"/>
      <c r="O284" s="425"/>
      <c r="P284" s="511"/>
      <c r="Q284" s="235"/>
      <c r="R284" s="425"/>
      <c r="S284" s="425"/>
      <c r="T284" s="425"/>
      <c r="U284" s="425"/>
      <c r="V284" s="425"/>
      <c r="W284" s="425"/>
      <c r="X284" s="425"/>
      <c r="Y284" s="425"/>
      <c r="Z284" s="425"/>
      <c r="AA284" s="425"/>
      <c r="AB284" s="425"/>
      <c r="AC284" s="425"/>
    </row>
    <row r="285" ht="15.75" customHeight="1">
      <c r="A285" s="425"/>
      <c r="B285" s="425"/>
      <c r="C285" s="425"/>
      <c r="D285" s="511"/>
      <c r="E285" s="235"/>
      <c r="F285" s="425"/>
      <c r="G285" s="425"/>
      <c r="H285" s="425"/>
      <c r="I285" s="425"/>
      <c r="J285" s="511"/>
      <c r="K285" s="235"/>
      <c r="L285" s="425"/>
      <c r="M285" s="425"/>
      <c r="N285" s="425"/>
      <c r="O285" s="425"/>
      <c r="P285" s="511"/>
      <c r="Q285" s="235"/>
      <c r="R285" s="425"/>
      <c r="S285" s="425"/>
      <c r="T285" s="425"/>
      <c r="U285" s="425"/>
      <c r="V285" s="425"/>
      <c r="W285" s="425"/>
      <c r="X285" s="425"/>
      <c r="Y285" s="425"/>
      <c r="Z285" s="425"/>
      <c r="AA285" s="425"/>
      <c r="AB285" s="425"/>
      <c r="AC285" s="425"/>
    </row>
    <row r="286" ht="15.75" customHeight="1">
      <c r="A286" s="425"/>
      <c r="B286" s="425"/>
      <c r="C286" s="425"/>
      <c r="D286" s="511"/>
      <c r="E286" s="235"/>
      <c r="F286" s="425"/>
      <c r="G286" s="425"/>
      <c r="H286" s="425"/>
      <c r="I286" s="425"/>
      <c r="J286" s="511"/>
      <c r="K286" s="235"/>
      <c r="L286" s="425"/>
      <c r="M286" s="425"/>
      <c r="N286" s="425"/>
      <c r="O286" s="425"/>
      <c r="P286" s="511"/>
      <c r="Q286" s="235"/>
      <c r="R286" s="425"/>
      <c r="S286" s="425"/>
      <c r="T286" s="425"/>
      <c r="U286" s="425"/>
      <c r="V286" s="425"/>
      <c r="W286" s="425"/>
      <c r="X286" s="425"/>
      <c r="Y286" s="425"/>
      <c r="Z286" s="425"/>
      <c r="AA286" s="425"/>
      <c r="AB286" s="425"/>
      <c r="AC286" s="425"/>
    </row>
    <row r="287" ht="15.75" customHeight="1">
      <c r="A287" s="425"/>
      <c r="B287" s="425"/>
      <c r="C287" s="425"/>
      <c r="D287" s="511"/>
      <c r="E287" s="235"/>
      <c r="F287" s="425"/>
      <c r="G287" s="425"/>
      <c r="H287" s="425"/>
      <c r="I287" s="425"/>
      <c r="J287" s="511"/>
      <c r="K287" s="235"/>
      <c r="L287" s="425"/>
      <c r="M287" s="425"/>
      <c r="N287" s="425"/>
      <c r="O287" s="425"/>
      <c r="P287" s="511"/>
      <c r="Q287" s="235"/>
      <c r="R287" s="425"/>
      <c r="S287" s="425"/>
      <c r="T287" s="425"/>
      <c r="U287" s="425"/>
      <c r="V287" s="425"/>
      <c r="W287" s="425"/>
      <c r="X287" s="425"/>
      <c r="Y287" s="425"/>
      <c r="Z287" s="425"/>
      <c r="AA287" s="425"/>
      <c r="AB287" s="425"/>
      <c r="AC287" s="425"/>
    </row>
    <row r="288" ht="15.75" customHeight="1">
      <c r="A288" s="425"/>
      <c r="B288" s="425"/>
      <c r="C288" s="425"/>
      <c r="D288" s="511"/>
      <c r="E288" s="235"/>
      <c r="F288" s="425"/>
      <c r="G288" s="425"/>
      <c r="H288" s="425"/>
      <c r="I288" s="425"/>
      <c r="J288" s="511"/>
      <c r="K288" s="235"/>
      <c r="L288" s="425"/>
      <c r="M288" s="425"/>
      <c r="N288" s="425"/>
      <c r="O288" s="425"/>
      <c r="P288" s="511"/>
      <c r="Q288" s="235"/>
      <c r="R288" s="425"/>
      <c r="S288" s="425"/>
      <c r="T288" s="425"/>
      <c r="U288" s="425"/>
      <c r="V288" s="425"/>
      <c r="W288" s="425"/>
      <c r="X288" s="425"/>
      <c r="Y288" s="425"/>
      <c r="Z288" s="425"/>
      <c r="AA288" s="425"/>
      <c r="AB288" s="425"/>
      <c r="AC288" s="425"/>
    </row>
    <row r="289" ht="15.75" customHeight="1">
      <c r="A289" s="425"/>
      <c r="B289" s="425"/>
      <c r="C289" s="425"/>
      <c r="D289" s="511"/>
      <c r="E289" s="235"/>
      <c r="F289" s="425"/>
      <c r="G289" s="425"/>
      <c r="H289" s="425"/>
      <c r="I289" s="425"/>
      <c r="J289" s="511"/>
      <c r="K289" s="235"/>
      <c r="L289" s="425"/>
      <c r="M289" s="425"/>
      <c r="N289" s="425"/>
      <c r="O289" s="425"/>
      <c r="P289" s="511"/>
      <c r="Q289" s="235"/>
      <c r="R289" s="425"/>
      <c r="S289" s="425"/>
      <c r="T289" s="425"/>
      <c r="U289" s="425"/>
      <c r="V289" s="425"/>
      <c r="W289" s="425"/>
      <c r="X289" s="425"/>
      <c r="Y289" s="425"/>
      <c r="Z289" s="425"/>
      <c r="AA289" s="425"/>
      <c r="AB289" s="425"/>
      <c r="AC289" s="425"/>
    </row>
    <row r="290" ht="15.75" customHeight="1">
      <c r="A290" s="425"/>
      <c r="B290" s="425"/>
      <c r="C290" s="425"/>
      <c r="D290" s="511"/>
      <c r="E290" s="235"/>
      <c r="F290" s="425"/>
      <c r="G290" s="425"/>
      <c r="H290" s="425"/>
      <c r="I290" s="425"/>
      <c r="J290" s="511"/>
      <c r="K290" s="235"/>
      <c r="L290" s="425"/>
      <c r="M290" s="425"/>
      <c r="N290" s="425"/>
      <c r="O290" s="425"/>
      <c r="P290" s="511"/>
      <c r="Q290" s="235"/>
      <c r="R290" s="425"/>
      <c r="S290" s="425"/>
      <c r="T290" s="425"/>
      <c r="U290" s="425"/>
      <c r="V290" s="425"/>
      <c r="W290" s="425"/>
      <c r="X290" s="425"/>
      <c r="Y290" s="425"/>
      <c r="Z290" s="425"/>
      <c r="AA290" s="425"/>
      <c r="AB290" s="425"/>
      <c r="AC290" s="425"/>
    </row>
    <row r="291" ht="15.75" customHeight="1">
      <c r="A291" s="425"/>
      <c r="B291" s="425"/>
      <c r="C291" s="425"/>
      <c r="D291" s="511"/>
      <c r="E291" s="235"/>
      <c r="F291" s="425"/>
      <c r="G291" s="425"/>
      <c r="H291" s="425"/>
      <c r="I291" s="425"/>
      <c r="J291" s="511"/>
      <c r="K291" s="235"/>
      <c r="L291" s="425"/>
      <c r="M291" s="425"/>
      <c r="N291" s="425"/>
      <c r="O291" s="425"/>
      <c r="P291" s="511"/>
      <c r="Q291" s="235"/>
      <c r="R291" s="425"/>
      <c r="S291" s="425"/>
      <c r="T291" s="425"/>
      <c r="U291" s="425"/>
      <c r="V291" s="425"/>
      <c r="W291" s="425"/>
      <c r="X291" s="425"/>
      <c r="Y291" s="425"/>
      <c r="Z291" s="425"/>
      <c r="AA291" s="425"/>
      <c r="AB291" s="425"/>
      <c r="AC291" s="425"/>
    </row>
    <row r="292" ht="15.75" customHeight="1">
      <c r="A292" s="425"/>
      <c r="B292" s="425"/>
      <c r="C292" s="425"/>
      <c r="D292" s="511"/>
      <c r="E292" s="235"/>
      <c r="F292" s="425"/>
      <c r="G292" s="425"/>
      <c r="H292" s="425"/>
      <c r="I292" s="425"/>
      <c r="J292" s="511"/>
      <c r="K292" s="235"/>
      <c r="L292" s="425"/>
      <c r="M292" s="425"/>
      <c r="N292" s="425"/>
      <c r="O292" s="425"/>
      <c r="P292" s="511"/>
      <c r="Q292" s="235"/>
      <c r="R292" s="425"/>
      <c r="S292" s="425"/>
      <c r="T292" s="425"/>
      <c r="U292" s="425"/>
      <c r="V292" s="425"/>
      <c r="W292" s="425"/>
      <c r="X292" s="425"/>
      <c r="Y292" s="425"/>
      <c r="Z292" s="425"/>
      <c r="AA292" s="425"/>
      <c r="AB292" s="425"/>
      <c r="AC292" s="425"/>
    </row>
    <row r="293" ht="15.75" customHeight="1">
      <c r="A293" s="425"/>
      <c r="B293" s="425"/>
      <c r="C293" s="425"/>
      <c r="D293" s="511"/>
      <c r="E293" s="235"/>
      <c r="F293" s="425"/>
      <c r="G293" s="425"/>
      <c r="H293" s="425"/>
      <c r="I293" s="425"/>
      <c r="J293" s="511"/>
      <c r="K293" s="235"/>
      <c r="L293" s="425"/>
      <c r="M293" s="425"/>
      <c r="N293" s="425"/>
      <c r="O293" s="425"/>
      <c r="P293" s="511"/>
      <c r="Q293" s="235"/>
      <c r="R293" s="425"/>
      <c r="S293" s="425"/>
      <c r="T293" s="425"/>
      <c r="U293" s="425"/>
      <c r="V293" s="425"/>
      <c r="W293" s="425"/>
      <c r="X293" s="425"/>
      <c r="Y293" s="425"/>
      <c r="Z293" s="425"/>
      <c r="AA293" s="425"/>
      <c r="AB293" s="425"/>
      <c r="AC293" s="425"/>
    </row>
    <row r="294" ht="15.75" customHeight="1">
      <c r="A294" s="425"/>
      <c r="B294" s="425"/>
      <c r="C294" s="425"/>
      <c r="D294" s="511"/>
      <c r="E294" s="235"/>
      <c r="F294" s="425"/>
      <c r="G294" s="425"/>
      <c r="H294" s="425"/>
      <c r="I294" s="425"/>
      <c r="J294" s="511"/>
      <c r="K294" s="235"/>
      <c r="L294" s="425"/>
      <c r="M294" s="425"/>
      <c r="N294" s="425"/>
      <c r="O294" s="425"/>
      <c r="P294" s="511"/>
      <c r="Q294" s="235"/>
      <c r="R294" s="425"/>
      <c r="S294" s="425"/>
      <c r="T294" s="425"/>
      <c r="U294" s="425"/>
      <c r="V294" s="425"/>
      <c r="W294" s="425"/>
      <c r="X294" s="425"/>
      <c r="Y294" s="425"/>
      <c r="Z294" s="425"/>
      <c r="AA294" s="425"/>
      <c r="AB294" s="425"/>
      <c r="AC294" s="425"/>
    </row>
    <row r="295" ht="15.75" customHeight="1">
      <c r="A295" s="425"/>
      <c r="B295" s="425"/>
      <c r="C295" s="425"/>
      <c r="D295" s="511"/>
      <c r="E295" s="235"/>
      <c r="F295" s="425"/>
      <c r="G295" s="425"/>
      <c r="H295" s="425"/>
      <c r="I295" s="425"/>
      <c r="J295" s="511"/>
      <c r="K295" s="235"/>
      <c r="L295" s="425"/>
      <c r="M295" s="425"/>
      <c r="N295" s="425"/>
      <c r="O295" s="425"/>
      <c r="P295" s="511"/>
      <c r="Q295" s="235"/>
      <c r="R295" s="425"/>
      <c r="S295" s="425"/>
      <c r="T295" s="425"/>
      <c r="U295" s="425"/>
      <c r="V295" s="425"/>
      <c r="W295" s="425"/>
      <c r="X295" s="425"/>
      <c r="Y295" s="425"/>
      <c r="Z295" s="425"/>
      <c r="AA295" s="425"/>
      <c r="AB295" s="425"/>
      <c r="AC295" s="425"/>
    </row>
    <row r="296" ht="15.75" customHeight="1">
      <c r="A296" s="425"/>
      <c r="B296" s="425"/>
      <c r="C296" s="425"/>
      <c r="D296" s="511"/>
      <c r="E296" s="235"/>
      <c r="F296" s="425"/>
      <c r="G296" s="425"/>
      <c r="H296" s="425"/>
      <c r="I296" s="425"/>
      <c r="J296" s="511"/>
      <c r="K296" s="235"/>
      <c r="L296" s="425"/>
      <c r="M296" s="425"/>
      <c r="N296" s="425"/>
      <c r="O296" s="425"/>
      <c r="P296" s="511"/>
      <c r="Q296" s="235"/>
      <c r="R296" s="425"/>
      <c r="S296" s="425"/>
      <c r="T296" s="425"/>
      <c r="U296" s="425"/>
      <c r="V296" s="425"/>
      <c r="W296" s="425"/>
      <c r="X296" s="425"/>
      <c r="Y296" s="425"/>
      <c r="Z296" s="425"/>
      <c r="AA296" s="425"/>
      <c r="AB296" s="425"/>
      <c r="AC296" s="425"/>
    </row>
    <row r="297" ht="15.75" customHeight="1">
      <c r="A297" s="425"/>
      <c r="B297" s="425"/>
      <c r="C297" s="425"/>
      <c r="D297" s="511"/>
      <c r="E297" s="235"/>
      <c r="F297" s="425"/>
      <c r="G297" s="425"/>
      <c r="H297" s="425"/>
      <c r="I297" s="425"/>
      <c r="J297" s="511"/>
      <c r="K297" s="235"/>
      <c r="L297" s="425"/>
      <c r="M297" s="425"/>
      <c r="N297" s="425"/>
      <c r="O297" s="425"/>
      <c r="P297" s="511"/>
      <c r="Q297" s="235"/>
      <c r="R297" s="425"/>
      <c r="S297" s="425"/>
      <c r="T297" s="425"/>
      <c r="U297" s="425"/>
      <c r="V297" s="425"/>
      <c r="W297" s="425"/>
      <c r="X297" s="425"/>
      <c r="Y297" s="425"/>
      <c r="Z297" s="425"/>
      <c r="AA297" s="425"/>
      <c r="AB297" s="425"/>
      <c r="AC297" s="425"/>
    </row>
    <row r="298" ht="15.75" customHeight="1">
      <c r="A298" s="425"/>
      <c r="B298" s="425"/>
      <c r="C298" s="425"/>
      <c r="D298" s="511"/>
      <c r="E298" s="235"/>
      <c r="F298" s="425"/>
      <c r="G298" s="425"/>
      <c r="H298" s="425"/>
      <c r="I298" s="425"/>
      <c r="J298" s="511"/>
      <c r="K298" s="235"/>
      <c r="L298" s="425"/>
      <c r="M298" s="425"/>
      <c r="N298" s="425"/>
      <c r="O298" s="425"/>
      <c r="P298" s="511"/>
      <c r="Q298" s="235"/>
      <c r="R298" s="425"/>
      <c r="S298" s="425"/>
      <c r="T298" s="425"/>
      <c r="U298" s="425"/>
      <c r="V298" s="425"/>
      <c r="W298" s="425"/>
      <c r="X298" s="425"/>
      <c r="Y298" s="425"/>
      <c r="Z298" s="425"/>
      <c r="AA298" s="425"/>
      <c r="AB298" s="425"/>
      <c r="AC298" s="425"/>
    </row>
    <row r="299" ht="15.75" customHeight="1">
      <c r="A299" s="425"/>
      <c r="B299" s="425"/>
      <c r="C299" s="425"/>
      <c r="D299" s="511"/>
      <c r="E299" s="235"/>
      <c r="F299" s="425"/>
      <c r="G299" s="425"/>
      <c r="H299" s="425"/>
      <c r="I299" s="425"/>
      <c r="J299" s="511"/>
      <c r="K299" s="235"/>
      <c r="L299" s="425"/>
      <c r="M299" s="425"/>
      <c r="N299" s="425"/>
      <c r="O299" s="425"/>
      <c r="P299" s="511"/>
      <c r="Q299" s="235"/>
      <c r="R299" s="425"/>
      <c r="S299" s="425"/>
      <c r="T299" s="425"/>
      <c r="U299" s="425"/>
      <c r="V299" s="425"/>
      <c r="W299" s="425"/>
      <c r="X299" s="425"/>
      <c r="Y299" s="425"/>
      <c r="Z299" s="425"/>
      <c r="AA299" s="425"/>
      <c r="AB299" s="425"/>
      <c r="AC299" s="425"/>
    </row>
    <row r="300" ht="15.75" customHeight="1">
      <c r="A300" s="425"/>
      <c r="B300" s="425"/>
      <c r="C300" s="425"/>
      <c r="D300" s="511"/>
      <c r="E300" s="235"/>
      <c r="F300" s="425"/>
      <c r="G300" s="425"/>
      <c r="H300" s="425"/>
      <c r="I300" s="425"/>
      <c r="J300" s="511"/>
      <c r="K300" s="235"/>
      <c r="L300" s="425"/>
      <c r="M300" s="425"/>
      <c r="N300" s="425"/>
      <c r="O300" s="425"/>
      <c r="P300" s="511"/>
      <c r="Q300" s="235"/>
      <c r="R300" s="425"/>
      <c r="S300" s="425"/>
      <c r="T300" s="425"/>
      <c r="U300" s="425"/>
      <c r="V300" s="425"/>
      <c r="W300" s="425"/>
      <c r="X300" s="425"/>
      <c r="Y300" s="425"/>
      <c r="Z300" s="425"/>
      <c r="AA300" s="425"/>
      <c r="AB300" s="425"/>
      <c r="AC300" s="425"/>
    </row>
    <row r="301" ht="15.75" customHeight="1">
      <c r="A301" s="425"/>
      <c r="B301" s="425"/>
      <c r="C301" s="425"/>
      <c r="D301" s="511"/>
      <c r="E301" s="235"/>
      <c r="F301" s="425"/>
      <c r="G301" s="425"/>
      <c r="H301" s="425"/>
      <c r="I301" s="425"/>
      <c r="J301" s="511"/>
      <c r="K301" s="235"/>
      <c r="L301" s="425"/>
      <c r="M301" s="425"/>
      <c r="N301" s="425"/>
      <c r="O301" s="425"/>
      <c r="P301" s="511"/>
      <c r="Q301" s="235"/>
      <c r="R301" s="425"/>
      <c r="S301" s="425"/>
      <c r="T301" s="425"/>
      <c r="U301" s="425"/>
      <c r="V301" s="425"/>
      <c r="W301" s="425"/>
      <c r="X301" s="425"/>
      <c r="Y301" s="425"/>
      <c r="Z301" s="425"/>
      <c r="AA301" s="425"/>
      <c r="AB301" s="425"/>
      <c r="AC301" s="425"/>
    </row>
    <row r="302" ht="15.75" customHeight="1">
      <c r="A302" s="425"/>
      <c r="B302" s="425"/>
      <c r="C302" s="425"/>
      <c r="D302" s="511"/>
      <c r="E302" s="235"/>
      <c r="F302" s="425"/>
      <c r="G302" s="425"/>
      <c r="H302" s="425"/>
      <c r="I302" s="425"/>
      <c r="J302" s="511"/>
      <c r="K302" s="235"/>
      <c r="L302" s="425"/>
      <c r="M302" s="425"/>
      <c r="N302" s="425"/>
      <c r="O302" s="425"/>
      <c r="P302" s="511"/>
      <c r="Q302" s="235"/>
      <c r="R302" s="425"/>
      <c r="S302" s="425"/>
      <c r="T302" s="425"/>
      <c r="U302" s="425"/>
      <c r="V302" s="425"/>
      <c r="W302" s="425"/>
      <c r="X302" s="425"/>
      <c r="Y302" s="425"/>
      <c r="Z302" s="425"/>
      <c r="AA302" s="425"/>
      <c r="AB302" s="425"/>
      <c r="AC302" s="425"/>
    </row>
    <row r="303" ht="15.75" customHeight="1">
      <c r="A303" s="425"/>
      <c r="B303" s="425"/>
      <c r="C303" s="425"/>
      <c r="D303" s="511"/>
      <c r="E303" s="235"/>
      <c r="F303" s="425"/>
      <c r="G303" s="425"/>
      <c r="H303" s="425"/>
      <c r="I303" s="425"/>
      <c r="J303" s="511"/>
      <c r="K303" s="235"/>
      <c r="L303" s="425"/>
      <c r="M303" s="425"/>
      <c r="N303" s="425"/>
      <c r="O303" s="425"/>
      <c r="P303" s="511"/>
      <c r="Q303" s="235"/>
      <c r="R303" s="425"/>
      <c r="S303" s="425"/>
      <c r="T303" s="425"/>
      <c r="U303" s="425"/>
      <c r="V303" s="425"/>
      <c r="W303" s="425"/>
      <c r="X303" s="425"/>
      <c r="Y303" s="425"/>
      <c r="Z303" s="425"/>
      <c r="AA303" s="425"/>
      <c r="AB303" s="425"/>
      <c r="AC303" s="425"/>
    </row>
    <row r="304" ht="15.75" customHeight="1">
      <c r="A304" s="425"/>
      <c r="B304" s="425"/>
      <c r="C304" s="425"/>
      <c r="D304" s="511"/>
      <c r="E304" s="235"/>
      <c r="F304" s="425"/>
      <c r="G304" s="425"/>
      <c r="H304" s="425"/>
      <c r="I304" s="425"/>
      <c r="J304" s="511"/>
      <c r="K304" s="235"/>
      <c r="L304" s="425"/>
      <c r="M304" s="425"/>
      <c r="N304" s="425"/>
      <c r="O304" s="425"/>
      <c r="P304" s="511"/>
      <c r="Q304" s="235"/>
      <c r="R304" s="425"/>
      <c r="S304" s="425"/>
      <c r="T304" s="425"/>
      <c r="U304" s="425"/>
      <c r="V304" s="425"/>
      <c r="W304" s="425"/>
      <c r="X304" s="425"/>
      <c r="Y304" s="425"/>
      <c r="Z304" s="425"/>
      <c r="AA304" s="425"/>
      <c r="AB304" s="425"/>
      <c r="AC304" s="425"/>
    </row>
    <row r="305" ht="15.75" customHeight="1">
      <c r="A305" s="425"/>
      <c r="B305" s="425"/>
      <c r="C305" s="425"/>
      <c r="D305" s="511"/>
      <c r="E305" s="235"/>
      <c r="F305" s="425"/>
      <c r="G305" s="425"/>
      <c r="H305" s="425"/>
      <c r="I305" s="425"/>
      <c r="J305" s="511"/>
      <c r="K305" s="235"/>
      <c r="L305" s="425"/>
      <c r="M305" s="425"/>
      <c r="N305" s="425"/>
      <c r="O305" s="425"/>
      <c r="P305" s="511"/>
      <c r="Q305" s="235"/>
      <c r="R305" s="425"/>
      <c r="S305" s="425"/>
      <c r="T305" s="425"/>
      <c r="U305" s="425"/>
      <c r="V305" s="425"/>
      <c r="W305" s="425"/>
      <c r="X305" s="425"/>
      <c r="Y305" s="425"/>
      <c r="Z305" s="425"/>
      <c r="AA305" s="425"/>
      <c r="AB305" s="425"/>
      <c r="AC305" s="425"/>
    </row>
    <row r="306" ht="15.75" customHeight="1">
      <c r="A306" s="425"/>
      <c r="B306" s="425"/>
      <c r="C306" s="425"/>
      <c r="D306" s="511"/>
      <c r="E306" s="235"/>
      <c r="F306" s="425"/>
      <c r="G306" s="425"/>
      <c r="H306" s="425"/>
      <c r="I306" s="425"/>
      <c r="J306" s="511"/>
      <c r="K306" s="235"/>
      <c r="L306" s="425"/>
      <c r="M306" s="425"/>
      <c r="N306" s="425"/>
      <c r="O306" s="425"/>
      <c r="P306" s="511"/>
      <c r="Q306" s="235"/>
      <c r="R306" s="425"/>
      <c r="S306" s="425"/>
      <c r="T306" s="425"/>
      <c r="U306" s="425"/>
      <c r="V306" s="425"/>
      <c r="W306" s="425"/>
      <c r="X306" s="425"/>
      <c r="Y306" s="425"/>
      <c r="Z306" s="425"/>
      <c r="AA306" s="425"/>
      <c r="AB306" s="425"/>
      <c r="AC306" s="425"/>
    </row>
    <row r="307" ht="15.75" customHeight="1">
      <c r="A307" s="425"/>
      <c r="B307" s="425"/>
      <c r="C307" s="425"/>
      <c r="D307" s="511"/>
      <c r="E307" s="235"/>
      <c r="F307" s="425"/>
      <c r="G307" s="425"/>
      <c r="H307" s="425"/>
      <c r="I307" s="425"/>
      <c r="J307" s="511"/>
      <c r="K307" s="235"/>
      <c r="L307" s="425"/>
      <c r="M307" s="425"/>
      <c r="N307" s="425"/>
      <c r="O307" s="425"/>
      <c r="P307" s="511"/>
      <c r="Q307" s="235"/>
      <c r="R307" s="425"/>
      <c r="S307" s="425"/>
      <c r="T307" s="425"/>
      <c r="U307" s="425"/>
      <c r="V307" s="425"/>
      <c r="W307" s="425"/>
      <c r="X307" s="425"/>
      <c r="Y307" s="425"/>
      <c r="Z307" s="425"/>
      <c r="AA307" s="425"/>
      <c r="AB307" s="425"/>
      <c r="AC307" s="425"/>
    </row>
    <row r="308" ht="15.75" customHeight="1">
      <c r="A308" s="425"/>
      <c r="B308" s="425"/>
      <c r="C308" s="425"/>
      <c r="D308" s="511"/>
      <c r="E308" s="235"/>
      <c r="F308" s="425"/>
      <c r="G308" s="425"/>
      <c r="H308" s="425"/>
      <c r="I308" s="425"/>
      <c r="J308" s="511"/>
      <c r="K308" s="235"/>
      <c r="L308" s="425"/>
      <c r="M308" s="425"/>
      <c r="N308" s="425"/>
      <c r="O308" s="425"/>
      <c r="P308" s="511"/>
      <c r="Q308" s="235"/>
      <c r="R308" s="425"/>
      <c r="S308" s="425"/>
      <c r="T308" s="425"/>
      <c r="U308" s="425"/>
      <c r="V308" s="425"/>
      <c r="W308" s="425"/>
      <c r="X308" s="425"/>
      <c r="Y308" s="425"/>
      <c r="Z308" s="425"/>
      <c r="AA308" s="425"/>
      <c r="AB308" s="425"/>
      <c r="AC308" s="425"/>
    </row>
    <row r="309" ht="15.75" customHeight="1">
      <c r="A309" s="425"/>
      <c r="B309" s="425"/>
      <c r="C309" s="425"/>
      <c r="D309" s="511"/>
      <c r="E309" s="235"/>
      <c r="F309" s="425"/>
      <c r="G309" s="425"/>
      <c r="H309" s="425"/>
      <c r="I309" s="425"/>
      <c r="J309" s="511"/>
      <c r="K309" s="235"/>
      <c r="L309" s="425"/>
      <c r="M309" s="425"/>
      <c r="N309" s="425"/>
      <c r="O309" s="425"/>
      <c r="P309" s="511"/>
      <c r="Q309" s="235"/>
      <c r="R309" s="425"/>
      <c r="S309" s="425"/>
      <c r="T309" s="425"/>
      <c r="U309" s="425"/>
      <c r="V309" s="425"/>
      <c r="W309" s="425"/>
      <c r="X309" s="425"/>
      <c r="Y309" s="425"/>
      <c r="Z309" s="425"/>
      <c r="AA309" s="425"/>
      <c r="AB309" s="425"/>
      <c r="AC309" s="425"/>
    </row>
    <row r="310" ht="15.75" customHeight="1">
      <c r="A310" s="425"/>
      <c r="B310" s="425"/>
      <c r="C310" s="425"/>
      <c r="D310" s="511"/>
      <c r="E310" s="235"/>
      <c r="F310" s="425"/>
      <c r="G310" s="425"/>
      <c r="H310" s="425"/>
      <c r="I310" s="425"/>
      <c r="J310" s="511"/>
      <c r="K310" s="235"/>
      <c r="L310" s="425"/>
      <c r="M310" s="425"/>
      <c r="N310" s="425"/>
      <c r="O310" s="425"/>
      <c r="P310" s="511"/>
      <c r="Q310" s="235"/>
      <c r="R310" s="425"/>
      <c r="S310" s="425"/>
      <c r="T310" s="425"/>
      <c r="U310" s="425"/>
      <c r="V310" s="425"/>
      <c r="W310" s="425"/>
      <c r="X310" s="425"/>
      <c r="Y310" s="425"/>
      <c r="Z310" s="425"/>
      <c r="AA310" s="425"/>
      <c r="AB310" s="425"/>
      <c r="AC310" s="425"/>
    </row>
    <row r="311" ht="15.75" customHeight="1">
      <c r="A311" s="425"/>
      <c r="B311" s="425"/>
      <c r="C311" s="425"/>
      <c r="D311" s="511"/>
      <c r="E311" s="235"/>
      <c r="F311" s="425"/>
      <c r="G311" s="425"/>
      <c r="H311" s="425"/>
      <c r="I311" s="425"/>
      <c r="J311" s="511"/>
      <c r="K311" s="235"/>
      <c r="L311" s="425"/>
      <c r="M311" s="425"/>
      <c r="N311" s="425"/>
      <c r="O311" s="425"/>
      <c r="P311" s="511"/>
      <c r="Q311" s="235"/>
      <c r="R311" s="425"/>
      <c r="S311" s="425"/>
      <c r="T311" s="425"/>
      <c r="U311" s="425"/>
      <c r="V311" s="425"/>
      <c r="W311" s="425"/>
      <c r="X311" s="425"/>
      <c r="Y311" s="425"/>
      <c r="Z311" s="425"/>
      <c r="AA311" s="425"/>
      <c r="AB311" s="425"/>
      <c r="AC311" s="425"/>
    </row>
    <row r="312" ht="15.75" customHeight="1">
      <c r="A312" s="425"/>
      <c r="B312" s="425"/>
      <c r="C312" s="425"/>
      <c r="D312" s="511"/>
      <c r="E312" s="235"/>
      <c r="F312" s="425"/>
      <c r="G312" s="425"/>
      <c r="H312" s="425"/>
      <c r="I312" s="425"/>
      <c r="J312" s="511"/>
      <c r="K312" s="235"/>
      <c r="L312" s="425"/>
      <c r="M312" s="425"/>
      <c r="N312" s="425"/>
      <c r="O312" s="425"/>
      <c r="P312" s="511"/>
      <c r="Q312" s="235"/>
      <c r="R312" s="425"/>
      <c r="S312" s="425"/>
      <c r="T312" s="425"/>
      <c r="U312" s="425"/>
      <c r="V312" s="425"/>
      <c r="W312" s="425"/>
      <c r="X312" s="425"/>
      <c r="Y312" s="425"/>
      <c r="Z312" s="425"/>
      <c r="AA312" s="425"/>
      <c r="AB312" s="425"/>
      <c r="AC312" s="425"/>
    </row>
    <row r="313" ht="15.75" customHeight="1">
      <c r="A313" s="425"/>
      <c r="B313" s="425"/>
      <c r="C313" s="425"/>
      <c r="D313" s="511"/>
      <c r="E313" s="235"/>
      <c r="F313" s="425"/>
      <c r="G313" s="425"/>
      <c r="H313" s="425"/>
      <c r="I313" s="425"/>
      <c r="J313" s="511"/>
      <c r="K313" s="235"/>
      <c r="L313" s="425"/>
      <c r="M313" s="425"/>
      <c r="N313" s="425"/>
      <c r="O313" s="425"/>
      <c r="P313" s="511"/>
      <c r="Q313" s="235"/>
      <c r="R313" s="425"/>
      <c r="S313" s="425"/>
      <c r="T313" s="425"/>
      <c r="U313" s="425"/>
      <c r="V313" s="425"/>
      <c r="W313" s="425"/>
      <c r="X313" s="425"/>
      <c r="Y313" s="425"/>
      <c r="Z313" s="425"/>
      <c r="AA313" s="425"/>
      <c r="AB313" s="425"/>
      <c r="AC313" s="425"/>
    </row>
    <row r="314" ht="15.75" customHeight="1">
      <c r="D314" s="121"/>
      <c r="J314" s="121"/>
      <c r="P314" s="121"/>
    </row>
    <row r="315" ht="15.75" customHeight="1">
      <c r="D315" s="121"/>
      <c r="J315" s="121"/>
      <c r="P315" s="121"/>
    </row>
    <row r="316" ht="15.75" customHeight="1">
      <c r="D316" s="121"/>
      <c r="J316" s="121"/>
      <c r="P316" s="121"/>
    </row>
    <row r="317" ht="15.75" customHeight="1">
      <c r="D317" s="121"/>
      <c r="J317" s="121"/>
      <c r="P317" s="121"/>
    </row>
    <row r="318" ht="15.75" customHeight="1">
      <c r="D318" s="121"/>
      <c r="J318" s="121"/>
      <c r="P318" s="121"/>
    </row>
    <row r="319" ht="15.75" customHeight="1">
      <c r="D319" s="121"/>
      <c r="J319" s="121"/>
      <c r="P319" s="121"/>
    </row>
    <row r="320" ht="15.75" customHeight="1">
      <c r="D320" s="121"/>
      <c r="J320" s="121"/>
      <c r="P320" s="121"/>
    </row>
    <row r="321" ht="15.75" customHeight="1">
      <c r="D321" s="121"/>
      <c r="J321" s="121"/>
      <c r="P321" s="121"/>
    </row>
    <row r="322" ht="15.75" customHeight="1">
      <c r="D322" s="121"/>
      <c r="J322" s="121"/>
      <c r="P322" s="121"/>
    </row>
    <row r="323" ht="15.75" customHeight="1">
      <c r="D323" s="121"/>
      <c r="J323" s="121"/>
      <c r="P323" s="121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B5"/>
    <mergeCell ref="C4:C5"/>
    <mergeCell ref="D4:I4"/>
    <mergeCell ref="J4:O4"/>
    <mergeCell ref="P4:U4"/>
    <mergeCell ref="B53:C5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38"/>
    <col customWidth="1" min="3" max="6" width="12.63"/>
    <col customWidth="1" min="8" max="8" width="13.75"/>
  </cols>
  <sheetData>
    <row r="1" ht="15.75" customHeight="1">
      <c r="A1" s="227" t="s">
        <v>364</v>
      </c>
    </row>
    <row r="2" ht="15.75" customHeight="1"/>
    <row r="3" ht="15.75" customHeight="1"/>
    <row r="4" ht="15.75" customHeight="1">
      <c r="B4" s="229"/>
      <c r="C4" s="230">
        <v>45748.0</v>
      </c>
      <c r="D4" s="230">
        <v>45778.0</v>
      </c>
      <c r="E4" s="230">
        <v>45809.0</v>
      </c>
      <c r="F4" s="230">
        <v>45839.0</v>
      </c>
      <c r="G4" s="230">
        <v>45870.0</v>
      </c>
      <c r="H4" s="230">
        <v>45901.0</v>
      </c>
      <c r="I4" s="230" t="s">
        <v>322</v>
      </c>
    </row>
    <row r="5" ht="15.75" customHeight="1">
      <c r="B5" s="231" t="s">
        <v>21</v>
      </c>
      <c r="C5" s="232"/>
      <c r="D5" s="232"/>
      <c r="E5" s="232"/>
      <c r="F5" s="232"/>
      <c r="G5" s="232"/>
      <c r="H5" s="232"/>
      <c r="I5" s="232"/>
    </row>
    <row r="6" ht="15.75" customHeight="1">
      <c r="B6" s="231" t="s">
        <v>22</v>
      </c>
      <c r="C6" s="232"/>
      <c r="D6" s="232"/>
      <c r="E6" s="232"/>
      <c r="F6" s="232"/>
      <c r="G6" s="232"/>
      <c r="H6" s="232"/>
      <c r="I6" s="232"/>
    </row>
    <row r="7" ht="15.75" customHeight="1">
      <c r="B7" s="231" t="s">
        <v>23</v>
      </c>
      <c r="C7" s="232">
        <f>MSBC!D29</f>
        <v>510529.82</v>
      </c>
      <c r="D7" s="232" t="str">
        <f>MSBC!#REF!</f>
        <v>#ERROR!</v>
      </c>
      <c r="E7" s="232" t="str">
        <f>MSBC!#REF!</f>
        <v>#ERROR!</v>
      </c>
      <c r="F7" s="232" t="str">
        <f>MSBC!#REF!</f>
        <v>#ERROR!</v>
      </c>
      <c r="G7" s="232" t="str">
        <f>MSBC!#REF!</f>
        <v>#ERROR!</v>
      </c>
      <c r="H7" s="232" t="str">
        <f>MSBC!#REF!</f>
        <v>#ERROR!</v>
      </c>
      <c r="I7" s="232" t="str">
        <f>SUM(C7:H7)</f>
        <v>#ERROR!</v>
      </c>
    </row>
    <row r="8" ht="15.75" customHeight="1">
      <c r="B8" s="231" t="s">
        <v>24</v>
      </c>
      <c r="C8" s="232"/>
      <c r="D8" s="232"/>
      <c r="E8" s="232"/>
      <c r="F8" s="232"/>
      <c r="G8" s="232"/>
      <c r="H8" s="232"/>
      <c r="I8" s="232"/>
    </row>
    <row r="9" ht="15.75" customHeight="1">
      <c r="B9" s="231" t="s">
        <v>26</v>
      </c>
      <c r="C9" s="233">
        <f t="shared" ref="C9:H9" si="1">SUM(C5:C8)</f>
        <v>510529.82</v>
      </c>
      <c r="D9" s="233" t="str">
        <f t="shared" si="1"/>
        <v>#ERROR!</v>
      </c>
      <c r="E9" s="233" t="str">
        <f t="shared" si="1"/>
        <v>#ERROR!</v>
      </c>
      <c r="F9" s="233" t="str">
        <f t="shared" si="1"/>
        <v>#ERROR!</v>
      </c>
      <c r="G9" s="233" t="str">
        <f t="shared" si="1"/>
        <v>#ERROR!</v>
      </c>
      <c r="H9" s="233" t="str">
        <f t="shared" si="1"/>
        <v>#ERROR!</v>
      </c>
      <c r="I9" s="233" t="str">
        <f>SUM(C9:H9)</f>
        <v>#ERROR!</v>
      </c>
    </row>
    <row r="10" ht="15.75" customHeight="1">
      <c r="B10" s="231"/>
      <c r="C10" s="232"/>
      <c r="D10" s="232"/>
      <c r="E10" s="232"/>
      <c r="F10" s="232"/>
      <c r="G10" s="232"/>
      <c r="H10" s="232"/>
      <c r="I10" s="232"/>
    </row>
    <row r="11" ht="15.75" customHeight="1">
      <c r="B11" s="231" t="s">
        <v>28</v>
      </c>
      <c r="C11" s="232">
        <f>MSBC!D47</f>
        <v>820110.3479</v>
      </c>
      <c r="D11" s="232" t="str">
        <f>MSBC!#REF!</f>
        <v>#ERROR!</v>
      </c>
      <c r="E11" s="232" t="str">
        <f>MSBC!#REF!</f>
        <v>#ERROR!</v>
      </c>
      <c r="F11" s="232" t="str">
        <f>MSBC!#REF!</f>
        <v>#ERROR!</v>
      </c>
      <c r="G11" s="232" t="str">
        <f>MSBC!#REF!</f>
        <v>#ERROR!</v>
      </c>
      <c r="H11" s="232" t="str">
        <f>MSBC!#REF!</f>
        <v>#ERROR!</v>
      </c>
      <c r="I11" s="232" t="str">
        <f t="shared" ref="I11:I13" si="2">SUM(C11:H11)</f>
        <v>#ERROR!</v>
      </c>
    </row>
    <row r="12" ht="15.75" customHeight="1">
      <c r="B12" s="231" t="s">
        <v>29</v>
      </c>
      <c r="C12" s="232">
        <f>MSBC!D48</f>
        <v>93423.5</v>
      </c>
      <c r="D12" s="232" t="str">
        <f>MSBC!#REF!</f>
        <v>#ERROR!</v>
      </c>
      <c r="E12" s="232" t="str">
        <f>MSBC!#REF!</f>
        <v>#ERROR!</v>
      </c>
      <c r="F12" s="232" t="str">
        <f>MSBC!#REF!</f>
        <v>#ERROR!</v>
      </c>
      <c r="G12" s="232" t="str">
        <f>MSBC!#REF!</f>
        <v>#ERROR!</v>
      </c>
      <c r="H12" s="232" t="str">
        <f>MSBC!#REF!</f>
        <v>#ERROR!</v>
      </c>
      <c r="I12" s="232" t="str">
        <f t="shared" si="2"/>
        <v>#ERROR!</v>
      </c>
    </row>
    <row r="13" ht="15.75" customHeight="1">
      <c r="B13" s="231" t="s">
        <v>365</v>
      </c>
      <c r="C13" s="232" t="str">
        <f>MSBC!#REF!</f>
        <v>#ERROR!</v>
      </c>
      <c r="D13" s="232" t="str">
        <f>MSBC!#REF!</f>
        <v>#ERROR!</v>
      </c>
      <c r="E13" s="232" t="str">
        <f>MSBC!#REF!</f>
        <v>#ERROR!</v>
      </c>
      <c r="F13" s="232" t="str">
        <f>MSBC!#REF!</f>
        <v>#ERROR!</v>
      </c>
      <c r="G13" s="232" t="str">
        <f>MSBC!#REF!</f>
        <v>#ERROR!</v>
      </c>
      <c r="H13" s="232" t="str">
        <f>MSBC!#REF!</f>
        <v>#ERROR!</v>
      </c>
      <c r="I13" s="232" t="str">
        <f t="shared" si="2"/>
        <v>#ERROR!</v>
      </c>
    </row>
    <row r="14" ht="15.75" customHeight="1">
      <c r="B14" s="231" t="s">
        <v>30</v>
      </c>
      <c r="C14" s="233" t="str">
        <f t="shared" ref="C14:I14" si="3">SUM(C11:C13)</f>
        <v>#ERROR!</v>
      </c>
      <c r="D14" s="233" t="str">
        <f t="shared" si="3"/>
        <v>#ERROR!</v>
      </c>
      <c r="E14" s="233" t="str">
        <f t="shared" si="3"/>
        <v>#ERROR!</v>
      </c>
      <c r="F14" s="233" t="str">
        <f t="shared" si="3"/>
        <v>#ERROR!</v>
      </c>
      <c r="G14" s="233" t="str">
        <f t="shared" si="3"/>
        <v>#ERROR!</v>
      </c>
      <c r="H14" s="233" t="str">
        <f t="shared" si="3"/>
        <v>#ERROR!</v>
      </c>
      <c r="I14" s="233" t="str">
        <f t="shared" si="3"/>
        <v>#ERROR!</v>
      </c>
    </row>
    <row r="15" ht="15.75" customHeight="1">
      <c r="B15" s="231"/>
      <c r="C15" s="229"/>
      <c r="D15" s="229"/>
      <c r="E15" s="229"/>
      <c r="F15" s="229"/>
      <c r="G15" s="229"/>
      <c r="H15" s="229"/>
      <c r="I15" s="229"/>
    </row>
    <row r="16" ht="15.75" customHeight="1">
      <c r="B16" s="231" t="s">
        <v>32</v>
      </c>
      <c r="C16" s="233" t="str">
        <f t="shared" ref="C16:I16" si="4">C9-C14</f>
        <v>#ERROR!</v>
      </c>
      <c r="D16" s="233" t="str">
        <f t="shared" si="4"/>
        <v>#ERROR!</v>
      </c>
      <c r="E16" s="233" t="str">
        <f t="shared" si="4"/>
        <v>#ERROR!</v>
      </c>
      <c r="F16" s="233" t="str">
        <f t="shared" si="4"/>
        <v>#ERROR!</v>
      </c>
      <c r="G16" s="233" t="str">
        <f t="shared" si="4"/>
        <v>#ERROR!</v>
      </c>
      <c r="H16" s="233" t="str">
        <f t="shared" si="4"/>
        <v>#ERROR!</v>
      </c>
      <c r="I16" s="233" t="str">
        <f t="shared" si="4"/>
        <v>#ERROR!</v>
      </c>
    </row>
    <row r="17" ht="15.75" customHeight="1">
      <c r="B17" s="231" t="s">
        <v>50</v>
      </c>
      <c r="C17" s="234" t="str">
        <f t="shared" ref="C17:I17" si="5">C16/C9</f>
        <v>#ERROR!</v>
      </c>
      <c r="D17" s="234" t="str">
        <f t="shared" si="5"/>
        <v>#ERROR!</v>
      </c>
      <c r="E17" s="234" t="str">
        <f t="shared" si="5"/>
        <v>#ERROR!</v>
      </c>
      <c r="F17" s="234" t="str">
        <f t="shared" si="5"/>
        <v>#ERROR!</v>
      </c>
      <c r="G17" s="234" t="str">
        <f t="shared" si="5"/>
        <v>#ERROR!</v>
      </c>
      <c r="H17" s="234" t="str">
        <f t="shared" si="5"/>
        <v>#ERROR!</v>
      </c>
      <c r="I17" s="234" t="str">
        <f t="shared" si="5"/>
        <v>#ERROR!</v>
      </c>
    </row>
    <row r="18" ht="15.75" customHeight="1">
      <c r="B18" s="231"/>
      <c r="C18" s="229"/>
      <c r="D18" s="229"/>
      <c r="E18" s="229"/>
      <c r="F18" s="229"/>
      <c r="G18" s="229"/>
      <c r="H18" s="229"/>
      <c r="I18" s="229"/>
    </row>
    <row r="19" ht="15.75" customHeight="1">
      <c r="B19" s="231" t="s">
        <v>33</v>
      </c>
      <c r="C19" s="232">
        <f>MSBC!D59</f>
        <v>28683.86</v>
      </c>
      <c r="D19" s="232" t="str">
        <f>MSBC!#REF!</f>
        <v>#ERROR!</v>
      </c>
      <c r="E19" s="232" t="str">
        <f>MSBC!#REF!</f>
        <v>#ERROR!</v>
      </c>
      <c r="F19" s="232" t="str">
        <f>MSBC!#REF!</f>
        <v>#ERROR!</v>
      </c>
      <c r="G19" s="232" t="str">
        <f>MSBC!#REF!</f>
        <v>#ERROR!</v>
      </c>
      <c r="H19" s="232" t="str">
        <f>MSBC!#REF!</f>
        <v>#ERROR!</v>
      </c>
      <c r="I19" s="232" t="str">
        <f t="shared" ref="I19:I29" si="6">SUM(C19:H19)</f>
        <v>#ERROR!</v>
      </c>
    </row>
    <row r="20" ht="15.75" customHeight="1">
      <c r="B20" s="231" t="s">
        <v>34</v>
      </c>
      <c r="C20" s="232">
        <f>MSBC!D61</f>
        <v>77809.78</v>
      </c>
      <c r="D20" s="232" t="str">
        <f>MSBC!#REF!</f>
        <v>#ERROR!</v>
      </c>
      <c r="E20" s="232" t="str">
        <f>MSBC!#REF!</f>
        <v>#ERROR!</v>
      </c>
      <c r="F20" s="232" t="str">
        <f>MSBC!#REF!</f>
        <v>#ERROR!</v>
      </c>
      <c r="G20" s="232" t="str">
        <f>MSBC!#REF!</f>
        <v>#ERROR!</v>
      </c>
      <c r="H20" s="232" t="str">
        <f>MSBC!#REF!</f>
        <v>#ERROR!</v>
      </c>
      <c r="I20" s="232" t="str">
        <f t="shared" si="6"/>
        <v>#ERROR!</v>
      </c>
    </row>
    <row r="21" ht="15.75" customHeight="1">
      <c r="B21" s="231" t="s">
        <v>35</v>
      </c>
      <c r="C21" s="232">
        <f>MSBC!D69</f>
        <v>39923.37</v>
      </c>
      <c r="D21" s="232" t="str">
        <f>MSBC!#REF!</f>
        <v>#ERROR!</v>
      </c>
      <c r="E21" s="232" t="str">
        <f>MSBC!#REF!</f>
        <v>#ERROR!</v>
      </c>
      <c r="F21" s="232" t="str">
        <f>MSBC!#REF!</f>
        <v>#ERROR!</v>
      </c>
      <c r="G21" s="232" t="str">
        <f>MSBC!#REF!</f>
        <v>#ERROR!</v>
      </c>
      <c r="H21" s="232" t="str">
        <f>MSBC!#REF!</f>
        <v>#ERROR!</v>
      </c>
      <c r="I21" s="232" t="str">
        <f t="shared" si="6"/>
        <v>#ERROR!</v>
      </c>
    </row>
    <row r="22" ht="15.75" customHeight="1">
      <c r="B22" s="231" t="s">
        <v>36</v>
      </c>
      <c r="C22" s="232">
        <f>MSBC!D75</f>
        <v>253151</v>
      </c>
      <c r="D22" s="232" t="str">
        <f>MSBC!#REF!</f>
        <v>#ERROR!</v>
      </c>
      <c r="E22" s="232" t="str">
        <f>MSBC!#REF!</f>
        <v>#ERROR!</v>
      </c>
      <c r="F22" s="232" t="str">
        <f>MSBC!#REF!</f>
        <v>#ERROR!</v>
      </c>
      <c r="G22" s="232" t="str">
        <f>MSBC!#REF!</f>
        <v>#ERROR!</v>
      </c>
      <c r="H22" s="232" t="str">
        <f>MSBC!#REF!</f>
        <v>#ERROR!</v>
      </c>
      <c r="I22" s="232" t="str">
        <f t="shared" si="6"/>
        <v>#ERROR!</v>
      </c>
    </row>
    <row r="23" ht="15.75" customHeight="1">
      <c r="B23" s="231" t="s">
        <v>37</v>
      </c>
      <c r="C23" s="232">
        <f>MSBC!D81</f>
        <v>1480962.86</v>
      </c>
      <c r="D23" s="232" t="str">
        <f>MSBC!#REF!</f>
        <v>#ERROR!</v>
      </c>
      <c r="E23" s="232" t="str">
        <f>MSBC!#REF!</f>
        <v>#ERROR!</v>
      </c>
      <c r="F23" s="232" t="str">
        <f>MSBC!#REF!</f>
        <v>#ERROR!</v>
      </c>
      <c r="G23" s="232" t="str">
        <f>MSBC!#REF!</f>
        <v>#ERROR!</v>
      </c>
      <c r="H23" s="232" t="str">
        <f>MSBC!#REF!</f>
        <v>#ERROR!</v>
      </c>
      <c r="I23" s="232" t="str">
        <f t="shared" si="6"/>
        <v>#ERROR!</v>
      </c>
    </row>
    <row r="24" ht="15.75" customHeight="1">
      <c r="B24" s="231" t="s">
        <v>38</v>
      </c>
      <c r="C24" s="232">
        <f>MSBC!D92</f>
        <v>5730.42</v>
      </c>
      <c r="D24" s="232" t="str">
        <f>MSBC!#REF!</f>
        <v>#ERROR!</v>
      </c>
      <c r="E24" s="232" t="str">
        <f>MSBC!#REF!</f>
        <v>#ERROR!</v>
      </c>
      <c r="F24" s="232" t="str">
        <f>MSBC!#REF!</f>
        <v>#ERROR!</v>
      </c>
      <c r="G24" s="232" t="str">
        <f>MSBC!#REF!</f>
        <v>#ERROR!</v>
      </c>
      <c r="H24" s="232" t="str">
        <f>MSBC!#REF!</f>
        <v>#ERROR!</v>
      </c>
      <c r="I24" s="232" t="str">
        <f t="shared" si="6"/>
        <v>#ERROR!</v>
      </c>
    </row>
    <row r="25" ht="15.75" customHeight="1">
      <c r="B25" s="231" t="s">
        <v>39</v>
      </c>
      <c r="C25" s="232">
        <f>MSBC!D95</f>
        <v>36280.33333</v>
      </c>
      <c r="D25" s="232" t="str">
        <f>MSBC!#REF!</f>
        <v>#ERROR!</v>
      </c>
      <c r="E25" s="232" t="str">
        <f>MSBC!#REF!</f>
        <v>#ERROR!</v>
      </c>
      <c r="F25" s="232" t="str">
        <f>MSBC!#REF!</f>
        <v>#ERROR!</v>
      </c>
      <c r="G25" s="232" t="str">
        <f>MSBC!#REF!</f>
        <v>#ERROR!</v>
      </c>
      <c r="H25" s="232" t="str">
        <f>MSBC!#REF!</f>
        <v>#ERROR!</v>
      </c>
      <c r="I25" s="232" t="str">
        <f t="shared" si="6"/>
        <v>#ERROR!</v>
      </c>
    </row>
    <row r="26" ht="15.75" customHeight="1">
      <c r="B26" s="231" t="s">
        <v>40</v>
      </c>
      <c r="C26" s="232">
        <f>MSBC!D99</f>
        <v>60617.26333</v>
      </c>
      <c r="D26" s="232" t="str">
        <f>MSBC!#REF!</f>
        <v>#ERROR!</v>
      </c>
      <c r="E26" s="232" t="str">
        <f>MSBC!#REF!</f>
        <v>#ERROR!</v>
      </c>
      <c r="F26" s="232" t="str">
        <f>MSBC!#REF!</f>
        <v>#ERROR!</v>
      </c>
      <c r="G26" s="232" t="str">
        <f>MSBC!#REF!</f>
        <v>#ERROR!</v>
      </c>
      <c r="H26" s="232" t="str">
        <f>MSBC!#REF!</f>
        <v>#ERROR!</v>
      </c>
      <c r="I26" s="232" t="str">
        <f t="shared" si="6"/>
        <v>#ERROR!</v>
      </c>
    </row>
    <row r="27" ht="15.75" customHeight="1">
      <c r="B27" s="231" t="s">
        <v>41</v>
      </c>
      <c r="C27" s="232">
        <v>0.0</v>
      </c>
      <c r="D27" s="232">
        <v>0.0</v>
      </c>
      <c r="E27" s="232">
        <v>0.0</v>
      </c>
      <c r="F27" s="232">
        <v>0.0</v>
      </c>
      <c r="G27" s="232" t="str">
        <f>MSBC!#REF!</f>
        <v>#ERROR!</v>
      </c>
      <c r="H27" s="232">
        <v>0.0</v>
      </c>
      <c r="I27" s="232" t="str">
        <f t="shared" si="6"/>
        <v>#ERROR!</v>
      </c>
    </row>
    <row r="28" ht="15.75" customHeight="1">
      <c r="B28" s="231" t="s">
        <v>42</v>
      </c>
      <c r="C28" s="232">
        <f>MSBC!D119</f>
        <v>-1983159</v>
      </c>
      <c r="D28" s="232" t="str">
        <f>MSBC!#REF!</f>
        <v>#ERROR!</v>
      </c>
      <c r="E28" s="232" t="str">
        <f>MSBC!#REF!</f>
        <v>#ERROR!</v>
      </c>
      <c r="F28" s="232" t="str">
        <f>MSBC!#REF!</f>
        <v>#ERROR!</v>
      </c>
      <c r="G28" s="232" t="str">
        <f>MSBC!#REF!</f>
        <v>#ERROR!</v>
      </c>
      <c r="H28" s="232" t="str">
        <f>MSBC!#REF!</f>
        <v>#ERROR!</v>
      </c>
      <c r="I28" s="232" t="str">
        <f t="shared" si="6"/>
        <v>#ERROR!</v>
      </c>
    </row>
    <row r="29" ht="15.75" customHeight="1">
      <c r="B29" s="231" t="s">
        <v>43</v>
      </c>
      <c r="C29" s="233">
        <f t="shared" ref="C29:H29" si="7">SUM(C19:C28)</f>
        <v>-0.1133333333</v>
      </c>
      <c r="D29" s="233" t="str">
        <f t="shared" si="7"/>
        <v>#ERROR!</v>
      </c>
      <c r="E29" s="233" t="str">
        <f t="shared" si="7"/>
        <v>#ERROR!</v>
      </c>
      <c r="F29" s="233" t="str">
        <f t="shared" si="7"/>
        <v>#ERROR!</v>
      </c>
      <c r="G29" s="233" t="str">
        <f t="shared" si="7"/>
        <v>#ERROR!</v>
      </c>
      <c r="H29" s="233" t="str">
        <f t="shared" si="7"/>
        <v>#ERROR!</v>
      </c>
      <c r="I29" s="233" t="str">
        <f t="shared" si="6"/>
        <v>#ERROR!</v>
      </c>
    </row>
    <row r="30" ht="15.75" customHeight="1">
      <c r="B30" s="231"/>
      <c r="C30" s="229"/>
      <c r="D30" s="229"/>
      <c r="E30" s="229"/>
      <c r="F30" s="229"/>
      <c r="G30" s="229"/>
      <c r="H30" s="229"/>
      <c r="I30" s="229"/>
    </row>
    <row r="31" ht="15.75" customHeight="1">
      <c r="B31" s="231" t="s">
        <v>44</v>
      </c>
      <c r="C31" s="233" t="str">
        <f t="shared" ref="C31:H31" si="8">C16-C29</f>
        <v>#ERROR!</v>
      </c>
      <c r="D31" s="233" t="str">
        <f t="shared" si="8"/>
        <v>#ERROR!</v>
      </c>
      <c r="E31" s="233" t="str">
        <f t="shared" si="8"/>
        <v>#ERROR!</v>
      </c>
      <c r="F31" s="233" t="str">
        <f t="shared" si="8"/>
        <v>#ERROR!</v>
      </c>
      <c r="G31" s="233" t="str">
        <f t="shared" si="8"/>
        <v>#ERROR!</v>
      </c>
      <c r="H31" s="233" t="str">
        <f t="shared" si="8"/>
        <v>#ERROR!</v>
      </c>
      <c r="I31" s="233" t="str">
        <f>SUM(C31:H31)</f>
        <v>#ERROR!</v>
      </c>
    </row>
    <row r="32" ht="15.75" customHeight="1">
      <c r="B32" s="231" t="s">
        <v>51</v>
      </c>
      <c r="C32" s="234" t="str">
        <f t="shared" ref="C32:I32" si="9">C31/C9</f>
        <v>#ERROR!</v>
      </c>
      <c r="D32" s="234" t="str">
        <f t="shared" si="9"/>
        <v>#ERROR!</v>
      </c>
      <c r="E32" s="234" t="str">
        <f t="shared" si="9"/>
        <v>#ERROR!</v>
      </c>
      <c r="F32" s="234" t="str">
        <f t="shared" si="9"/>
        <v>#ERROR!</v>
      </c>
      <c r="G32" s="234" t="str">
        <f t="shared" si="9"/>
        <v>#ERROR!</v>
      </c>
      <c r="H32" s="234" t="str">
        <f t="shared" si="9"/>
        <v>#ERROR!</v>
      </c>
      <c r="I32" s="234" t="str">
        <f t="shared" si="9"/>
        <v>#ERROR!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6" width="12.63"/>
  </cols>
  <sheetData>
    <row r="1" ht="15.75" customHeight="1">
      <c r="A1" s="227" t="s">
        <v>366</v>
      </c>
    </row>
    <row r="2" ht="15.75" customHeight="1"/>
    <row r="3" ht="15.75" customHeight="1">
      <c r="B3" s="1144">
        <v>45931.0</v>
      </c>
      <c r="C3" s="1144">
        <v>45962.0</v>
      </c>
      <c r="D3" s="1144">
        <v>45992.0</v>
      </c>
    </row>
    <row r="4" ht="15.75" customHeight="1">
      <c r="A4" s="124" t="s">
        <v>367</v>
      </c>
      <c r="B4" s="123" t="str">
        <f>'The Table'!#REF!</f>
        <v>#ERROR!</v>
      </c>
      <c r="C4" s="123" t="str">
        <f>'The Table'!#REF!</f>
        <v>#ERROR!</v>
      </c>
      <c r="D4" s="123" t="str">
        <f>'The Table'!#REF!</f>
        <v>#ERROR!</v>
      </c>
      <c r="F4" s="123" t="str">
        <f>SUM(B4:D4)</f>
        <v>#ERROR!</v>
      </c>
    </row>
    <row r="5" ht="15.75" customHeight="1">
      <c r="A5" s="124" t="s">
        <v>368</v>
      </c>
      <c r="B5" s="123" t="str">
        <f>'The Table'!#REF!</f>
        <v>#ERROR!</v>
      </c>
      <c r="C5" s="123" t="str">
        <f>'The Table'!#REF!</f>
        <v>#ERROR!</v>
      </c>
      <c r="D5" s="123" t="str">
        <f>'The Table'!#REF!</f>
        <v>#ERROR!</v>
      </c>
    </row>
    <row r="6" ht="15.75" customHeight="1">
      <c r="A6" s="124" t="s">
        <v>369</v>
      </c>
      <c r="B6" s="123" t="str">
        <f t="shared" ref="B6:D6" si="1">B4-B5</f>
        <v>#ERROR!</v>
      </c>
      <c r="C6" s="123" t="str">
        <f t="shared" si="1"/>
        <v>#ERROR!</v>
      </c>
      <c r="D6" s="123" t="str">
        <f t="shared" si="1"/>
        <v>#ERROR!</v>
      </c>
    </row>
    <row r="7" ht="15.75" customHeight="1">
      <c r="B7" s="123"/>
      <c r="C7" s="123"/>
      <c r="D7" s="123"/>
      <c r="F7" s="124" t="s">
        <v>370</v>
      </c>
    </row>
    <row r="8" ht="15.75" customHeight="1">
      <c r="A8" s="124" t="s">
        <v>371</v>
      </c>
      <c r="B8" s="123">
        <v>1.95E7</v>
      </c>
      <c r="C8" s="123" t="str">
        <f t="shared" ref="C8:D8" si="2">C4</f>
        <v>#ERROR!</v>
      </c>
      <c r="D8" s="123" t="str">
        <f t="shared" si="2"/>
        <v>#ERROR!</v>
      </c>
      <c r="F8" s="123" t="str">
        <f>SUM(B8:D8)</f>
        <v>#ERROR!</v>
      </c>
    </row>
    <row r="9" ht="15.75" customHeight="1">
      <c r="A9" s="124" t="s">
        <v>372</v>
      </c>
      <c r="B9" s="123">
        <v>31.0</v>
      </c>
      <c r="C9" s="123">
        <v>30.0</v>
      </c>
      <c r="D9" s="123">
        <v>31.0</v>
      </c>
    </row>
    <row r="10" ht="15.75" customHeight="1">
      <c r="A10" s="124" t="s">
        <v>373</v>
      </c>
      <c r="B10" s="123">
        <f t="shared" ref="B10:D10" si="3">B8/B9</f>
        <v>629032.2581</v>
      </c>
      <c r="C10" s="123" t="str">
        <f t="shared" si="3"/>
        <v>#ERROR!</v>
      </c>
      <c r="D10" s="123" t="str">
        <f t="shared" si="3"/>
        <v>#ERROR!</v>
      </c>
      <c r="G10" s="381" t="str">
        <f>(F8-F4)/F4</f>
        <v>#ERROR!</v>
      </c>
      <c r="H10" s="123" t="str">
        <f>F8-F4</f>
        <v>#ERROR!</v>
      </c>
    </row>
    <row r="11" ht="15.75" customHeight="1"/>
    <row r="12" ht="15.75" customHeight="1">
      <c r="B12" s="123" t="str">
        <f>B8-B6</f>
        <v>#ERROR!</v>
      </c>
    </row>
    <row r="13" ht="15.75" customHeight="1">
      <c r="J13" s="124" t="s">
        <v>374</v>
      </c>
      <c r="K13" s="124" t="s">
        <v>375</v>
      </c>
    </row>
    <row r="14" ht="15.75" customHeight="1">
      <c r="A14" s="124" t="s">
        <v>9</v>
      </c>
      <c r="I14" s="124" t="s">
        <v>376</v>
      </c>
      <c r="J14" s="123" t="str">
        <f>F8</f>
        <v>#ERROR!</v>
      </c>
    </row>
    <row r="15" ht="15.75" customHeight="1">
      <c r="B15" s="1144">
        <v>45931.0</v>
      </c>
      <c r="C15" s="1144">
        <v>45962.0</v>
      </c>
      <c r="D15" s="1144">
        <v>45992.0</v>
      </c>
      <c r="F15" s="124" t="s">
        <v>374</v>
      </c>
      <c r="I15" s="124" t="s">
        <v>9</v>
      </c>
      <c r="J15" s="123" t="str">
        <f>F16</f>
        <v>#ERROR!</v>
      </c>
    </row>
    <row r="16" ht="15.75" customHeight="1">
      <c r="A16" s="124" t="s">
        <v>377</v>
      </c>
      <c r="B16" s="123" t="str">
        <f>'Mg St Bandra'!#REF!</f>
        <v>#ERROR!</v>
      </c>
      <c r="C16" s="123" t="str">
        <f>'Mg St Bandra'!#REF!</f>
        <v>#ERROR!</v>
      </c>
      <c r="D16" s="123" t="str">
        <f>'Mg St Bandra'!#REF!</f>
        <v>#ERROR!</v>
      </c>
      <c r="F16" s="123" t="str">
        <f>SUM(B16:D16)</f>
        <v>#ERROR!</v>
      </c>
      <c r="I16" s="124" t="s">
        <v>7</v>
      </c>
      <c r="J16" s="123" t="str">
        <f>F22</f>
        <v>#ERROR!</v>
      </c>
    </row>
    <row r="17" ht="15.75" customHeight="1">
      <c r="A17" s="124" t="s">
        <v>372</v>
      </c>
      <c r="B17" s="124">
        <v>31.0</v>
      </c>
      <c r="C17" s="124">
        <v>30.0</v>
      </c>
      <c r="D17" s="124">
        <v>31.0</v>
      </c>
      <c r="I17" s="124" t="s">
        <v>378</v>
      </c>
      <c r="J17" s="123">
        <f>F27</f>
        <v>25985880.94</v>
      </c>
    </row>
    <row r="18" ht="15.75" customHeight="1">
      <c r="A18" s="124" t="s">
        <v>379</v>
      </c>
      <c r="B18" s="123" t="str">
        <f t="shared" ref="B18:D18" si="4">B16/B17</f>
        <v>#ERROR!</v>
      </c>
      <c r="C18" s="123" t="str">
        <f t="shared" si="4"/>
        <v>#ERROR!</v>
      </c>
      <c r="D18" s="123" t="str">
        <f t="shared" si="4"/>
        <v>#ERROR!</v>
      </c>
      <c r="J18" s="1145" t="str">
        <f>SUM(J14:J17)</f>
        <v>#ERROR!</v>
      </c>
    </row>
    <row r="19" ht="15.75" customHeight="1"/>
    <row r="20" ht="15.75" customHeight="1"/>
    <row r="21" ht="15.75" customHeight="1">
      <c r="A21" s="124" t="s">
        <v>7</v>
      </c>
      <c r="B21" s="1144">
        <v>45931.0</v>
      </c>
      <c r="C21" s="1144">
        <v>45962.0</v>
      </c>
      <c r="D21" s="1144">
        <v>45992.0</v>
      </c>
      <c r="F21" s="124" t="s">
        <v>374</v>
      </c>
      <c r="I21" s="1146">
        <v>45954.0</v>
      </c>
      <c r="J21" s="1146">
        <v>45985.0</v>
      </c>
      <c r="K21" s="1146">
        <v>46015.0</v>
      </c>
    </row>
    <row r="22" ht="15.75" customHeight="1">
      <c r="A22" s="124" t="s">
        <v>380</v>
      </c>
      <c r="B22" s="123" t="str">
        <f>'Mg St Colaba'!#REF!</f>
        <v>#ERROR!</v>
      </c>
      <c r="C22" s="123" t="str">
        <f>'Mg St Colaba'!#REF!</f>
        <v>#ERROR!</v>
      </c>
      <c r="D22" s="123" t="str">
        <f>'Mg St Colaba'!#REF!</f>
        <v>#ERROR!</v>
      </c>
      <c r="F22" s="123" t="str">
        <f>SUM(B22:D22)</f>
        <v>#ERROR!</v>
      </c>
      <c r="H22" s="124" t="s">
        <v>381</v>
      </c>
      <c r="I22" s="123">
        <v>8231983.0</v>
      </c>
      <c r="J22" s="123">
        <v>7928011.0</v>
      </c>
      <c r="K22" s="123">
        <v>8427932.0</v>
      </c>
      <c r="L22" s="123">
        <f>SUM(I22:K22)</f>
        <v>24587926</v>
      </c>
    </row>
    <row r="23" ht="15.75" customHeight="1">
      <c r="A23" s="124" t="s">
        <v>372</v>
      </c>
      <c r="B23" s="124">
        <v>31.0</v>
      </c>
      <c r="C23" s="124">
        <v>30.0</v>
      </c>
      <c r="D23" s="124">
        <v>31.0</v>
      </c>
      <c r="L23" s="123">
        <f>AVERAGE(I22:K22)</f>
        <v>8195975.333</v>
      </c>
    </row>
    <row r="24" ht="15.75" customHeight="1">
      <c r="A24" s="124" t="s">
        <v>379</v>
      </c>
      <c r="B24" s="123" t="str">
        <f t="shared" ref="B24:D24" si="5">B22/B23</f>
        <v>#ERROR!</v>
      </c>
      <c r="C24" s="123" t="str">
        <f t="shared" si="5"/>
        <v>#ERROR!</v>
      </c>
      <c r="D24" s="123" t="str">
        <f t="shared" si="5"/>
        <v>#ERROR!</v>
      </c>
    </row>
    <row r="25" ht="15.75" customHeight="1"/>
    <row r="26" ht="15.75" customHeight="1">
      <c r="A26" s="1147" t="s">
        <v>378</v>
      </c>
      <c r="B26" s="1148">
        <v>45931.0</v>
      </c>
      <c r="C26" s="1148">
        <v>45962.0</v>
      </c>
      <c r="D26" s="1148">
        <v>45992.0</v>
      </c>
      <c r="F26" s="124" t="s">
        <v>374</v>
      </c>
    </row>
    <row r="27" ht="15.75" customHeight="1">
      <c r="A27" s="1147" t="s">
        <v>382</v>
      </c>
      <c r="B27" s="1149">
        <f t="shared" ref="B27:C27" si="6">I22*1.05</f>
        <v>8643582.15</v>
      </c>
      <c r="C27" s="1149">
        <f t="shared" si="6"/>
        <v>8324411.55</v>
      </c>
      <c r="D27" s="1149">
        <f>K22*1.07</f>
        <v>9017887.24</v>
      </c>
      <c r="F27" s="123">
        <f>SUM(B27:D27)</f>
        <v>25985880.94</v>
      </c>
      <c r="G27" s="123">
        <f>F27/3</f>
        <v>8661960.313</v>
      </c>
    </row>
    <row r="28" ht="15.75" customHeight="1">
      <c r="A28" s="1147" t="s">
        <v>372</v>
      </c>
      <c r="B28" s="1149">
        <v>31.0</v>
      </c>
      <c r="C28" s="1149">
        <v>30.0</v>
      </c>
      <c r="D28" s="1149">
        <v>31.0</v>
      </c>
    </row>
    <row r="29" ht="15.75" customHeight="1">
      <c r="A29" s="1147" t="s">
        <v>379</v>
      </c>
      <c r="B29" s="1149">
        <f t="shared" ref="B29:D29" si="7">B27/B28</f>
        <v>278825.2306</v>
      </c>
      <c r="C29" s="1149">
        <f t="shared" si="7"/>
        <v>277480.385</v>
      </c>
      <c r="D29" s="1149">
        <f t="shared" si="7"/>
        <v>290899.5884</v>
      </c>
    </row>
    <row r="30" ht="15.75" customHeight="1"/>
    <row r="31" ht="15.75" customHeight="1">
      <c r="B31" s="124" t="s">
        <v>383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6" width="12.63"/>
  </cols>
  <sheetData>
    <row r="1" ht="15.75" customHeight="1">
      <c r="A1" s="227" t="s">
        <v>384</v>
      </c>
    </row>
    <row r="2" ht="15.75" customHeight="1"/>
    <row r="3" ht="15.75" customHeight="1">
      <c r="B3" s="229"/>
      <c r="C3" s="1150" t="s">
        <v>385</v>
      </c>
      <c r="D3" s="1150" t="s">
        <v>386</v>
      </c>
    </row>
    <row r="4" ht="15.75" customHeight="1">
      <c r="B4" s="229" t="s">
        <v>387</v>
      </c>
      <c r="C4" s="1151">
        <f>142444.62+827518</f>
        <v>969962.62</v>
      </c>
      <c r="D4" s="1151">
        <v>963591.0</v>
      </c>
    </row>
    <row r="5" ht="15.75" customHeight="1">
      <c r="B5" s="229"/>
      <c r="C5" s="1151"/>
      <c r="D5" s="1151"/>
    </row>
    <row r="6" ht="15.75" customHeight="1">
      <c r="B6" s="229" t="s">
        <v>388</v>
      </c>
      <c r="C6" s="1151"/>
      <c r="D6" s="1151"/>
    </row>
    <row r="7" ht="15.75" customHeight="1">
      <c r="B7" s="229" t="s">
        <v>376</v>
      </c>
      <c r="C7" s="1151">
        <f>SUM('The Table'!D35:D37)</f>
        <v>6543195.746</v>
      </c>
      <c r="D7" s="1151">
        <f>SUM('The Table'!J35:J37)</f>
        <v>6676531.47</v>
      </c>
    </row>
    <row r="8" ht="15.75" customHeight="1">
      <c r="B8" s="229" t="s">
        <v>6</v>
      </c>
      <c r="C8" s="1151">
        <f>Iktara!D36</f>
        <v>274708.3645</v>
      </c>
      <c r="D8" s="1151">
        <f>Iktara!J36</f>
        <v>275813.01</v>
      </c>
    </row>
    <row r="9" ht="15.75" customHeight="1">
      <c r="B9" s="229" t="s">
        <v>7</v>
      </c>
      <c r="C9" s="1151">
        <f>SUM('Mg St Colaba'!D43:D45)</f>
        <v>4007828.393</v>
      </c>
      <c r="D9" s="1151">
        <f>SUM('Mg St Colaba'!J43:J45)</f>
        <v>4039973.04</v>
      </c>
    </row>
    <row r="10" ht="15.75" customHeight="1">
      <c r="B10" s="229" t="s">
        <v>8</v>
      </c>
      <c r="C10" s="1151">
        <f>SUM('Mg St LP'!D45:D46)</f>
        <v>2476227.85</v>
      </c>
      <c r="D10" s="1151">
        <f>SUM('Mg St LP'!J45:J46)</f>
        <v>2785250.32</v>
      </c>
    </row>
    <row r="11" ht="15.75" customHeight="1">
      <c r="B11" s="229" t="s">
        <v>9</v>
      </c>
      <c r="C11" s="1151">
        <f>SUM('Mg St Bandra'!D43:D45)</f>
        <v>4653342.176</v>
      </c>
      <c r="D11" s="1151">
        <f>SUM('Mg St Bandra'!J43:J45)</f>
        <v>4884549.45</v>
      </c>
    </row>
    <row r="12" ht="15.75" customHeight="1">
      <c r="B12" s="229" t="s">
        <v>12</v>
      </c>
      <c r="C12" s="1151">
        <f>Kaspers!D43+Kaspers!D44+Kaspers!D45</f>
        <v>4269103.836</v>
      </c>
      <c r="D12" s="1151">
        <f>Kaspers!J43+Kaspers!J44+Kaspers!J45</f>
        <v>4282190.986</v>
      </c>
    </row>
    <row r="13" ht="15.75" customHeight="1">
      <c r="B13" s="229" t="s">
        <v>11</v>
      </c>
      <c r="C13" s="1151">
        <f>MSBC!D42</f>
        <v>561823.4009</v>
      </c>
      <c r="D13" s="1151">
        <f>MSBC!J43</f>
        <v>255013.45</v>
      </c>
    </row>
    <row r="14" ht="15.75" customHeight="1">
      <c r="B14" s="229" t="s">
        <v>13</v>
      </c>
      <c r="C14" s="1151">
        <f>'MSBC Andheri'!D43</f>
        <v>121445.2917</v>
      </c>
      <c r="D14" s="1151">
        <f>'MSBC Andheri'!J43</f>
        <v>99085.77</v>
      </c>
    </row>
    <row r="15" ht="15.75" customHeight="1">
      <c r="B15" s="229" t="s">
        <v>14</v>
      </c>
      <c r="C15" s="1151">
        <f>'MSBC Dahisar'!D41</f>
        <v>64451.7832</v>
      </c>
      <c r="D15" s="1151">
        <f>'MSBC Dahisar'!J41</f>
        <v>58135.18</v>
      </c>
    </row>
    <row r="16" ht="15.75" customHeight="1">
      <c r="B16" s="229" t="s">
        <v>15</v>
      </c>
      <c r="C16" s="1151">
        <f>'MSBC Juhu  Goregoan'!D33</f>
        <v>101593.5476</v>
      </c>
      <c r="D16" s="1151">
        <f>'MSBC Juhu  Goregoan'!J33</f>
        <v>71757</v>
      </c>
    </row>
    <row r="17" ht="15.75" customHeight="1">
      <c r="B17" s="229"/>
      <c r="C17" s="1151"/>
      <c r="D17" s="1151"/>
    </row>
    <row r="18" ht="15.75" customHeight="1">
      <c r="B18" s="229" t="s">
        <v>389</v>
      </c>
      <c r="C18" s="1151">
        <f t="shared" ref="C18:D18" si="1">SUM(C7:C16)</f>
        <v>23073720.39</v>
      </c>
      <c r="D18" s="1151">
        <f t="shared" si="1"/>
        <v>23428299.68</v>
      </c>
    </row>
    <row r="19" ht="15.75" customHeight="1">
      <c r="B19" s="229"/>
      <c r="C19" s="1151"/>
      <c r="D19" s="1151"/>
    </row>
    <row r="20" ht="15.75" customHeight="1">
      <c r="B20" s="229" t="s">
        <v>390</v>
      </c>
      <c r="C20" s="1151"/>
      <c r="D20" s="1151"/>
    </row>
    <row r="21" ht="15.75" customHeight="1">
      <c r="B21" s="229" t="s">
        <v>376</v>
      </c>
      <c r="C21" s="1151">
        <f t="shared" ref="C21:D21" si="2">(C7/C$18)*C$4</f>
        <v>275059.9029</v>
      </c>
      <c r="D21" s="1151">
        <f t="shared" si="2"/>
        <v>274601.4745</v>
      </c>
    </row>
    <row r="22" ht="15.75" customHeight="1">
      <c r="B22" s="229" t="s">
        <v>6</v>
      </c>
      <c r="C22" s="1151">
        <f t="shared" ref="C22:D22" si="3">(C8/C$18)*C$4</f>
        <v>11548.06596</v>
      </c>
      <c r="D22" s="1151">
        <f t="shared" si="3"/>
        <v>11344.01292</v>
      </c>
    </row>
    <row r="23" ht="15.75" customHeight="1">
      <c r="B23" s="229" t="s">
        <v>7</v>
      </c>
      <c r="C23" s="1151">
        <f t="shared" ref="C23:D23" si="4">(C9/C$18)*C$4</f>
        <v>168479.277</v>
      </c>
      <c r="D23" s="1151">
        <f t="shared" si="4"/>
        <v>166161.5105</v>
      </c>
    </row>
    <row r="24" ht="15.75" customHeight="1">
      <c r="B24" s="229" t="s">
        <v>8</v>
      </c>
      <c r="C24" s="1151">
        <f t="shared" ref="C24:D24" si="5">(C10/C$18)*C$4</f>
        <v>104094.5462</v>
      </c>
      <c r="D24" s="1151">
        <f t="shared" si="5"/>
        <v>114555.5665</v>
      </c>
    </row>
    <row r="25" ht="15.75" customHeight="1">
      <c r="B25" s="229" t="s">
        <v>9</v>
      </c>
      <c r="C25" s="1151">
        <f t="shared" ref="C25:D25" si="6">(C11/C$18)*C$4</f>
        <v>195615.0934</v>
      </c>
      <c r="D25" s="1151">
        <f t="shared" si="6"/>
        <v>200898.3987</v>
      </c>
    </row>
    <row r="26" ht="15.75" customHeight="1">
      <c r="B26" s="229" t="s">
        <v>12</v>
      </c>
      <c r="C26" s="1151">
        <f t="shared" ref="C26:D26" si="7">(C12/C$18)*C$4</f>
        <v>179462.6559</v>
      </c>
      <c r="D26" s="1151">
        <f t="shared" si="7"/>
        <v>176123.7799</v>
      </c>
    </row>
    <row r="27" ht="15.75" customHeight="1">
      <c r="B27" s="229" t="s">
        <v>11</v>
      </c>
      <c r="C27" s="1151">
        <f t="shared" ref="C27:D27" si="8">(C13/C$18)*C$4</f>
        <v>23617.67798</v>
      </c>
      <c r="D27" s="1151">
        <f t="shared" si="8"/>
        <v>10488.5403</v>
      </c>
    </row>
    <row r="28" ht="15.75" customHeight="1">
      <c r="B28" s="229" t="s">
        <v>13</v>
      </c>
      <c r="C28" s="1151">
        <f t="shared" ref="C28:D28" si="9">(C14/C$18)*C$4</f>
        <v>5105.262235</v>
      </c>
      <c r="D28" s="1151">
        <f t="shared" si="9"/>
        <v>4075.334425</v>
      </c>
    </row>
    <row r="29" ht="15.75" customHeight="1">
      <c r="B29" s="229" t="s">
        <v>391</v>
      </c>
      <c r="C29" s="1151">
        <f t="shared" ref="C29:D29" si="10">(C15/C$18)*C$4</f>
        <v>2709.394906</v>
      </c>
      <c r="D29" s="1151">
        <f t="shared" si="10"/>
        <v>2391.062817</v>
      </c>
    </row>
    <row r="30" ht="15.75" customHeight="1">
      <c r="B30" s="229" t="s">
        <v>392</v>
      </c>
      <c r="C30" s="1151">
        <f t="shared" ref="C30:D30" si="11">(C16/C$18)*C$4</f>
        <v>4270.743596</v>
      </c>
      <c r="D30" s="1151">
        <f t="shared" si="11"/>
        <v>2951.319573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4" width="10.88"/>
    <col customWidth="1" min="5" max="6" width="12.63"/>
  </cols>
  <sheetData>
    <row r="1" ht="15.75" customHeight="1">
      <c r="A1" s="2"/>
      <c r="B1" s="1" t="s">
        <v>393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/>
      <c r="B4" s="1152" t="s">
        <v>394</v>
      </c>
      <c r="C4" s="1152" t="s">
        <v>385</v>
      </c>
      <c r="D4" s="1152" t="s">
        <v>386</v>
      </c>
      <c r="E4" s="1152" t="s">
        <v>395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ht="15.75" customHeight="1">
      <c r="A5" s="2"/>
      <c r="B5" s="38" t="s">
        <v>376</v>
      </c>
      <c r="C5" s="43">
        <v>112745.04039736118</v>
      </c>
      <c r="D5" s="43">
        <v>110689.42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5.75" customHeight="1">
      <c r="A6" s="2"/>
      <c r="B6" s="38" t="s">
        <v>12</v>
      </c>
      <c r="C6" s="43">
        <v>126596.2944467789</v>
      </c>
      <c r="D6" s="43">
        <v>121517.0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5.75" customHeight="1">
      <c r="A7" s="2"/>
      <c r="B7" s="38" t="s">
        <v>7</v>
      </c>
      <c r="C7" s="1153">
        <f>(7290)+305743.017859186</f>
        <v>313033.0179</v>
      </c>
      <c r="D7" s="1154">
        <f>((6276)+74969.6947790911)+304847.567642879</f>
        <v>386093.2624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5.75" customHeight="1">
      <c r="A8" s="2"/>
      <c r="B8" s="38" t="s">
        <v>8</v>
      </c>
      <c r="C8" s="43">
        <f>((7290)+54720.5175702739)+275217.254276391</f>
        <v>337227.7718</v>
      </c>
      <c r="D8" s="31">
        <f>((6276)+54929.7680482741)+288241.929830362</f>
        <v>349447.6979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5.75" customHeight="1">
      <c r="A9" s="2"/>
      <c r="B9" s="38" t="s">
        <v>9</v>
      </c>
      <c r="C9" s="43">
        <f>(95081.1201399921)+228127.759644587</f>
        <v>323208.8798</v>
      </c>
      <c r="D9" s="43">
        <f>((6276)+106785.648918126)+263237.534303688</f>
        <v>376299.1832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5.75" customHeight="1">
      <c r="A10" s="2"/>
      <c r="B10" s="38" t="s">
        <v>11</v>
      </c>
      <c r="C10" s="43">
        <v>258286.94697961808</v>
      </c>
      <c r="D10" s="43">
        <v>298073.0502368286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75" customHeight="1">
      <c r="A11" s="2"/>
      <c r="B11" s="38" t="s">
        <v>13</v>
      </c>
      <c r="C11" s="43">
        <v>97972.46017158036</v>
      </c>
      <c r="D11" s="43">
        <v>98596.48984086713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75" customHeight="1">
      <c r="A12" s="2"/>
      <c r="B12" s="38" t="s">
        <v>14</v>
      </c>
      <c r="C12" s="43">
        <v>41252.67485097938</v>
      </c>
      <c r="D12" s="43">
        <v>58326.838989338736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75" customHeight="1">
      <c r="A13" s="2"/>
      <c r="B13" s="38" t="s">
        <v>392</v>
      </c>
      <c r="C13" s="43">
        <v>77197.72654724475</v>
      </c>
      <c r="D13" s="43">
        <v>70369.40271750466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5.75" customHeight="1">
      <c r="A14" s="2"/>
      <c r="B14" s="38" t="s">
        <v>322</v>
      </c>
      <c r="C14" s="1155">
        <f t="shared" ref="C14:D14" si="1">SUM(C5:C13)</f>
        <v>1687520.813</v>
      </c>
      <c r="D14" s="1155">
        <f t="shared" si="1"/>
        <v>1869412.345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.75" customHeight="1">
      <c r="A15" s="2"/>
      <c r="B15" s="38"/>
      <c r="C15" s="885"/>
      <c r="D15" s="88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5.75" customHeight="1">
      <c r="A16" s="2"/>
      <c r="B16" s="38" t="s">
        <v>396</v>
      </c>
      <c r="C16" s="1155">
        <f>-MSBC!D119</f>
        <v>1983159</v>
      </c>
      <c r="D16" s="1155">
        <f>-MSBC!J119</f>
        <v>2033815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5.75" customHeight="1">
      <c r="A17" s="2"/>
      <c r="B17" s="38"/>
      <c r="C17" s="38"/>
      <c r="D17" s="3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5.75" customHeight="1">
      <c r="A18" s="2"/>
      <c r="B18" s="38" t="s">
        <v>397</v>
      </c>
      <c r="C18" s="38"/>
      <c r="D18" s="38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5.75" customHeight="1">
      <c r="A19" s="2"/>
      <c r="B19" s="38" t="s">
        <v>376</v>
      </c>
      <c r="C19" s="43">
        <f t="shared" ref="C19:D19" si="2">(C5/C$14)*C$16</f>
        <v>132496.9386</v>
      </c>
      <c r="D19" s="43">
        <f t="shared" si="2"/>
        <v>120423.8344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75" customHeight="1">
      <c r="A20" s="2"/>
      <c r="B20" s="38" t="s">
        <v>12</v>
      </c>
      <c r="C20" s="43">
        <f t="shared" ref="C20:D20" si="3">(C6/C$14)*C$16</f>
        <v>148774.8055</v>
      </c>
      <c r="D20" s="43">
        <f t="shared" si="3"/>
        <v>132203.6296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/>
      <c r="B21" s="38" t="s">
        <v>7</v>
      </c>
      <c r="C21" s="43">
        <f t="shared" ref="C21:D21" si="4">(C7/C$14)*C$16</f>
        <v>367873.5349</v>
      </c>
      <c r="D21" s="43">
        <f t="shared" si="4"/>
        <v>420047.6532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/>
      <c r="B22" s="38" t="s">
        <v>8</v>
      </c>
      <c r="C22" s="43">
        <f t="shared" ref="C22:D22" si="5">(C8/C$14)*C$16</f>
        <v>396306.9881</v>
      </c>
      <c r="D22" s="43">
        <f t="shared" si="5"/>
        <v>380179.3496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/>
      <c r="B23" s="38" t="s">
        <v>9</v>
      </c>
      <c r="C23" s="43">
        <f t="shared" ref="C23:D23" si="6">(C9/C$14)*C$16</f>
        <v>379832.1146</v>
      </c>
      <c r="D23" s="43">
        <f t="shared" si="6"/>
        <v>409392.2484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/>
      <c r="B24" s="38" t="s">
        <v>11</v>
      </c>
      <c r="C24" s="43">
        <f t="shared" ref="C24:D24" si="7">(C10/C$14)*C$16</f>
        <v>303536.4539</v>
      </c>
      <c r="D24" s="43">
        <f t="shared" si="7"/>
        <v>324286.636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/>
      <c r="B25" s="38" t="s">
        <v>13</v>
      </c>
      <c r="C25" s="43">
        <f t="shared" ref="C25:D25" si="8">(C11/C$14)*C$16</f>
        <v>115136.3377</v>
      </c>
      <c r="D25" s="43">
        <f t="shared" si="8"/>
        <v>107267.4097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/>
      <c r="B26" s="38" t="s">
        <v>14</v>
      </c>
      <c r="C26" s="43">
        <f t="shared" ref="C26:D26" si="9">(C12/C$14)*C$16</f>
        <v>48479.76557</v>
      </c>
      <c r="D26" s="43">
        <f t="shared" si="9"/>
        <v>63456.30505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/>
      <c r="B27" s="38" t="s">
        <v>15</v>
      </c>
      <c r="C27" s="43">
        <f t="shared" ref="C27:D27" si="10">(C13/C$14)*C$16</f>
        <v>90722.06103</v>
      </c>
      <c r="D27" s="43">
        <f t="shared" si="10"/>
        <v>76557.93391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/>
      <c r="B28" s="38"/>
      <c r="C28" s="1155">
        <f t="shared" ref="C28:D28" si="11">SUM(C19:C27)</f>
        <v>1983159</v>
      </c>
      <c r="D28" s="1155">
        <f t="shared" si="11"/>
        <v>2033815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/>
      <c r="B29" s="38" t="s">
        <v>398</v>
      </c>
      <c r="C29" s="38"/>
      <c r="D29" s="38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/>
      <c r="B30" s="38" t="s">
        <v>376</v>
      </c>
      <c r="C30" s="43">
        <f t="shared" ref="C30:D30" si="12">C19+C5</f>
        <v>245241.979</v>
      </c>
      <c r="D30" s="43">
        <f t="shared" si="12"/>
        <v>231113.2544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/>
      <c r="B31" s="38" t="s">
        <v>12</v>
      </c>
      <c r="C31" s="43">
        <f t="shared" ref="C31:D31" si="13">C20+C6</f>
        <v>275371.0999</v>
      </c>
      <c r="D31" s="43">
        <f t="shared" si="13"/>
        <v>253720.6296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/>
      <c r="B32" s="38" t="s">
        <v>7</v>
      </c>
      <c r="C32" s="43">
        <f t="shared" ref="C32:D32" si="14">C21+C7</f>
        <v>680906.5528</v>
      </c>
      <c r="D32" s="43">
        <f t="shared" si="14"/>
        <v>806140.9156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/>
      <c r="B33" s="38" t="s">
        <v>8</v>
      </c>
      <c r="C33" s="43">
        <f t="shared" ref="C33:D33" si="15">C22+C8</f>
        <v>733534.76</v>
      </c>
      <c r="D33" s="43">
        <f t="shared" si="15"/>
        <v>729627.0475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/>
      <c r="B34" s="38" t="s">
        <v>9</v>
      </c>
      <c r="C34" s="43">
        <f t="shared" ref="C34:D34" si="16">C23+C9</f>
        <v>703040.9944</v>
      </c>
      <c r="D34" s="43">
        <f t="shared" si="16"/>
        <v>785691.4317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/>
      <c r="B35" s="38" t="s">
        <v>11</v>
      </c>
      <c r="C35" s="43">
        <f t="shared" ref="C35:D35" si="17">C24+C10</f>
        <v>561823.4009</v>
      </c>
      <c r="D35" s="43">
        <f t="shared" si="17"/>
        <v>622359.6862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/>
      <c r="B36" s="38" t="s">
        <v>13</v>
      </c>
      <c r="C36" s="43">
        <f t="shared" ref="C36:D36" si="18">C25+C11</f>
        <v>213108.7978</v>
      </c>
      <c r="D36" s="43">
        <f t="shared" si="18"/>
        <v>205863.8996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/>
      <c r="B37" s="38" t="s">
        <v>14</v>
      </c>
      <c r="C37" s="43">
        <f t="shared" ref="C37:D37" si="19">C26+C12</f>
        <v>89732.44042</v>
      </c>
      <c r="D37" s="43">
        <f t="shared" si="19"/>
        <v>121783.144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/>
      <c r="B38" s="38" t="s">
        <v>392</v>
      </c>
      <c r="C38" s="43">
        <f t="shared" ref="C38:D38" si="20">C27+C13</f>
        <v>167919.7876</v>
      </c>
      <c r="D38" s="43">
        <f t="shared" si="20"/>
        <v>146927.3366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/>
      <c r="B39" s="38"/>
      <c r="C39" s="43"/>
      <c r="D39" s="4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/>
      <c r="B40" s="1156" t="s">
        <v>399</v>
      </c>
      <c r="C40" s="1155">
        <f t="shared" ref="C40:D40" si="21">SUM(C30:C38)</f>
        <v>3670679.813</v>
      </c>
      <c r="D40" s="1155">
        <f t="shared" si="21"/>
        <v>3903227.345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/>
      <c r="B41" s="38"/>
      <c r="C41" s="43"/>
      <c r="D41" s="4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2.38"/>
    <col customWidth="1" min="3" max="6" width="12.63"/>
    <col customWidth="1" min="8" max="8" width="13.75"/>
  </cols>
  <sheetData>
    <row r="1" ht="15.75" customHeight="1">
      <c r="A1" s="227" t="s">
        <v>400</v>
      </c>
    </row>
    <row r="2" ht="10.5" customHeight="1">
      <c r="C2" s="228"/>
      <c r="D2" s="228"/>
      <c r="E2" s="228"/>
      <c r="F2" s="228"/>
    </row>
    <row r="3" ht="15.75" customHeight="1">
      <c r="B3" s="229"/>
      <c r="C3" s="1157">
        <v>45748.0</v>
      </c>
      <c r="D3" s="1157">
        <v>45778.0</v>
      </c>
      <c r="E3" s="1157">
        <v>45809.0</v>
      </c>
      <c r="F3" s="1157">
        <v>45839.0</v>
      </c>
      <c r="G3" s="1157">
        <v>45870.0</v>
      </c>
      <c r="H3" s="1157">
        <v>45901.0</v>
      </c>
      <c r="I3" s="1158" t="s">
        <v>401</v>
      </c>
      <c r="J3" s="1158" t="s">
        <v>402</v>
      </c>
      <c r="K3" s="1158" t="s">
        <v>403</v>
      </c>
    </row>
    <row r="4" ht="15.75" customHeight="1">
      <c r="B4" s="231" t="s">
        <v>21</v>
      </c>
      <c r="C4" s="1151">
        <f>'Summary Sheet - April 2026'!AE5</f>
        <v>1555917.5</v>
      </c>
      <c r="D4" s="1151" t="str">
        <f t="shared" ref="D4:F4" si="1">#REF!</f>
        <v>#REF!</v>
      </c>
      <c r="E4" s="1151" t="str">
        <f t="shared" si="1"/>
        <v>#REF!</v>
      </c>
      <c r="F4" s="1151" t="str">
        <f t="shared" si="1"/>
        <v>#REF!</v>
      </c>
      <c r="G4" s="1151" t="str">
        <f>'Mg St Bandra'!#REF!</f>
        <v>#ERROR!</v>
      </c>
      <c r="H4" s="1151" t="str">
        <f>'Mg St Bandra'!#REF!</f>
        <v>#ERROR!</v>
      </c>
    </row>
    <row r="5" ht="15.75" customHeight="1">
      <c r="B5" s="231" t="s">
        <v>22</v>
      </c>
      <c r="C5" s="1151">
        <f>'Summary Sheet - April 2026'!AE6</f>
        <v>2119471.5</v>
      </c>
      <c r="D5" s="1151" t="str">
        <f t="shared" ref="D5:F5" si="2">#REF!</f>
        <v>#REF!</v>
      </c>
      <c r="E5" s="1151" t="str">
        <f t="shared" si="2"/>
        <v>#REF!</v>
      </c>
      <c r="F5" s="1151" t="str">
        <f t="shared" si="2"/>
        <v>#REF!</v>
      </c>
      <c r="G5" s="1151" t="str">
        <f>'Mg St Bandra'!#REF!</f>
        <v>#ERROR!</v>
      </c>
      <c r="H5" s="1151" t="str">
        <f>'Mg St Bandra'!#REF!</f>
        <v>#ERROR!</v>
      </c>
    </row>
    <row r="6" ht="15.75" customHeight="1">
      <c r="B6" s="231" t="s">
        <v>23</v>
      </c>
      <c r="C6" s="1151">
        <f>'Summary Sheet - April 2026'!AE7</f>
        <v>12642063.25</v>
      </c>
      <c r="D6" s="1151" t="str">
        <f t="shared" ref="D6:F6" si="3">#REF!</f>
        <v>#REF!</v>
      </c>
      <c r="E6" s="1151" t="str">
        <f t="shared" si="3"/>
        <v>#REF!</v>
      </c>
      <c r="F6" s="1151" t="str">
        <f t="shared" si="3"/>
        <v>#REF!</v>
      </c>
      <c r="G6" s="1151" t="str">
        <f>'Mg St Bandra'!#REF!</f>
        <v>#ERROR!</v>
      </c>
      <c r="H6" s="1151" t="str">
        <f>'Mg St Bandra'!#REF!</f>
        <v>#ERROR!</v>
      </c>
    </row>
    <row r="7" ht="15.75" customHeight="1">
      <c r="B7" s="231" t="s">
        <v>24</v>
      </c>
      <c r="C7" s="1151">
        <f>'Summary Sheet - April 2026'!AE8</f>
        <v>1028709</v>
      </c>
      <c r="D7" s="1151" t="str">
        <f t="shared" ref="D7:F7" si="4">#REF!</f>
        <v>#REF!</v>
      </c>
      <c r="E7" s="1151" t="str">
        <f t="shared" si="4"/>
        <v>#REF!</v>
      </c>
      <c r="F7" s="1151" t="str">
        <f t="shared" si="4"/>
        <v>#REF!</v>
      </c>
      <c r="G7" s="1151" t="str">
        <f>'Mg St Bandra'!#REF!</f>
        <v>#ERROR!</v>
      </c>
      <c r="H7" s="1151" t="str">
        <f>'Mg St Bandra'!#REF!</f>
        <v>#ERROR!</v>
      </c>
    </row>
    <row r="8" ht="15.75" customHeight="1">
      <c r="B8" s="231" t="s">
        <v>26</v>
      </c>
      <c r="C8" s="1159">
        <f t="shared" ref="C8:H8" si="5">SUM(C4:C7)</f>
        <v>17346161.25</v>
      </c>
      <c r="D8" s="1159" t="str">
        <f t="shared" si="5"/>
        <v>#REF!</v>
      </c>
      <c r="E8" s="1159" t="str">
        <f t="shared" si="5"/>
        <v>#REF!</v>
      </c>
      <c r="F8" s="1159" t="str">
        <f t="shared" si="5"/>
        <v>#REF!</v>
      </c>
      <c r="G8" s="1159" t="str">
        <f t="shared" si="5"/>
        <v>#ERROR!</v>
      </c>
      <c r="H8" s="1159" t="str">
        <f t="shared" si="5"/>
        <v>#ERROR!</v>
      </c>
    </row>
    <row r="9" ht="15.75" customHeight="1">
      <c r="B9" s="231"/>
      <c r="C9" s="1150" t="str">
        <f>'Summary Sheet - April 2026'!O11</f>
        <v/>
      </c>
      <c r="D9" s="1150" t="str">
        <f t="shared" ref="D9:F9" si="6">#REF!</f>
        <v>#REF!</v>
      </c>
      <c r="E9" s="1150" t="str">
        <f t="shared" si="6"/>
        <v>#REF!</v>
      </c>
      <c r="F9" s="1150" t="str">
        <f t="shared" si="6"/>
        <v>#REF!</v>
      </c>
      <c r="G9" s="1150"/>
      <c r="H9" s="1150"/>
    </row>
    <row r="10" ht="15.75" customHeight="1">
      <c r="B10" s="231" t="s">
        <v>28</v>
      </c>
      <c r="C10" s="1151">
        <f>'Mg St Bandra'!D47</f>
        <v>5551998.263</v>
      </c>
      <c r="D10" s="1151" t="str">
        <f>'Mg St Bandra'!#REF!</f>
        <v>#ERROR!</v>
      </c>
      <c r="E10" s="1151" t="str">
        <f>'Mg St Bandra'!#REF!</f>
        <v>#ERROR!</v>
      </c>
      <c r="F10" s="1151" t="str">
        <f>'Mg St Bandra'!#REF!</f>
        <v>#ERROR!</v>
      </c>
      <c r="G10" s="1151" t="str">
        <f>'Mg St Bandra'!#REF!</f>
        <v>#ERROR!</v>
      </c>
      <c r="H10" s="1151" t="str">
        <f>'Mg St Bandra'!#REF!</f>
        <v>#ERROR!</v>
      </c>
    </row>
    <row r="11" ht="15.75" customHeight="1">
      <c r="B11" s="231" t="s">
        <v>29</v>
      </c>
      <c r="C11" s="1151">
        <f>'Mg St Bandra'!D48</f>
        <v>202872.5</v>
      </c>
      <c r="D11" s="1151" t="str">
        <f>'Mg St Bandra'!#REF!</f>
        <v>#ERROR!</v>
      </c>
      <c r="E11" s="1151" t="str">
        <f>'Mg St Bandra'!#REF!</f>
        <v>#ERROR!</v>
      </c>
      <c r="F11" s="1151" t="str">
        <f>'Mg St Bandra'!#REF!</f>
        <v>#ERROR!</v>
      </c>
      <c r="G11" s="1151" t="str">
        <f>'Mg St Bandra'!#REF!</f>
        <v>#ERROR!</v>
      </c>
      <c r="H11" s="1151" t="str">
        <f>'Mg St Bandra'!#REF!</f>
        <v>#ERROR!</v>
      </c>
    </row>
    <row r="12" ht="15.75" customHeight="1">
      <c r="B12" s="231" t="s">
        <v>404</v>
      </c>
      <c r="C12" s="1151" t="str">
        <f>#REF!</f>
        <v>#REF!</v>
      </c>
      <c r="D12" s="1151" t="str">
        <f>'Mg St Bandra'!#REF!</f>
        <v>#ERROR!</v>
      </c>
      <c r="E12" s="1151" t="str">
        <f>'Mg St Bandra'!#REF!</f>
        <v>#ERROR!</v>
      </c>
      <c r="F12" s="1151" t="str">
        <f>'Mg St Bandra'!#REF!</f>
        <v>#ERROR!</v>
      </c>
      <c r="G12" s="1151" t="str">
        <f>'Mg St Bandra'!#REF!</f>
        <v>#ERROR!</v>
      </c>
      <c r="H12" s="1151" t="str">
        <f>'Mg St Bandra'!#REF!</f>
        <v>#ERROR!</v>
      </c>
    </row>
    <row r="13" ht="15.75" customHeight="1">
      <c r="B13" s="231" t="s">
        <v>30</v>
      </c>
      <c r="C13" s="1159">
        <f t="shared" ref="C13:H13" si="7">C10+C11</f>
        <v>5754870.763</v>
      </c>
      <c r="D13" s="1159" t="str">
        <f t="shared" si="7"/>
        <v>#ERROR!</v>
      </c>
      <c r="E13" s="1159" t="str">
        <f t="shared" si="7"/>
        <v>#ERROR!</v>
      </c>
      <c r="F13" s="1159" t="str">
        <f t="shared" si="7"/>
        <v>#ERROR!</v>
      </c>
      <c r="G13" s="1159" t="str">
        <f t="shared" si="7"/>
        <v>#ERROR!</v>
      </c>
      <c r="H13" s="1159" t="str">
        <f t="shared" si="7"/>
        <v>#ERROR!</v>
      </c>
    </row>
    <row r="14" ht="15.75" customHeight="1">
      <c r="B14" s="231"/>
      <c r="C14" s="1150"/>
      <c r="D14" s="1150"/>
      <c r="E14" s="1150" t="str">
        <f t="shared" ref="E14:F14" si="8">#REF!</f>
        <v>#REF!</v>
      </c>
      <c r="F14" s="1150" t="str">
        <f t="shared" si="8"/>
        <v>#REF!</v>
      </c>
      <c r="G14" s="1150"/>
      <c r="H14" s="1150"/>
    </row>
    <row r="15" ht="15.75" customHeight="1">
      <c r="B15" s="231" t="s">
        <v>32</v>
      </c>
      <c r="C15" s="1159">
        <f t="shared" ref="C15:H15" si="9">C8-C13</f>
        <v>11591290.49</v>
      </c>
      <c r="D15" s="1159" t="str">
        <f t="shared" si="9"/>
        <v>#REF!</v>
      </c>
      <c r="E15" s="1159" t="str">
        <f t="shared" si="9"/>
        <v>#REF!</v>
      </c>
      <c r="F15" s="1159" t="str">
        <f t="shared" si="9"/>
        <v>#REF!</v>
      </c>
      <c r="G15" s="1159" t="str">
        <f t="shared" si="9"/>
        <v>#ERROR!</v>
      </c>
      <c r="H15" s="1159" t="str">
        <f t="shared" si="9"/>
        <v>#ERROR!</v>
      </c>
    </row>
    <row r="16" ht="15.75" customHeight="1">
      <c r="B16" s="231" t="s">
        <v>50</v>
      </c>
      <c r="C16" s="1160">
        <f t="shared" ref="C16:H16" si="10">C15/C8</f>
        <v>0.6682337561</v>
      </c>
      <c r="D16" s="1160" t="str">
        <f t="shared" si="10"/>
        <v>#REF!</v>
      </c>
      <c r="E16" s="1160" t="str">
        <f t="shared" si="10"/>
        <v>#REF!</v>
      </c>
      <c r="F16" s="1160" t="str">
        <f t="shared" si="10"/>
        <v>#REF!</v>
      </c>
      <c r="G16" s="1160" t="str">
        <f t="shared" si="10"/>
        <v>#ERROR!</v>
      </c>
      <c r="H16" s="1160" t="str">
        <f t="shared" si="10"/>
        <v>#ERROR!</v>
      </c>
    </row>
    <row r="17" ht="15.75" customHeight="1">
      <c r="B17" s="231"/>
      <c r="C17" s="1150" t="str">
        <f>'Summary Sheet - April 2026'!O16</f>
        <v/>
      </c>
      <c r="D17" s="1150" t="str">
        <f t="shared" ref="D17:F17" si="11">#REF!</f>
        <v>#REF!</v>
      </c>
      <c r="E17" s="1150" t="str">
        <f t="shared" si="11"/>
        <v>#REF!</v>
      </c>
      <c r="F17" s="1150" t="str">
        <f t="shared" si="11"/>
        <v>#REF!</v>
      </c>
      <c r="G17" s="1150"/>
      <c r="H17" s="1150"/>
    </row>
    <row r="18" ht="15.75" customHeight="1">
      <c r="B18" s="231" t="s">
        <v>33</v>
      </c>
      <c r="C18" s="1151">
        <f>'Mg St Bandra'!D58</f>
        <v>439199.4533</v>
      </c>
      <c r="D18" s="1151" t="str">
        <f>'Mg St Bandra'!#REF!</f>
        <v>#ERROR!</v>
      </c>
      <c r="E18" s="1151" t="str">
        <f>'Mg St Bandra'!#REF!</f>
        <v>#ERROR!</v>
      </c>
      <c r="F18" s="1151" t="str">
        <f>'Mg St Bandra'!#REF!</f>
        <v>#ERROR!</v>
      </c>
      <c r="G18" s="1151" t="str">
        <f>'Mg St Bandra'!#REF!</f>
        <v>#ERROR!</v>
      </c>
      <c r="H18" s="1151" t="str">
        <f>'Mg St Bandra'!#REF!</f>
        <v>#ERROR!</v>
      </c>
    </row>
    <row r="19" ht="15.75" customHeight="1">
      <c r="B19" s="231" t="s">
        <v>34</v>
      </c>
      <c r="C19" s="1151">
        <f>'Mg St Bandra'!D70</f>
        <v>86882</v>
      </c>
      <c r="D19" s="1151" t="str">
        <f>'Mg St Bandra'!#REF!</f>
        <v>#ERROR!</v>
      </c>
      <c r="E19" s="1151" t="str">
        <f>'Mg St Bandra'!#REF!</f>
        <v>#ERROR!</v>
      </c>
      <c r="F19" s="1151" t="str">
        <f>'Mg St Bandra'!#REF!</f>
        <v>#ERROR!</v>
      </c>
      <c r="G19" s="1151" t="str">
        <f>'Mg St Bandra'!#REF!</f>
        <v>#ERROR!</v>
      </c>
      <c r="H19" s="1151" t="str">
        <f>'Mg St Bandra'!#REF!</f>
        <v>#ERROR!</v>
      </c>
    </row>
    <row r="20" ht="15.75" customHeight="1">
      <c r="B20" s="231" t="s">
        <v>35</v>
      </c>
      <c r="C20" s="1151">
        <f>'Mg St Bandra'!D81</f>
        <v>628442</v>
      </c>
      <c r="D20" s="1151" t="str">
        <f>'Mg St Bandra'!#REF!</f>
        <v>#ERROR!</v>
      </c>
      <c r="E20" s="1151" t="str">
        <f>'Mg St Bandra'!#REF!</f>
        <v>#ERROR!</v>
      </c>
      <c r="F20" s="1151" t="str">
        <f>'Mg St Bandra'!#REF!</f>
        <v>#ERROR!</v>
      </c>
      <c r="G20" s="1151" t="str">
        <f>'Mg St Bandra'!#REF!</f>
        <v>#ERROR!</v>
      </c>
      <c r="H20" s="1151" t="str">
        <f>'Mg St Bandra'!#REF!</f>
        <v>#ERROR!</v>
      </c>
    </row>
    <row r="21" ht="15.75" customHeight="1">
      <c r="B21" s="231" t="s">
        <v>36</v>
      </c>
      <c r="C21" s="1151">
        <f>'Mg St Bandra'!D88</f>
        <v>1542823</v>
      </c>
      <c r="D21" s="1151" t="str">
        <f>'Mg St Bandra'!#REF!</f>
        <v>#ERROR!</v>
      </c>
      <c r="E21" s="1151" t="str">
        <f>'Mg St Bandra'!#REF!</f>
        <v>#ERROR!</v>
      </c>
      <c r="F21" s="1151" t="str">
        <f>'Mg St Bandra'!#REF!</f>
        <v>#ERROR!</v>
      </c>
      <c r="G21" s="1151" t="str">
        <f>'Mg St Bandra'!#REF!</f>
        <v>#ERROR!</v>
      </c>
      <c r="H21" s="1151" t="str">
        <f>'Mg St Bandra'!#REF!</f>
        <v>#ERROR!</v>
      </c>
    </row>
    <row r="22" ht="15.75" customHeight="1">
      <c r="B22" s="231" t="s">
        <v>37</v>
      </c>
      <c r="C22" s="1151">
        <f>'Mg St Bandra'!D96</f>
        <v>3711761.087</v>
      </c>
      <c r="D22" s="1151" t="str">
        <f>'Mg St Bandra'!#REF!</f>
        <v>#ERROR!</v>
      </c>
      <c r="E22" s="1151" t="str">
        <f>'Mg St Bandra'!#REF!</f>
        <v>#ERROR!</v>
      </c>
      <c r="F22" s="1151" t="str">
        <f>'Mg St Bandra'!#REF!</f>
        <v>#ERROR!</v>
      </c>
      <c r="G22" s="1151" t="str">
        <f>'Mg St Bandra'!#REF!</f>
        <v>#ERROR!</v>
      </c>
      <c r="H22" s="1151" t="str">
        <f>'Mg St Bandra'!#REF!</f>
        <v>#ERROR!</v>
      </c>
    </row>
    <row r="23" ht="15.75" customHeight="1">
      <c r="B23" s="231" t="s">
        <v>38</v>
      </c>
      <c r="C23" s="1151">
        <f>'Mg St Bandra'!D107</f>
        <v>27152</v>
      </c>
      <c r="D23" s="1151" t="str">
        <f>'Mg St Bandra'!#REF!</f>
        <v>#ERROR!</v>
      </c>
      <c r="E23" s="1151" t="str">
        <f>'Mg St Bandra'!#REF!</f>
        <v>#ERROR!</v>
      </c>
      <c r="F23" s="1151" t="str">
        <f>'Mg St Bandra'!#REF!</f>
        <v>#ERROR!</v>
      </c>
      <c r="G23" s="1151" t="str">
        <f>'Mg St Bandra'!#REF!</f>
        <v>#ERROR!</v>
      </c>
      <c r="H23" s="1151" t="str">
        <f>'Mg St Bandra'!#REF!</f>
        <v>#ERROR!</v>
      </c>
    </row>
    <row r="24" ht="15.75" customHeight="1">
      <c r="B24" s="231" t="s">
        <v>39</v>
      </c>
      <c r="C24" s="1151">
        <f>'Mg St Bandra'!D110</f>
        <v>77845.33333</v>
      </c>
      <c r="D24" s="1151" t="str">
        <f>'Mg St Bandra'!#REF!</f>
        <v>#ERROR!</v>
      </c>
      <c r="E24" s="1151" t="str">
        <f>'Mg St Bandra'!#REF!</f>
        <v>#ERROR!</v>
      </c>
      <c r="F24" s="1151" t="str">
        <f>'Mg St Bandra'!#REF!</f>
        <v>#ERROR!</v>
      </c>
      <c r="G24" s="1151" t="str">
        <f>'Mg St Bandra'!#REF!</f>
        <v>#ERROR!</v>
      </c>
      <c r="H24" s="1151" t="str">
        <f>'Mg St Bandra'!#REF!</f>
        <v>#ERROR!</v>
      </c>
    </row>
    <row r="25" ht="15.75" customHeight="1">
      <c r="B25" s="231" t="s">
        <v>40</v>
      </c>
      <c r="C25" s="1151">
        <f>'Mg St Bandra'!D114</f>
        <v>633437.0933</v>
      </c>
      <c r="D25" s="1151" t="str">
        <f>'Mg St Bandra'!#REF!</f>
        <v>#ERROR!</v>
      </c>
      <c r="E25" s="1151" t="str">
        <f>'Mg St Bandra'!#REF!</f>
        <v>#ERROR!</v>
      </c>
      <c r="F25" s="1151" t="str">
        <f>'Mg St Bandra'!#REF!</f>
        <v>#ERROR!</v>
      </c>
      <c r="G25" s="1151" t="str">
        <f>'Mg St Bandra'!#REF!</f>
        <v>#ERROR!</v>
      </c>
      <c r="H25" s="1151" t="str">
        <f>'Mg St Bandra'!#REF!</f>
        <v>#ERROR!</v>
      </c>
    </row>
    <row r="26" ht="15.75" customHeight="1">
      <c r="B26" s="231" t="s">
        <v>41</v>
      </c>
      <c r="C26" s="1151">
        <f>'Mg St Bandra'!D131</f>
        <v>10010</v>
      </c>
      <c r="D26" s="1151"/>
      <c r="E26" s="1151"/>
      <c r="F26" s="1151"/>
      <c r="G26" s="1151"/>
      <c r="H26" s="1151"/>
    </row>
    <row r="27" ht="15.75" customHeight="1">
      <c r="B27" s="231" t="s">
        <v>42</v>
      </c>
      <c r="C27" s="1151">
        <f>'Mg St Bandra'!D135</f>
        <v>0</v>
      </c>
      <c r="D27" s="1151"/>
      <c r="E27" s="1151"/>
      <c r="F27" s="1151"/>
      <c r="G27" s="1151"/>
      <c r="H27" s="1151"/>
    </row>
    <row r="28" ht="15.75" customHeight="1">
      <c r="B28" s="231" t="s">
        <v>43</v>
      </c>
      <c r="C28" s="1159">
        <f t="shared" ref="C28:H28" si="12">SUM(C18:C27)</f>
        <v>7157551.967</v>
      </c>
      <c r="D28" s="1159" t="str">
        <f t="shared" si="12"/>
        <v>#ERROR!</v>
      </c>
      <c r="E28" s="1159" t="str">
        <f t="shared" si="12"/>
        <v>#ERROR!</v>
      </c>
      <c r="F28" s="1159" t="str">
        <f t="shared" si="12"/>
        <v>#ERROR!</v>
      </c>
      <c r="G28" s="1159" t="str">
        <f t="shared" si="12"/>
        <v>#ERROR!</v>
      </c>
      <c r="H28" s="1159" t="str">
        <f t="shared" si="12"/>
        <v>#ERROR!</v>
      </c>
    </row>
    <row r="29" ht="15.75" customHeight="1">
      <c r="B29" s="231"/>
      <c r="C29" s="1150"/>
      <c r="D29" s="1150"/>
      <c r="E29" s="1150" t="str">
        <f t="shared" ref="E29:F29" si="13">#REF!</f>
        <v>#REF!</v>
      </c>
      <c r="F29" s="1150" t="str">
        <f t="shared" si="13"/>
        <v>#REF!</v>
      </c>
      <c r="G29" s="1150"/>
      <c r="H29" s="1150"/>
    </row>
    <row r="30" ht="15.75" customHeight="1">
      <c r="B30" s="231" t="s">
        <v>44</v>
      </c>
      <c r="C30" s="1159">
        <f t="shared" ref="C30:H30" si="14">C15-C28</f>
        <v>4433738.52</v>
      </c>
      <c r="D30" s="1159" t="str">
        <f t="shared" si="14"/>
        <v>#REF!</v>
      </c>
      <c r="E30" s="1159" t="str">
        <f t="shared" si="14"/>
        <v>#REF!</v>
      </c>
      <c r="F30" s="1159" t="str">
        <f t="shared" si="14"/>
        <v>#REF!</v>
      </c>
      <c r="G30" s="1159" t="str">
        <f t="shared" si="14"/>
        <v>#ERROR!</v>
      </c>
      <c r="H30" s="1159" t="str">
        <f t="shared" si="14"/>
        <v>#ERROR!</v>
      </c>
    </row>
    <row r="31" ht="15.75" customHeight="1">
      <c r="B31" s="231" t="s">
        <v>51</v>
      </c>
      <c r="C31" s="1160">
        <f t="shared" ref="C31:H31" si="15">C30/C8</f>
        <v>0.2556034419</v>
      </c>
      <c r="D31" s="1160" t="str">
        <f t="shared" si="15"/>
        <v>#REF!</v>
      </c>
      <c r="E31" s="1160" t="str">
        <f t="shared" si="15"/>
        <v>#REF!</v>
      </c>
      <c r="F31" s="1160" t="str">
        <f t="shared" si="15"/>
        <v>#REF!</v>
      </c>
      <c r="G31" s="1160" t="str">
        <f t="shared" si="15"/>
        <v>#ERROR!</v>
      </c>
      <c r="H31" s="1160" t="str">
        <f t="shared" si="15"/>
        <v>#ERROR!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22.38"/>
    <col customWidth="1" min="3" max="3" width="9.0"/>
    <col customWidth="1" min="4" max="4" width="8.38"/>
    <col customWidth="1" min="5" max="5" width="9.0"/>
    <col customWidth="1" min="6" max="10" width="8.38"/>
    <col customWidth="1" min="11" max="11" width="9.38"/>
  </cols>
  <sheetData>
    <row r="1" ht="15.75" customHeight="1">
      <c r="A1" s="227" t="s">
        <v>405</v>
      </c>
    </row>
    <row r="2" ht="15.75" customHeight="1">
      <c r="C2" s="228"/>
      <c r="D2" s="228"/>
      <c r="E2" s="228"/>
      <c r="F2" s="228"/>
    </row>
    <row r="3" ht="15.75" customHeight="1">
      <c r="B3" s="229"/>
      <c r="C3" s="230">
        <v>45748.0</v>
      </c>
      <c r="D3" s="230">
        <v>45778.0</v>
      </c>
      <c r="E3" s="230">
        <v>45809.0</v>
      </c>
      <c r="F3" s="230">
        <v>45839.0</v>
      </c>
      <c r="G3" s="1161" t="s">
        <v>406</v>
      </c>
      <c r="H3" s="1161" t="s">
        <v>407</v>
      </c>
      <c r="I3" s="1161" t="s">
        <v>401</v>
      </c>
      <c r="J3" s="1161" t="s">
        <v>402</v>
      </c>
      <c r="K3" s="1161" t="s">
        <v>408</v>
      </c>
      <c r="O3" s="124" t="s">
        <v>409</v>
      </c>
      <c r="P3" s="123" t="str">
        <f>AVERAGE(C8:K8)</f>
        <v>#REF!</v>
      </c>
    </row>
    <row r="4" ht="15.75" customHeight="1">
      <c r="B4" s="231" t="s">
        <v>21</v>
      </c>
      <c r="C4" s="232">
        <f>'Summary Sheet - April 2026'!AA5</f>
        <v>1273758.75</v>
      </c>
      <c r="D4" s="232" t="str">
        <f t="shared" ref="D4:F4" si="1">#REF!</f>
        <v>#REF!</v>
      </c>
      <c r="E4" s="232" t="str">
        <f t="shared" si="1"/>
        <v>#REF!</v>
      </c>
      <c r="F4" s="232" t="str">
        <f t="shared" si="1"/>
        <v>#REF!</v>
      </c>
      <c r="G4" s="232" t="str">
        <f>'Mg St LP'!#REF!</f>
        <v>#ERROR!</v>
      </c>
      <c r="H4" s="232" t="str">
        <f>'Mg St LP'!#REF!</f>
        <v>#ERROR!</v>
      </c>
      <c r="I4" s="232" t="str">
        <f>'Mg St LP'!#REF!</f>
        <v>#ERROR!</v>
      </c>
      <c r="J4" s="232" t="str">
        <f>'Mg St LP'!#REF!</f>
        <v>#ERROR!</v>
      </c>
      <c r="K4" s="232" t="str">
        <f>'Mg St LP'!#REF!</f>
        <v>#ERROR!</v>
      </c>
      <c r="O4" s="124" t="s">
        <v>410</v>
      </c>
      <c r="P4" s="123" t="str">
        <f>AVERAGE(C29:K29)</f>
        <v>#ERROR!</v>
      </c>
    </row>
    <row r="5" ht="15.75" customHeight="1">
      <c r="B5" s="231" t="s">
        <v>22</v>
      </c>
      <c r="C5" s="232">
        <f>'Summary Sheet - April 2026'!AA6</f>
        <v>0</v>
      </c>
      <c r="D5" s="232" t="str">
        <f t="shared" ref="D5:F5" si="2">#REF!</f>
        <v>#REF!</v>
      </c>
      <c r="E5" s="232" t="str">
        <f t="shared" si="2"/>
        <v>#REF!</v>
      </c>
      <c r="F5" s="232" t="str">
        <f t="shared" si="2"/>
        <v>#REF!</v>
      </c>
      <c r="G5" s="232" t="s">
        <v>411</v>
      </c>
      <c r="H5" s="232" t="str">
        <f>'Mg St LP'!#REF!</f>
        <v>#ERROR!</v>
      </c>
      <c r="I5" s="232" t="str">
        <f>'Mg St LP'!#REF!</f>
        <v>#ERROR!</v>
      </c>
      <c r="J5" s="232" t="str">
        <f>'Mg St LP'!#REF!</f>
        <v>#ERROR!</v>
      </c>
      <c r="K5" s="232" t="str">
        <f>'Mg St LP'!#REF!</f>
        <v>#ERROR!</v>
      </c>
      <c r="O5" s="124" t="s">
        <v>412</v>
      </c>
      <c r="P5" s="381" t="str">
        <f>P4/P3</f>
        <v>#ERROR!</v>
      </c>
    </row>
    <row r="6" ht="15.75" customHeight="1">
      <c r="B6" s="231" t="s">
        <v>23</v>
      </c>
      <c r="C6" s="232">
        <f>'Summary Sheet - April 2026'!AA7</f>
        <v>8201572.15</v>
      </c>
      <c r="D6" s="232" t="str">
        <f t="shared" ref="D6:F6" si="3">#REF!</f>
        <v>#REF!</v>
      </c>
      <c r="E6" s="232" t="str">
        <f t="shared" si="3"/>
        <v>#REF!</v>
      </c>
      <c r="F6" s="232" t="str">
        <f t="shared" si="3"/>
        <v>#REF!</v>
      </c>
      <c r="G6" s="232" t="str">
        <f>'Mg St LP'!#REF!</f>
        <v>#ERROR!</v>
      </c>
      <c r="H6" s="232" t="str">
        <f>'Mg St LP'!#REF!</f>
        <v>#ERROR!</v>
      </c>
      <c r="I6" s="232" t="str">
        <f>'Mg St LP'!#REF!</f>
        <v>#ERROR!</v>
      </c>
      <c r="J6" s="232" t="str">
        <f>'Mg St LP'!#REF!</f>
        <v>#ERROR!</v>
      </c>
      <c r="K6" s="232" t="str">
        <f>'Mg St LP'!#REF!</f>
        <v>#ERROR!</v>
      </c>
    </row>
    <row r="7" ht="15.75" customHeight="1">
      <c r="B7" s="231" t="s">
        <v>24</v>
      </c>
      <c r="C7" s="232">
        <f>'Summary Sheet - April 2026'!AA8</f>
        <v>356972.05</v>
      </c>
      <c r="D7" s="229" t="str">
        <f t="shared" ref="D7:F7" si="4">#REF!</f>
        <v>#REF!</v>
      </c>
      <c r="E7" s="229" t="str">
        <f t="shared" si="4"/>
        <v>#REF!</v>
      </c>
      <c r="F7" s="232" t="str">
        <f t="shared" si="4"/>
        <v>#REF!</v>
      </c>
      <c r="G7" s="232" t="str">
        <f>'Mg St LP'!#REF!</f>
        <v>#ERROR!</v>
      </c>
      <c r="H7" s="232" t="str">
        <f>'Mg St LP'!#REF!</f>
        <v>#ERROR!</v>
      </c>
      <c r="I7" s="232" t="str">
        <f>'Mg St LP'!#REF!</f>
        <v>#ERROR!</v>
      </c>
      <c r="J7" s="232" t="str">
        <f>'Mg St LP'!#REF!</f>
        <v>#ERROR!</v>
      </c>
      <c r="K7" s="232" t="str">
        <f>'Mg St LP'!#REF!</f>
        <v>#ERROR!</v>
      </c>
    </row>
    <row r="8" ht="15.75" customHeight="1">
      <c r="B8" s="231" t="s">
        <v>26</v>
      </c>
      <c r="C8" s="233">
        <f t="shared" ref="C8:K8" si="5">SUM(C4:C7)</f>
        <v>9832302.95</v>
      </c>
      <c r="D8" s="233" t="str">
        <f t="shared" si="5"/>
        <v>#REF!</v>
      </c>
      <c r="E8" s="233" t="str">
        <f t="shared" si="5"/>
        <v>#REF!</v>
      </c>
      <c r="F8" s="233" t="str">
        <f t="shared" si="5"/>
        <v>#REF!</v>
      </c>
      <c r="G8" s="233" t="str">
        <f t="shared" si="5"/>
        <v>#ERROR!</v>
      </c>
      <c r="H8" s="233" t="str">
        <f t="shared" si="5"/>
        <v>#ERROR!</v>
      </c>
      <c r="I8" s="233" t="str">
        <f t="shared" si="5"/>
        <v>#ERROR!</v>
      </c>
      <c r="J8" s="233" t="str">
        <f t="shared" si="5"/>
        <v>#ERROR!</v>
      </c>
      <c r="K8" s="233" t="str">
        <f t="shared" si="5"/>
        <v>#ERROR!</v>
      </c>
    </row>
    <row r="9" ht="15.75" customHeight="1">
      <c r="B9" s="231"/>
      <c r="C9" s="229" t="str">
        <f>'Summary Sheet - April 2026'!O11</f>
        <v/>
      </c>
      <c r="D9" s="229" t="str">
        <f t="shared" ref="D9:F9" si="6">#REF!</f>
        <v>#REF!</v>
      </c>
      <c r="E9" s="229" t="str">
        <f t="shared" si="6"/>
        <v>#REF!</v>
      </c>
      <c r="F9" s="229" t="str">
        <f t="shared" si="6"/>
        <v>#REF!</v>
      </c>
      <c r="G9" s="229"/>
      <c r="H9" s="229"/>
      <c r="I9" s="229"/>
      <c r="J9" s="229"/>
      <c r="K9" s="229"/>
    </row>
    <row r="10" ht="15.75" customHeight="1">
      <c r="B10" s="231" t="s">
        <v>28</v>
      </c>
      <c r="C10" s="232">
        <f>'Summary Sheet - April 2026'!AA12</f>
        <v>3313857.157</v>
      </c>
      <c r="D10" s="232" t="str">
        <f t="shared" ref="D10:F10" si="7">#REF!</f>
        <v>#REF!</v>
      </c>
      <c r="E10" s="232" t="str">
        <f t="shared" si="7"/>
        <v>#REF!</v>
      </c>
      <c r="F10" s="232" t="str">
        <f t="shared" si="7"/>
        <v>#REF!</v>
      </c>
      <c r="G10" s="232" t="str">
        <f>'Mg St LP'!#REF!</f>
        <v>#ERROR!</v>
      </c>
      <c r="H10" s="232" t="str">
        <f>'Mg St LP'!#REF!</f>
        <v>#ERROR!</v>
      </c>
      <c r="I10" s="232" t="str">
        <f>'Mg St LP'!#REF!</f>
        <v>#ERROR!</v>
      </c>
      <c r="J10" s="232" t="str">
        <f>'Mg St LP'!#REF!</f>
        <v>#ERROR!</v>
      </c>
      <c r="K10" s="232" t="str">
        <f>'Mg St LP'!#REF!</f>
        <v>#ERROR!</v>
      </c>
    </row>
    <row r="11" ht="15.75" customHeight="1">
      <c r="B11" s="231" t="s">
        <v>29</v>
      </c>
      <c r="C11" s="232">
        <f>'Summary Sheet - April 2026'!AA13</f>
        <v>213063</v>
      </c>
      <c r="D11" s="232" t="str">
        <f t="shared" ref="D11:F11" si="8">#REF!</f>
        <v>#REF!</v>
      </c>
      <c r="E11" s="229" t="str">
        <f t="shared" si="8"/>
        <v>#REF!</v>
      </c>
      <c r="F11" s="229" t="str">
        <f t="shared" si="8"/>
        <v>#REF!</v>
      </c>
      <c r="G11" s="232" t="str">
        <f>'Mg St LP'!#REF!</f>
        <v>#ERROR!</v>
      </c>
      <c r="H11" s="232" t="str">
        <f>'Mg St LP'!#REF!</f>
        <v>#ERROR!</v>
      </c>
      <c r="I11" s="232" t="str">
        <f>'Mg St LP'!#REF!</f>
        <v>#ERROR!</v>
      </c>
      <c r="J11" s="232" t="str">
        <f>'Mg St LP'!#REF!</f>
        <v>#ERROR!</v>
      </c>
      <c r="K11" s="232" t="str">
        <f>'Mg St LP'!#REF!</f>
        <v>#ERROR!</v>
      </c>
    </row>
    <row r="12" ht="15.75" customHeight="1">
      <c r="B12" s="231" t="s">
        <v>30</v>
      </c>
      <c r="C12" s="233">
        <f t="shared" ref="C12:K12" si="9">C10+C11</f>
        <v>3526920.157</v>
      </c>
      <c r="D12" s="233" t="str">
        <f t="shared" si="9"/>
        <v>#REF!</v>
      </c>
      <c r="E12" s="233" t="str">
        <f t="shared" si="9"/>
        <v>#REF!</v>
      </c>
      <c r="F12" s="233" t="str">
        <f t="shared" si="9"/>
        <v>#REF!</v>
      </c>
      <c r="G12" s="233" t="str">
        <f t="shared" si="9"/>
        <v>#ERROR!</v>
      </c>
      <c r="H12" s="233" t="str">
        <f t="shared" si="9"/>
        <v>#ERROR!</v>
      </c>
      <c r="I12" s="233" t="str">
        <f t="shared" si="9"/>
        <v>#ERROR!</v>
      </c>
      <c r="J12" s="233" t="str">
        <f t="shared" si="9"/>
        <v>#ERROR!</v>
      </c>
      <c r="K12" s="233" t="str">
        <f t="shared" si="9"/>
        <v>#ERROR!</v>
      </c>
    </row>
    <row r="13" ht="15.75" customHeight="1">
      <c r="B13" s="231" t="s">
        <v>31</v>
      </c>
      <c r="C13" s="232" t="str">
        <f>'Mg St LP'!#REF!</f>
        <v>#ERROR!</v>
      </c>
      <c r="D13" s="232" t="str">
        <f>'Mg St LP'!#REF!</f>
        <v>#ERROR!</v>
      </c>
      <c r="E13" s="232" t="str">
        <f>'Mg St LP'!#REF!</f>
        <v>#ERROR!</v>
      </c>
      <c r="F13" s="232" t="str">
        <f>'Mg St LP'!#REF!</f>
        <v>#ERROR!</v>
      </c>
      <c r="G13" s="232" t="str">
        <f>'Mg St LP'!#REF!</f>
        <v>#ERROR!</v>
      </c>
      <c r="H13" s="232" t="str">
        <f>'Mg St LP'!#REF!</f>
        <v>#ERROR!</v>
      </c>
      <c r="I13" s="232"/>
      <c r="J13" s="232"/>
      <c r="K13" s="232"/>
    </row>
    <row r="14" ht="15.75" customHeight="1">
      <c r="B14" s="231" t="s">
        <v>32</v>
      </c>
      <c r="C14" s="233" t="str">
        <f t="shared" ref="C14:K14" si="10">C8-C12-C13</f>
        <v>#ERROR!</v>
      </c>
      <c r="D14" s="233" t="str">
        <f t="shared" si="10"/>
        <v>#REF!</v>
      </c>
      <c r="E14" s="233" t="str">
        <f t="shared" si="10"/>
        <v>#REF!</v>
      </c>
      <c r="F14" s="233" t="str">
        <f t="shared" si="10"/>
        <v>#REF!</v>
      </c>
      <c r="G14" s="233" t="str">
        <f t="shared" si="10"/>
        <v>#ERROR!</v>
      </c>
      <c r="H14" s="233" t="str">
        <f t="shared" si="10"/>
        <v>#ERROR!</v>
      </c>
      <c r="I14" s="233" t="str">
        <f t="shared" si="10"/>
        <v>#ERROR!</v>
      </c>
      <c r="J14" s="233" t="str">
        <f t="shared" si="10"/>
        <v>#ERROR!</v>
      </c>
      <c r="K14" s="233" t="str">
        <f t="shared" si="10"/>
        <v>#ERROR!</v>
      </c>
    </row>
    <row r="15" ht="15.75" customHeight="1">
      <c r="B15" s="231" t="s">
        <v>50</v>
      </c>
      <c r="C15" s="234" t="str">
        <f t="shared" ref="C15:K15" si="11">C14/C8</f>
        <v>#ERROR!</v>
      </c>
      <c r="D15" s="234" t="str">
        <f t="shared" si="11"/>
        <v>#REF!</v>
      </c>
      <c r="E15" s="234" t="str">
        <f t="shared" si="11"/>
        <v>#REF!</v>
      </c>
      <c r="F15" s="234" t="str">
        <f t="shared" si="11"/>
        <v>#REF!</v>
      </c>
      <c r="G15" s="234" t="str">
        <f t="shared" si="11"/>
        <v>#ERROR!</v>
      </c>
      <c r="H15" s="234" t="str">
        <f t="shared" si="11"/>
        <v>#ERROR!</v>
      </c>
      <c r="I15" s="234" t="str">
        <f t="shared" si="11"/>
        <v>#ERROR!</v>
      </c>
      <c r="J15" s="234" t="str">
        <f t="shared" si="11"/>
        <v>#ERROR!</v>
      </c>
      <c r="K15" s="234" t="str">
        <f t="shared" si="11"/>
        <v>#ERROR!</v>
      </c>
    </row>
    <row r="16" ht="15.75" customHeight="1">
      <c r="B16" s="231"/>
      <c r="C16" s="229" t="str">
        <f>'Summary Sheet - April 2026'!O16</f>
        <v/>
      </c>
      <c r="D16" s="229"/>
      <c r="E16" s="229" t="str">
        <f t="shared" ref="E16:F16" si="12">#REF!</f>
        <v>#REF!</v>
      </c>
      <c r="F16" s="229" t="str">
        <f t="shared" si="12"/>
        <v>#REF!</v>
      </c>
      <c r="G16" s="229"/>
      <c r="H16" s="229"/>
      <c r="I16" s="229"/>
      <c r="J16" s="229"/>
      <c r="K16" s="229"/>
    </row>
    <row r="17" ht="15.75" customHeight="1">
      <c r="B17" s="231" t="s">
        <v>33</v>
      </c>
      <c r="C17" s="232">
        <f>'Summary Sheet - April 2026'!AA19</f>
        <v>229487.8233</v>
      </c>
      <c r="D17" s="232" t="str">
        <f t="shared" ref="D17:F17" si="13">#REF!</f>
        <v>#REF!</v>
      </c>
      <c r="E17" s="232" t="str">
        <f t="shared" si="13"/>
        <v>#REF!</v>
      </c>
      <c r="F17" s="232" t="str">
        <f t="shared" si="13"/>
        <v>#REF!</v>
      </c>
      <c r="G17" s="232" t="str">
        <f>'Mg St LP'!#REF!</f>
        <v>#ERROR!</v>
      </c>
      <c r="H17" s="232" t="str">
        <f>'Mg St LP'!#REF!</f>
        <v>#ERROR!</v>
      </c>
      <c r="I17" s="232" t="str">
        <f>'Mg St LP'!#REF!</f>
        <v>#ERROR!</v>
      </c>
      <c r="J17" s="232" t="str">
        <f>'Mg St LP'!#REF!</f>
        <v>#ERROR!</v>
      </c>
      <c r="K17" s="232" t="str">
        <f>'Mg St LP'!#REF!</f>
        <v>#ERROR!</v>
      </c>
    </row>
    <row r="18" ht="15.75" customHeight="1">
      <c r="B18" s="231" t="s">
        <v>34</v>
      </c>
      <c r="C18" s="232">
        <f>'Summary Sheet - April 2026'!AA20</f>
        <v>98796.5</v>
      </c>
      <c r="D18" s="232" t="str">
        <f t="shared" ref="D18:F18" si="14">#REF!</f>
        <v>#REF!</v>
      </c>
      <c r="E18" s="232" t="str">
        <f t="shared" si="14"/>
        <v>#REF!</v>
      </c>
      <c r="F18" s="232" t="str">
        <f t="shared" si="14"/>
        <v>#REF!</v>
      </c>
      <c r="G18" s="232" t="str">
        <f>'Mg St LP'!#REF!</f>
        <v>#ERROR!</v>
      </c>
      <c r="H18" s="232" t="str">
        <f>'Mg St LP'!#REF!</f>
        <v>#ERROR!</v>
      </c>
      <c r="I18" s="232" t="str">
        <f>'Mg St LP'!#REF!</f>
        <v>#ERROR!</v>
      </c>
      <c r="J18" s="232" t="str">
        <f>'Mg St LP'!#REF!</f>
        <v>#ERROR!</v>
      </c>
      <c r="K18" s="232" t="str">
        <f>'Mg St LP'!#REF!</f>
        <v>#ERROR!</v>
      </c>
    </row>
    <row r="19" ht="15.75" customHeight="1">
      <c r="B19" s="231" t="s">
        <v>35</v>
      </c>
      <c r="C19" s="232">
        <f>'Summary Sheet - April 2026'!AA21</f>
        <v>674779.24</v>
      </c>
      <c r="D19" s="232" t="str">
        <f t="shared" ref="D19:F19" si="15">#REF!</f>
        <v>#REF!</v>
      </c>
      <c r="E19" s="232" t="str">
        <f t="shared" si="15"/>
        <v>#REF!</v>
      </c>
      <c r="F19" s="232" t="str">
        <f t="shared" si="15"/>
        <v>#REF!</v>
      </c>
      <c r="G19" s="232" t="str">
        <f>'Mg St LP'!#REF!</f>
        <v>#ERROR!</v>
      </c>
      <c r="H19" s="232" t="str">
        <f>'Mg St LP'!#REF!</f>
        <v>#ERROR!</v>
      </c>
      <c r="I19" s="232" t="str">
        <f>'Mg St LP'!#REF!</f>
        <v>#ERROR!</v>
      </c>
      <c r="J19" s="232" t="str">
        <f>'Mg St LP'!#REF!</f>
        <v>#ERROR!</v>
      </c>
      <c r="K19" s="232" t="str">
        <f>'Mg St LP'!#REF!</f>
        <v>#ERROR!</v>
      </c>
    </row>
    <row r="20" ht="15.75" customHeight="1">
      <c r="B20" s="231" t="s">
        <v>36</v>
      </c>
      <c r="C20" s="232">
        <f>'Summary Sheet - April 2026'!AA22</f>
        <v>1093486</v>
      </c>
      <c r="D20" s="232" t="str">
        <f t="shared" ref="D20:F20" si="16">#REF!</f>
        <v>#REF!</v>
      </c>
      <c r="E20" s="232" t="str">
        <f t="shared" si="16"/>
        <v>#REF!</v>
      </c>
      <c r="F20" s="232" t="str">
        <f t="shared" si="16"/>
        <v>#REF!</v>
      </c>
      <c r="G20" s="232" t="str">
        <f>'Mg St LP'!#REF!</f>
        <v>#ERROR!</v>
      </c>
      <c r="H20" s="232" t="str">
        <f>'Mg St LP'!#REF!</f>
        <v>#ERROR!</v>
      </c>
      <c r="I20" s="232" t="str">
        <f>'Mg St LP'!#REF!</f>
        <v>#ERROR!</v>
      </c>
      <c r="J20" s="232" t="str">
        <f>'Mg St LP'!#REF!</f>
        <v>#ERROR!</v>
      </c>
      <c r="K20" s="232" t="str">
        <f>'Mg St LP'!#REF!</f>
        <v>#ERROR!</v>
      </c>
    </row>
    <row r="21" ht="15.75" customHeight="1">
      <c r="B21" s="231" t="s">
        <v>37</v>
      </c>
      <c r="C21" s="232">
        <f>'Summary Sheet - April 2026'!AA23</f>
        <v>1746002.687</v>
      </c>
      <c r="D21" s="232" t="str">
        <f t="shared" ref="D21:F21" si="17">#REF!</f>
        <v>#REF!</v>
      </c>
      <c r="E21" s="232" t="str">
        <f t="shared" si="17"/>
        <v>#REF!</v>
      </c>
      <c r="F21" s="232" t="str">
        <f t="shared" si="17"/>
        <v>#REF!</v>
      </c>
      <c r="G21" s="232" t="str">
        <f>'Mg St LP'!#REF!</f>
        <v>#ERROR!</v>
      </c>
      <c r="H21" s="232" t="str">
        <f>'Mg St LP'!#REF!</f>
        <v>#ERROR!</v>
      </c>
      <c r="I21" s="232" t="str">
        <f>'Mg St LP'!#REF!</f>
        <v>#ERROR!</v>
      </c>
      <c r="J21" s="232" t="str">
        <f>'Mg St LP'!#REF!</f>
        <v>#ERROR!</v>
      </c>
      <c r="K21" s="232" t="str">
        <f>'Mg St LP'!#REF!</f>
        <v>#ERROR!</v>
      </c>
    </row>
    <row r="22" ht="15.75" customHeight="1">
      <c r="B22" s="231" t="s">
        <v>38</v>
      </c>
      <c r="C22" s="232">
        <f>'Summary Sheet - April 2026'!AA24</f>
        <v>25508</v>
      </c>
      <c r="D22" s="232" t="str">
        <f t="shared" ref="D22:F22" si="18">#REF!</f>
        <v>#REF!</v>
      </c>
      <c r="E22" s="232" t="str">
        <f t="shared" si="18"/>
        <v>#REF!</v>
      </c>
      <c r="F22" s="232" t="str">
        <f t="shared" si="18"/>
        <v>#REF!</v>
      </c>
      <c r="G22" s="232" t="str">
        <f>'Mg St LP'!#REF!</f>
        <v>#ERROR!</v>
      </c>
      <c r="H22" s="232" t="str">
        <f>'Mg St LP'!#REF!</f>
        <v>#ERROR!</v>
      </c>
      <c r="I22" s="232" t="str">
        <f>'Mg St LP'!#REF!</f>
        <v>#ERROR!</v>
      </c>
      <c r="J22" s="232" t="str">
        <f>'Mg St LP'!#REF!</f>
        <v>#ERROR!</v>
      </c>
      <c r="K22" s="232" t="str">
        <f>'Mg St LP'!#REF!</f>
        <v>#ERROR!</v>
      </c>
    </row>
    <row r="23" ht="15.75" customHeight="1">
      <c r="B23" s="231" t="s">
        <v>39</v>
      </c>
      <c r="C23" s="232">
        <f>'Summary Sheet - April 2026'!AA25</f>
        <v>49820.33333</v>
      </c>
      <c r="D23" s="232" t="str">
        <f t="shared" ref="D23:F23" si="19">#REF!</f>
        <v>#REF!</v>
      </c>
      <c r="E23" s="232" t="str">
        <f t="shared" si="19"/>
        <v>#REF!</v>
      </c>
      <c r="F23" s="232" t="str">
        <f t="shared" si="19"/>
        <v>#REF!</v>
      </c>
      <c r="G23" s="232" t="str">
        <f>'Mg St LP'!#REF!</f>
        <v>#ERROR!</v>
      </c>
      <c r="H23" s="232" t="str">
        <f>'Mg St LP'!#REF!</f>
        <v>#ERROR!</v>
      </c>
      <c r="I23" s="232" t="str">
        <f>'Mg St LP'!#REF!</f>
        <v>#ERROR!</v>
      </c>
      <c r="J23" s="232" t="str">
        <f>'Mg St LP'!#REF!</f>
        <v>#ERROR!</v>
      </c>
      <c r="K23" s="232" t="str">
        <f>'Mg St LP'!#REF!</f>
        <v>#ERROR!</v>
      </c>
    </row>
    <row r="24" ht="15.75" customHeight="1">
      <c r="B24" s="231" t="s">
        <v>40</v>
      </c>
      <c r="C24" s="232">
        <f>'Summary Sheet - April 2026'!AA26</f>
        <v>327269.25</v>
      </c>
      <c r="D24" s="232" t="str">
        <f t="shared" ref="D24:F24" si="20">#REF!</f>
        <v>#REF!</v>
      </c>
      <c r="E24" s="232" t="str">
        <f t="shared" si="20"/>
        <v>#REF!</v>
      </c>
      <c r="F24" s="232" t="str">
        <f t="shared" si="20"/>
        <v>#REF!</v>
      </c>
      <c r="G24" s="232" t="str">
        <f>'Mg St LP'!#REF!</f>
        <v>#ERROR!</v>
      </c>
      <c r="H24" s="232" t="str">
        <f>'Mg St LP'!#REF!</f>
        <v>#ERROR!</v>
      </c>
      <c r="I24" s="232" t="str">
        <f>'Mg St LP'!#REF!</f>
        <v>#ERROR!</v>
      </c>
      <c r="J24" s="232" t="str">
        <f>'Mg St LP'!#REF!</f>
        <v>#ERROR!</v>
      </c>
      <c r="K24" s="232" t="str">
        <f>'Mg St LP'!#REF!</f>
        <v>#ERROR!</v>
      </c>
    </row>
    <row r="25" ht="15.75" customHeight="1">
      <c r="B25" s="231" t="s">
        <v>41</v>
      </c>
      <c r="C25" s="232">
        <f>'Summary Sheet - April 2026'!AA27</f>
        <v>0</v>
      </c>
      <c r="D25" s="232" t="str">
        <f t="shared" ref="D25:F25" si="21">#REF!</f>
        <v>#REF!</v>
      </c>
      <c r="E25" s="232" t="str">
        <f t="shared" si="21"/>
        <v>#REF!</v>
      </c>
      <c r="F25" s="232" t="str">
        <f t="shared" si="21"/>
        <v>#REF!</v>
      </c>
      <c r="G25" s="232">
        <v>0.0</v>
      </c>
      <c r="H25" s="232">
        <v>0.0</v>
      </c>
      <c r="I25" s="232" t="str">
        <f>'Mg St LP'!#REF!</f>
        <v>#ERROR!</v>
      </c>
      <c r="J25" s="232" t="str">
        <f>'Mg St LP'!#REF!</f>
        <v>#ERROR!</v>
      </c>
      <c r="K25" s="232" t="str">
        <f>'Mg St LP'!#REF!</f>
        <v>#ERROR!</v>
      </c>
    </row>
    <row r="26" ht="15.75" customHeight="1">
      <c r="B26" s="231" t="s">
        <v>42</v>
      </c>
      <c r="C26" s="232">
        <f>'Summary Sheet - April 2026'!AA28</f>
        <v>0</v>
      </c>
      <c r="D26" s="232" t="str">
        <f t="shared" ref="D26:F26" si="22">#REF!</f>
        <v>#REF!</v>
      </c>
      <c r="E26" s="232" t="str">
        <f t="shared" si="22"/>
        <v>#REF!</v>
      </c>
      <c r="F26" s="232" t="str">
        <f t="shared" si="22"/>
        <v>#REF!</v>
      </c>
      <c r="G26" s="232">
        <v>0.0</v>
      </c>
      <c r="H26" s="232">
        <v>0.0</v>
      </c>
      <c r="I26" s="232">
        <v>0.0</v>
      </c>
      <c r="J26" s="232">
        <v>0.0</v>
      </c>
      <c r="K26" s="232">
        <v>0.0</v>
      </c>
    </row>
    <row r="27" ht="15.75" customHeight="1">
      <c r="B27" s="231" t="s">
        <v>43</v>
      </c>
      <c r="C27" s="233">
        <f t="shared" ref="C27:K27" si="23">SUM(C17:C26)</f>
        <v>4245149.833</v>
      </c>
      <c r="D27" s="233" t="str">
        <f t="shared" si="23"/>
        <v>#REF!</v>
      </c>
      <c r="E27" s="233" t="str">
        <f t="shared" si="23"/>
        <v>#REF!</v>
      </c>
      <c r="F27" s="233" t="str">
        <f t="shared" si="23"/>
        <v>#REF!</v>
      </c>
      <c r="G27" s="233" t="str">
        <f t="shared" si="23"/>
        <v>#ERROR!</v>
      </c>
      <c r="H27" s="233" t="str">
        <f t="shared" si="23"/>
        <v>#ERROR!</v>
      </c>
      <c r="I27" s="233" t="str">
        <f t="shared" si="23"/>
        <v>#ERROR!</v>
      </c>
      <c r="J27" s="233" t="str">
        <f t="shared" si="23"/>
        <v>#ERROR!</v>
      </c>
      <c r="K27" s="233" t="str">
        <f t="shared" si="23"/>
        <v>#ERROR!</v>
      </c>
    </row>
    <row r="28" ht="15.75" customHeight="1">
      <c r="B28" s="231"/>
      <c r="C28" s="229"/>
      <c r="D28" s="229"/>
      <c r="E28" s="229" t="str">
        <f t="shared" ref="E28:F28" si="24">#REF!</f>
        <v>#REF!</v>
      </c>
      <c r="F28" s="229" t="str">
        <f t="shared" si="24"/>
        <v>#REF!</v>
      </c>
      <c r="G28" s="229"/>
      <c r="H28" s="229"/>
      <c r="I28" s="229"/>
      <c r="J28" s="229"/>
      <c r="K28" s="229"/>
    </row>
    <row r="29" ht="15.75" customHeight="1">
      <c r="B29" s="231" t="s">
        <v>44</v>
      </c>
      <c r="C29" s="233" t="str">
        <f t="shared" ref="C29:K29" si="25">C14-C27</f>
        <v>#ERROR!</v>
      </c>
      <c r="D29" s="233" t="str">
        <f t="shared" si="25"/>
        <v>#REF!</v>
      </c>
      <c r="E29" s="233" t="str">
        <f t="shared" si="25"/>
        <v>#REF!</v>
      </c>
      <c r="F29" s="233" t="str">
        <f t="shared" si="25"/>
        <v>#REF!</v>
      </c>
      <c r="G29" s="233" t="str">
        <f t="shared" si="25"/>
        <v>#ERROR!</v>
      </c>
      <c r="H29" s="233" t="str">
        <f t="shared" si="25"/>
        <v>#ERROR!</v>
      </c>
      <c r="I29" s="233" t="str">
        <f t="shared" si="25"/>
        <v>#ERROR!</v>
      </c>
      <c r="J29" s="233" t="str">
        <f t="shared" si="25"/>
        <v>#ERROR!</v>
      </c>
      <c r="K29" s="233" t="str">
        <f t="shared" si="25"/>
        <v>#ERROR!</v>
      </c>
    </row>
    <row r="30" ht="15.75" customHeight="1">
      <c r="B30" s="231" t="s">
        <v>51</v>
      </c>
      <c r="C30" s="234" t="str">
        <f t="shared" ref="C30:K30" si="26">C29/C8</f>
        <v>#ERROR!</v>
      </c>
      <c r="D30" s="234" t="str">
        <f t="shared" si="26"/>
        <v>#REF!</v>
      </c>
      <c r="E30" s="234" t="str">
        <f t="shared" si="26"/>
        <v>#REF!</v>
      </c>
      <c r="F30" s="234" t="str">
        <f t="shared" si="26"/>
        <v>#REF!</v>
      </c>
      <c r="G30" s="234" t="str">
        <f t="shared" si="26"/>
        <v>#ERROR!</v>
      </c>
      <c r="H30" s="234" t="str">
        <f t="shared" si="26"/>
        <v>#ERROR!</v>
      </c>
      <c r="I30" s="234" t="str">
        <f t="shared" si="26"/>
        <v>#ERROR!</v>
      </c>
      <c r="J30" s="234" t="str">
        <f t="shared" si="26"/>
        <v>#ERROR!</v>
      </c>
      <c r="K30" s="234" t="str">
        <f t="shared" si="26"/>
        <v>#ERROR!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min="3" max="3" width="13.0"/>
    <col customWidth="1" hidden="1" min="4" max="4" width="10.63"/>
    <col customWidth="1" min="5" max="5" width="13.13"/>
    <col customWidth="1" hidden="1" min="6" max="6" width="10.63"/>
    <col customWidth="1" min="7" max="7" width="13.13"/>
    <col customWidth="1" hidden="1" min="8" max="8" width="10.63"/>
    <col customWidth="1" min="9" max="9" width="13.13"/>
    <col customWidth="1" hidden="1" min="10" max="10" width="11.88"/>
    <col customWidth="1" min="11" max="11" width="13.13"/>
    <col customWidth="1" hidden="1" min="12" max="12" width="13.13"/>
    <col customWidth="1" min="13" max="13" width="13.13"/>
    <col customWidth="1" hidden="1" min="14" max="14" width="10.63"/>
    <col customWidth="1" min="15" max="15" width="14.25"/>
    <col customWidth="1" hidden="1" min="16" max="16" width="10.63"/>
    <col customWidth="1" min="17" max="17" width="13.13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min="26" max="26" width="13.13"/>
    <col customWidth="1" min="27" max="27" width="12.75"/>
  </cols>
  <sheetData>
    <row r="1" ht="15.75" customHeight="1">
      <c r="A1" s="425"/>
      <c r="B1" s="425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2"/>
      <c r="W1" s="1162"/>
      <c r="X1" s="1162"/>
      <c r="Y1" s="1163"/>
      <c r="Z1" s="1163"/>
      <c r="AA1" s="1162"/>
    </row>
    <row r="2" ht="15.75" customHeight="1">
      <c r="A2" s="425"/>
      <c r="B2" s="713" t="s">
        <v>157</v>
      </c>
      <c r="C2" s="1162"/>
      <c r="D2" s="1162"/>
      <c r="E2" s="1162"/>
      <c r="F2" s="1162"/>
      <c r="G2" s="1162"/>
      <c r="H2" s="1162"/>
      <c r="I2" s="1162"/>
      <c r="J2" s="1162"/>
      <c r="K2" s="1162"/>
      <c r="L2" s="1162"/>
      <c r="M2" s="1162"/>
      <c r="N2" s="1162"/>
      <c r="O2" s="1162"/>
      <c r="P2" s="1162"/>
      <c r="Q2" s="1162"/>
      <c r="R2" s="1162"/>
      <c r="S2" s="1162"/>
      <c r="T2" s="1162"/>
      <c r="U2" s="1162"/>
      <c r="V2" s="1162"/>
      <c r="W2" s="1162"/>
      <c r="X2" s="1162"/>
      <c r="Y2" s="1163"/>
      <c r="Z2" s="1163"/>
      <c r="AA2" s="1162"/>
    </row>
    <row r="3" ht="15.75" customHeight="1">
      <c r="A3" s="425"/>
      <c r="B3" s="426" t="s">
        <v>413</v>
      </c>
      <c r="C3" s="1162"/>
      <c r="D3" s="1162"/>
      <c r="E3" s="1162"/>
      <c r="F3" s="1162"/>
      <c r="G3" s="1162"/>
      <c r="H3" s="1162"/>
      <c r="I3" s="1162"/>
      <c r="J3" s="1162"/>
      <c r="K3" s="1162"/>
      <c r="L3" s="1162"/>
      <c r="M3" s="1162"/>
      <c r="N3" s="1162"/>
      <c r="O3" s="1162"/>
      <c r="P3" s="1162"/>
      <c r="Q3" s="1162"/>
      <c r="R3" s="1162"/>
      <c r="S3" s="1162"/>
      <c r="T3" s="1162"/>
      <c r="U3" s="1162"/>
      <c r="V3" s="1162"/>
      <c r="W3" s="1162"/>
      <c r="X3" s="1162"/>
      <c r="Y3" s="1163"/>
      <c r="Z3" s="1163"/>
      <c r="AA3" s="1162"/>
    </row>
    <row r="4" ht="15.75" customHeight="1">
      <c r="A4" s="425"/>
      <c r="B4" s="425"/>
      <c r="C4" s="1164"/>
      <c r="D4" s="1164"/>
      <c r="E4" s="1164"/>
      <c r="F4" s="1164"/>
      <c r="G4" s="1164"/>
      <c r="H4" s="1164"/>
      <c r="I4" s="1164"/>
      <c r="J4" s="1164"/>
      <c r="K4" s="235"/>
      <c r="L4" s="235"/>
      <c r="M4" s="1162"/>
      <c r="N4" s="1162"/>
      <c r="O4" s="1162"/>
      <c r="P4" s="1162"/>
      <c r="Q4" s="1162"/>
      <c r="R4" s="1162"/>
      <c r="S4" s="1162"/>
      <c r="T4" s="1162"/>
      <c r="U4" s="1162"/>
      <c r="V4" s="1162"/>
      <c r="W4" s="1162"/>
      <c r="X4" s="1162"/>
      <c r="Y4" s="1163"/>
      <c r="Z4" s="1163"/>
      <c r="AA4" s="1162"/>
    </row>
    <row r="5" ht="15.75" customHeight="1">
      <c r="A5" s="425"/>
      <c r="B5" s="1165" t="s">
        <v>166</v>
      </c>
      <c r="C5" s="1166">
        <v>45748.0</v>
      </c>
      <c r="D5" s="12"/>
      <c r="E5" s="1166">
        <v>45778.0</v>
      </c>
      <c r="F5" s="12"/>
      <c r="G5" s="1166">
        <v>45809.0</v>
      </c>
      <c r="H5" s="12"/>
      <c r="I5" s="1166">
        <v>45839.0</v>
      </c>
      <c r="J5" s="11"/>
      <c r="K5" s="1166">
        <v>45870.0</v>
      </c>
      <c r="L5" s="12"/>
      <c r="M5" s="1166">
        <v>45901.0</v>
      </c>
      <c r="N5" s="12"/>
      <c r="O5" s="1166">
        <v>45931.0</v>
      </c>
      <c r="P5" s="12"/>
      <c r="Q5" s="1167" t="s">
        <v>402</v>
      </c>
      <c r="R5" s="12"/>
      <c r="S5" s="1167" t="s">
        <v>403</v>
      </c>
      <c r="T5" s="12"/>
      <c r="U5" s="1167" t="s">
        <v>414</v>
      </c>
      <c r="V5" s="12"/>
      <c r="W5" s="1167" t="s">
        <v>415</v>
      </c>
      <c r="X5" s="12"/>
      <c r="Y5" s="1168" t="s">
        <v>416</v>
      </c>
      <c r="Z5" s="1168" t="s">
        <v>19</v>
      </c>
      <c r="AA5" s="1168" t="s">
        <v>417</v>
      </c>
    </row>
    <row r="6" ht="15.75" customHeight="1">
      <c r="A6" s="425"/>
      <c r="B6" s="1169" t="s">
        <v>418</v>
      </c>
      <c r="C6" s="1170" t="s">
        <v>17</v>
      </c>
      <c r="D6" s="1171" t="s">
        <v>419</v>
      </c>
      <c r="E6" s="1170" t="s">
        <v>17</v>
      </c>
      <c r="F6" s="1171" t="s">
        <v>419</v>
      </c>
      <c r="G6" s="1170" t="s">
        <v>17</v>
      </c>
      <c r="H6" s="1171" t="s">
        <v>419</v>
      </c>
      <c r="I6" s="1170" t="s">
        <v>17</v>
      </c>
      <c r="J6" s="1172" t="s">
        <v>419</v>
      </c>
      <c r="K6" s="1170" t="s">
        <v>17</v>
      </c>
      <c r="L6" s="1171" t="s">
        <v>419</v>
      </c>
      <c r="M6" s="1170" t="s">
        <v>17</v>
      </c>
      <c r="N6" s="1171" t="s">
        <v>419</v>
      </c>
      <c r="O6" s="1170" t="s">
        <v>17</v>
      </c>
      <c r="P6" s="1171" t="s">
        <v>419</v>
      </c>
      <c r="Q6" s="1170" t="s">
        <v>17</v>
      </c>
      <c r="R6" s="1171" t="s">
        <v>419</v>
      </c>
      <c r="S6" s="1170" t="s">
        <v>17</v>
      </c>
      <c r="T6" s="1171" t="s">
        <v>419</v>
      </c>
      <c r="U6" s="1170" t="s">
        <v>17</v>
      </c>
      <c r="V6" s="1171" t="s">
        <v>419</v>
      </c>
      <c r="W6" s="1170" t="s">
        <v>17</v>
      </c>
      <c r="X6" s="1171" t="s">
        <v>419</v>
      </c>
      <c r="Y6" s="433"/>
      <c r="Z6" s="433"/>
      <c r="AA6" s="433"/>
    </row>
    <row r="7" ht="15.75" customHeight="1">
      <c r="A7" s="425"/>
      <c r="B7" s="481" t="s">
        <v>21</v>
      </c>
      <c r="C7" s="448">
        <f>'The Table'!D24</f>
        <v>1172105</v>
      </c>
      <c r="D7" s="1173" t="str">
        <f t="shared" ref="D7:D12" si="1">C7/$C$12</f>
        <v>#ERROR!</v>
      </c>
      <c r="E7" s="676" t="str">
        <f t="shared" ref="E7:E10" si="2">#REF!</f>
        <v>#REF!</v>
      </c>
      <c r="F7" s="1173" t="str">
        <f t="shared" ref="F7:F11" si="3">E7/$E$12</f>
        <v>#REF!</v>
      </c>
      <c r="G7" s="676" t="str">
        <f t="shared" ref="G7:G10" si="4">#REF!</f>
        <v>#REF!</v>
      </c>
      <c r="H7" s="1173" t="str">
        <f t="shared" ref="H7:H11" si="5">G7/$G$12</f>
        <v>#REF!</v>
      </c>
      <c r="I7" s="676" t="str">
        <f t="shared" ref="I7:I10" si="6">#REF!</f>
        <v>#REF!</v>
      </c>
      <c r="J7" s="1174" t="str">
        <f t="shared" ref="J7:J11" si="7">I7/$I$12</f>
        <v>#REF!</v>
      </c>
      <c r="K7" s="676" t="str">
        <f t="shared" ref="K7:K10" si="8">#REF!</f>
        <v>#REF!</v>
      </c>
      <c r="L7" s="1173" t="str">
        <f t="shared" ref="L7:L11" si="9">K7/$K$12</f>
        <v>#REF!</v>
      </c>
      <c r="M7" s="676" t="str">
        <f>'The Table'!#REF!</f>
        <v>#ERROR!</v>
      </c>
      <c r="N7" s="1173" t="str">
        <f t="shared" ref="N7:N11" si="10">M7/$M$12</f>
        <v>#ERROR!</v>
      </c>
      <c r="O7" s="676" t="str">
        <f>'The Table'!#REF!</f>
        <v>#ERROR!</v>
      </c>
      <c r="P7" s="1173" t="str">
        <f t="shared" ref="P7:P11" si="11">O7/$O$12</f>
        <v>#ERROR!</v>
      </c>
      <c r="Q7" s="676" t="str">
        <f>'The Table'!#REF!</f>
        <v>#ERROR!</v>
      </c>
      <c r="R7" s="1173" t="str">
        <f t="shared" ref="R7:R11" si="12">Q7/$Q$12</f>
        <v>#ERROR!</v>
      </c>
      <c r="S7" s="676" t="str">
        <f>'The Table'!#REF!</f>
        <v>#ERROR!</v>
      </c>
      <c r="T7" s="1173" t="str">
        <f t="shared" ref="T7:T11" si="13">S7/$S$12</f>
        <v>#ERROR!</v>
      </c>
      <c r="U7" s="676" t="str">
        <f>'The Table'!#REF!</f>
        <v>#ERROR!</v>
      </c>
      <c r="V7" s="1173" t="str">
        <f t="shared" ref="V7:V11" si="14">U7/$U$12</f>
        <v>#ERROR!</v>
      </c>
      <c r="W7" s="676" t="str">
        <f>'The Table'!#REF!</f>
        <v>#ERROR!</v>
      </c>
      <c r="X7" s="1174" t="str">
        <f t="shared" ref="X7:X11" si="15">W7/$W$12</f>
        <v>#ERROR!</v>
      </c>
      <c r="Y7" s="1175" t="str">
        <f t="shared" ref="Y7:Y11" si="16">C7+E7+G7+I7+K7+M7+O7+Q7+S7+U7+W7</f>
        <v>#REF!</v>
      </c>
      <c r="Z7" s="1175" t="str">
        <f>'The Table'!#REF!</f>
        <v>#ERROR!</v>
      </c>
      <c r="AA7" s="1176" t="str">
        <f t="shared" ref="AA7:AA10" si="17">Y7/Z7</f>
        <v>#REF!</v>
      </c>
    </row>
    <row r="8" ht="15.75" customHeight="1">
      <c r="A8" s="425"/>
      <c r="B8" s="450" t="s">
        <v>22</v>
      </c>
      <c r="C8" s="452">
        <f>'The Table'!D25</f>
        <v>4966546</v>
      </c>
      <c r="D8" s="1177" t="str">
        <f t="shared" si="1"/>
        <v>#ERROR!</v>
      </c>
      <c r="E8" s="684" t="str">
        <f t="shared" si="2"/>
        <v>#REF!</v>
      </c>
      <c r="F8" s="1177" t="str">
        <f t="shared" si="3"/>
        <v>#REF!</v>
      </c>
      <c r="G8" s="684" t="str">
        <f t="shared" si="4"/>
        <v>#REF!</v>
      </c>
      <c r="H8" s="1173" t="str">
        <f t="shared" si="5"/>
        <v>#REF!</v>
      </c>
      <c r="I8" s="684" t="str">
        <f t="shared" si="6"/>
        <v>#REF!</v>
      </c>
      <c r="J8" s="1174" t="str">
        <f t="shared" si="7"/>
        <v>#REF!</v>
      </c>
      <c r="K8" s="684" t="str">
        <f t="shared" si="8"/>
        <v>#REF!</v>
      </c>
      <c r="L8" s="1173" t="str">
        <f t="shared" si="9"/>
        <v>#REF!</v>
      </c>
      <c r="M8" s="684" t="str">
        <f>'The Table'!#REF!</f>
        <v>#ERROR!</v>
      </c>
      <c r="N8" s="1173" t="str">
        <f t="shared" si="10"/>
        <v>#ERROR!</v>
      </c>
      <c r="O8" s="684" t="str">
        <f>'The Table'!#REF!</f>
        <v>#ERROR!</v>
      </c>
      <c r="P8" s="1173" t="str">
        <f t="shared" si="11"/>
        <v>#ERROR!</v>
      </c>
      <c r="Q8" s="684" t="str">
        <f>'The Table'!#REF!</f>
        <v>#ERROR!</v>
      </c>
      <c r="R8" s="1173" t="str">
        <f t="shared" si="12"/>
        <v>#ERROR!</v>
      </c>
      <c r="S8" s="684" t="str">
        <f>'The Table'!#REF!</f>
        <v>#ERROR!</v>
      </c>
      <c r="T8" s="1173" t="str">
        <f t="shared" si="13"/>
        <v>#ERROR!</v>
      </c>
      <c r="U8" s="676" t="str">
        <f>'The Table'!#REF!</f>
        <v>#ERROR!</v>
      </c>
      <c r="V8" s="1173" t="str">
        <f t="shared" si="14"/>
        <v>#ERROR!</v>
      </c>
      <c r="W8" s="676" t="str">
        <f>'The Table'!#REF!</f>
        <v>#ERROR!</v>
      </c>
      <c r="X8" s="1174" t="str">
        <f t="shared" si="15"/>
        <v>#ERROR!</v>
      </c>
      <c r="Y8" s="1175" t="str">
        <f t="shared" si="16"/>
        <v>#REF!</v>
      </c>
      <c r="Z8" s="1175" t="str">
        <f>'The Table'!#REF!</f>
        <v>#ERROR!</v>
      </c>
      <c r="AA8" s="1178" t="str">
        <f t="shared" si="17"/>
        <v>#REF!</v>
      </c>
    </row>
    <row r="9" ht="15.75" customHeight="1">
      <c r="A9" s="425"/>
      <c r="B9" s="450" t="s">
        <v>23</v>
      </c>
      <c r="C9" s="452">
        <f>'The Table'!D26</f>
        <v>12668923.87</v>
      </c>
      <c r="D9" s="1177" t="str">
        <f t="shared" si="1"/>
        <v>#ERROR!</v>
      </c>
      <c r="E9" s="684" t="str">
        <f t="shared" si="2"/>
        <v>#REF!</v>
      </c>
      <c r="F9" s="1177" t="str">
        <f t="shared" si="3"/>
        <v>#REF!</v>
      </c>
      <c r="G9" s="684" t="str">
        <f t="shared" si="4"/>
        <v>#REF!</v>
      </c>
      <c r="H9" s="1173" t="str">
        <f t="shared" si="5"/>
        <v>#REF!</v>
      </c>
      <c r="I9" s="684" t="str">
        <f t="shared" si="6"/>
        <v>#REF!</v>
      </c>
      <c r="J9" s="1174" t="str">
        <f t="shared" si="7"/>
        <v>#REF!</v>
      </c>
      <c r="K9" s="684" t="str">
        <f t="shared" si="8"/>
        <v>#REF!</v>
      </c>
      <c r="L9" s="1173" t="str">
        <f t="shared" si="9"/>
        <v>#REF!</v>
      </c>
      <c r="M9" s="684" t="str">
        <f>'The Table'!#REF!</f>
        <v>#ERROR!</v>
      </c>
      <c r="N9" s="1173" t="str">
        <f t="shared" si="10"/>
        <v>#ERROR!</v>
      </c>
      <c r="O9" s="684" t="str">
        <f>'The Table'!#REF!</f>
        <v>#ERROR!</v>
      </c>
      <c r="P9" s="1173" t="str">
        <f t="shared" si="11"/>
        <v>#ERROR!</v>
      </c>
      <c r="Q9" s="684" t="str">
        <f>'The Table'!#REF!</f>
        <v>#ERROR!</v>
      </c>
      <c r="R9" s="1173" t="str">
        <f t="shared" si="12"/>
        <v>#ERROR!</v>
      </c>
      <c r="S9" s="684" t="str">
        <f>'The Table'!#REF!</f>
        <v>#ERROR!</v>
      </c>
      <c r="T9" s="1173" t="str">
        <f t="shared" si="13"/>
        <v>#ERROR!</v>
      </c>
      <c r="U9" s="676" t="str">
        <f>'The Table'!#REF!</f>
        <v>#ERROR!</v>
      </c>
      <c r="V9" s="1173" t="str">
        <f t="shared" si="14"/>
        <v>#ERROR!</v>
      </c>
      <c r="W9" s="676" t="str">
        <f>'The Table'!#REF!</f>
        <v>#ERROR!</v>
      </c>
      <c r="X9" s="1174" t="str">
        <f t="shared" si="15"/>
        <v>#ERROR!</v>
      </c>
      <c r="Y9" s="1175" t="str">
        <f t="shared" si="16"/>
        <v>#REF!</v>
      </c>
      <c r="Z9" s="1175" t="str">
        <f>'The Table'!#REF!</f>
        <v>#ERROR!</v>
      </c>
      <c r="AA9" s="1178" t="str">
        <f t="shared" si="17"/>
        <v>#REF!</v>
      </c>
    </row>
    <row r="10" ht="15.75" customHeight="1">
      <c r="A10" s="425"/>
      <c r="B10" s="450" t="s">
        <v>24</v>
      </c>
      <c r="C10" s="452">
        <f>'The Table'!D28</f>
        <v>1719138</v>
      </c>
      <c r="D10" s="1177" t="str">
        <f t="shared" si="1"/>
        <v>#ERROR!</v>
      </c>
      <c r="E10" s="684" t="str">
        <f t="shared" si="2"/>
        <v>#REF!</v>
      </c>
      <c r="F10" s="1177" t="str">
        <f t="shared" si="3"/>
        <v>#REF!</v>
      </c>
      <c r="G10" s="684" t="str">
        <f t="shared" si="4"/>
        <v>#REF!</v>
      </c>
      <c r="H10" s="1173" t="str">
        <f t="shared" si="5"/>
        <v>#REF!</v>
      </c>
      <c r="I10" s="684" t="str">
        <f t="shared" si="6"/>
        <v>#REF!</v>
      </c>
      <c r="J10" s="1174" t="str">
        <f t="shared" si="7"/>
        <v>#REF!</v>
      </c>
      <c r="K10" s="684" t="str">
        <f t="shared" si="8"/>
        <v>#REF!</v>
      </c>
      <c r="L10" s="1173" t="str">
        <f t="shared" si="9"/>
        <v>#REF!</v>
      </c>
      <c r="M10" s="684" t="str">
        <f>'The Table'!#REF!</f>
        <v>#ERROR!</v>
      </c>
      <c r="N10" s="1173" t="str">
        <f t="shared" si="10"/>
        <v>#ERROR!</v>
      </c>
      <c r="O10" s="684" t="str">
        <f>'The Table'!#REF!</f>
        <v>#ERROR!</v>
      </c>
      <c r="P10" s="1173" t="str">
        <f t="shared" si="11"/>
        <v>#ERROR!</v>
      </c>
      <c r="Q10" s="684" t="str">
        <f>'The Table'!#REF!</f>
        <v>#ERROR!</v>
      </c>
      <c r="R10" s="1173" t="str">
        <f t="shared" si="12"/>
        <v>#ERROR!</v>
      </c>
      <c r="S10" s="684" t="str">
        <f>'The Table'!#REF!</f>
        <v>#ERROR!</v>
      </c>
      <c r="T10" s="1173" t="str">
        <f t="shared" si="13"/>
        <v>#ERROR!</v>
      </c>
      <c r="U10" s="684" t="str">
        <f>'The Table'!#REF!</f>
        <v>#ERROR!</v>
      </c>
      <c r="V10" s="1173" t="str">
        <f t="shared" si="14"/>
        <v>#ERROR!</v>
      </c>
      <c r="W10" s="684" t="str">
        <f>'The Table'!#REF!</f>
        <v>#ERROR!</v>
      </c>
      <c r="X10" s="1174" t="str">
        <f t="shared" si="15"/>
        <v>#ERROR!</v>
      </c>
      <c r="Y10" s="1175" t="str">
        <f t="shared" si="16"/>
        <v>#REF!</v>
      </c>
      <c r="Z10" s="1179" t="str">
        <f>'The Table'!#REF!</f>
        <v>#ERROR!</v>
      </c>
      <c r="AA10" s="1178" t="str">
        <f t="shared" si="17"/>
        <v>#REF!</v>
      </c>
    </row>
    <row r="11" ht="15.75" customHeight="1">
      <c r="A11" s="425"/>
      <c r="B11" s="468" t="s">
        <v>162</v>
      </c>
      <c r="C11" s="470" t="str">
        <f>'The Table'!D22+'The Table'!#REF!+'The Table'!#REF!</f>
        <v>#ERROR!</v>
      </c>
      <c r="D11" s="1180" t="str">
        <f t="shared" si="1"/>
        <v>#ERROR!</v>
      </c>
      <c r="E11" s="1181" t="str">
        <f>'The Table'!#REF!+'The Table'!#REF!+'The Table'!#REF!</f>
        <v>#ERROR!</v>
      </c>
      <c r="F11" s="1177" t="str">
        <f t="shared" si="3"/>
        <v>#ERROR!</v>
      </c>
      <c r="G11" s="678" t="str">
        <f>'The Table'!#REF!+'The Table'!#REF!+'The Table'!#REF!</f>
        <v>#ERROR!</v>
      </c>
      <c r="H11" s="1173" t="str">
        <f t="shared" si="5"/>
        <v>#ERROR!</v>
      </c>
      <c r="I11" s="678" t="str">
        <f>'The Table'!#REF!+'The Table'!#REF!+'The Table'!#REF!</f>
        <v>#ERROR!</v>
      </c>
      <c r="J11" s="1174" t="str">
        <f t="shared" si="7"/>
        <v>#ERROR!</v>
      </c>
      <c r="K11" s="678" t="str">
        <f>'The Table'!#REF!+'The Table'!#REF!+'The Table'!#REF!</f>
        <v>#ERROR!</v>
      </c>
      <c r="L11" s="1173" t="str">
        <f t="shared" si="9"/>
        <v>#ERROR!</v>
      </c>
      <c r="M11" s="678" t="str">
        <f>'The Table'!#REF!+'The Table'!#REF!+'The Table'!#REF!</f>
        <v>#ERROR!</v>
      </c>
      <c r="N11" s="1173" t="str">
        <f t="shared" si="10"/>
        <v>#ERROR!</v>
      </c>
      <c r="O11" s="678" t="str">
        <f>'The Table'!#REF!+'The Table'!#REF!+'The Table'!#REF!</f>
        <v>#ERROR!</v>
      </c>
      <c r="P11" s="1173" t="str">
        <f t="shared" si="11"/>
        <v>#ERROR!</v>
      </c>
      <c r="Q11" s="678" t="str">
        <f>'The Table'!#REF!+'The Table'!#REF!+'The Table'!#REF!</f>
        <v>#ERROR!</v>
      </c>
      <c r="R11" s="1173" t="str">
        <f t="shared" si="12"/>
        <v>#ERROR!</v>
      </c>
      <c r="S11" s="1181" t="str">
        <f>'The Table'!#REF!</f>
        <v>#ERROR!</v>
      </c>
      <c r="T11" s="1182" t="str">
        <f t="shared" si="13"/>
        <v>#ERROR!</v>
      </c>
      <c r="U11" s="1181" t="str">
        <f>'The Table'!#REF!+'The Table'!#REF!+'The Table'!#REF!</f>
        <v>#ERROR!</v>
      </c>
      <c r="V11" s="1173" t="str">
        <f t="shared" si="14"/>
        <v>#ERROR!</v>
      </c>
      <c r="W11" s="1183" t="str">
        <f>'The Table'!#REF!+'The Table'!#REF!+'The Table'!#REF!</f>
        <v>#ERROR!</v>
      </c>
      <c r="X11" s="1174" t="str">
        <f t="shared" si="15"/>
        <v>#ERROR!</v>
      </c>
      <c r="Y11" s="1175" t="str">
        <f t="shared" si="16"/>
        <v>#ERROR!</v>
      </c>
      <c r="Z11" s="1184">
        <v>0.0</v>
      </c>
      <c r="AA11" s="1178">
        <v>0.0</v>
      </c>
    </row>
    <row r="12" ht="15.75" customHeight="1">
      <c r="A12" s="425"/>
      <c r="B12" s="1165" t="s">
        <v>420</v>
      </c>
      <c r="C12" s="1185" t="str">
        <f>SUM(C7:C11)</f>
        <v>#ERROR!</v>
      </c>
      <c r="D12" s="1186" t="str">
        <f t="shared" si="1"/>
        <v>#ERROR!</v>
      </c>
      <c r="E12" s="1185" t="str">
        <f>SUM(E7:E11)</f>
        <v>#REF!</v>
      </c>
      <c r="F12" s="1186" t="str">
        <f>E12/E12</f>
        <v>#REF!</v>
      </c>
      <c r="G12" s="1185" t="str">
        <f>SUM(G7:G11)</f>
        <v>#REF!</v>
      </c>
      <c r="H12" s="1186" t="str">
        <f>G12/G12</f>
        <v>#REF!</v>
      </c>
      <c r="I12" s="1185" t="str">
        <f>SUM(I7:I11)</f>
        <v>#REF!</v>
      </c>
      <c r="J12" s="1187" t="str">
        <f>I12/I12</f>
        <v>#REF!</v>
      </c>
      <c r="K12" s="1185" t="str">
        <f>SUM(K7:K11)</f>
        <v>#REF!</v>
      </c>
      <c r="L12" s="1186" t="str">
        <f>K12/K12</f>
        <v>#REF!</v>
      </c>
      <c r="M12" s="1185" t="str">
        <f>SUM(M7:M11)</f>
        <v>#ERROR!</v>
      </c>
      <c r="N12" s="1186" t="str">
        <f>M12/M12</f>
        <v>#ERROR!</v>
      </c>
      <c r="O12" s="1185" t="str">
        <f>SUM(O7:O11)</f>
        <v>#ERROR!</v>
      </c>
      <c r="P12" s="1186" t="str">
        <f>O12/O12</f>
        <v>#ERROR!</v>
      </c>
      <c r="Q12" s="1185" t="str">
        <f>SUM(Q7:Q11)</f>
        <v>#ERROR!</v>
      </c>
      <c r="R12" s="1186" t="str">
        <f>Q12/Q12</f>
        <v>#ERROR!</v>
      </c>
      <c r="S12" s="1185" t="str">
        <f>SUM(S7:S11)</f>
        <v>#ERROR!</v>
      </c>
      <c r="T12" s="1186" t="str">
        <f>S12/S12</f>
        <v>#ERROR!</v>
      </c>
      <c r="U12" s="1185" t="str">
        <f>SUM(U7:U11)</f>
        <v>#ERROR!</v>
      </c>
      <c r="V12" s="1186" t="str">
        <f>U12/U12</f>
        <v>#ERROR!</v>
      </c>
      <c r="W12" s="1185" t="str">
        <f>SUM(W7:W11)</f>
        <v>#ERROR!</v>
      </c>
      <c r="X12" s="1187" t="str">
        <f>W12/W12</f>
        <v>#ERROR!</v>
      </c>
      <c r="Y12" s="1188" t="str">
        <f t="shared" ref="Y12:Z12" si="18">SUM(Y7:Y11)</f>
        <v>#REF!</v>
      </c>
      <c r="Z12" s="1188" t="str">
        <f t="shared" si="18"/>
        <v>#ERROR!</v>
      </c>
      <c r="AA12" s="1189" t="str">
        <f>Y12/Z12</f>
        <v>#REF!</v>
      </c>
    </row>
    <row r="13" ht="15.75" customHeight="1">
      <c r="A13" s="425"/>
      <c r="B13" s="481"/>
      <c r="C13" s="448"/>
      <c r="D13" s="1190"/>
      <c r="E13" s="1191"/>
      <c r="F13" s="1190"/>
      <c r="G13" s="1191"/>
      <c r="H13" s="1190"/>
      <c r="I13" s="1191"/>
      <c r="J13" s="1192"/>
      <c r="K13" s="1191"/>
      <c r="L13" s="1190"/>
      <c r="M13" s="1191"/>
      <c r="N13" s="1190"/>
      <c r="O13" s="1191"/>
      <c r="P13" s="1190"/>
      <c r="Q13" s="1191"/>
      <c r="R13" s="1190"/>
      <c r="S13" s="1191"/>
      <c r="T13" s="1190"/>
      <c r="U13" s="1191"/>
      <c r="V13" s="1190"/>
      <c r="W13" s="1191"/>
      <c r="X13" s="1192"/>
      <c r="Y13" s="1193"/>
      <c r="Z13" s="1193"/>
      <c r="AA13" s="1194"/>
    </row>
    <row r="14" ht="15.75" customHeight="1">
      <c r="A14" s="425"/>
      <c r="B14" s="558" t="s">
        <v>186</v>
      </c>
      <c r="C14" s="452"/>
      <c r="D14" s="1076"/>
      <c r="E14" s="1195"/>
      <c r="F14" s="1076"/>
      <c r="G14" s="1195"/>
      <c r="H14" s="1076"/>
      <c r="I14" s="1195"/>
      <c r="J14" s="1073"/>
      <c r="K14" s="1195"/>
      <c r="L14" s="1076"/>
      <c r="M14" s="1195"/>
      <c r="N14" s="1076"/>
      <c r="O14" s="1195"/>
      <c r="P14" s="1076"/>
      <c r="Q14" s="1195"/>
      <c r="R14" s="1076"/>
      <c r="S14" s="1195"/>
      <c r="T14" s="1076"/>
      <c r="U14" s="1195"/>
      <c r="V14" s="1076"/>
      <c r="W14" s="1195"/>
      <c r="X14" s="1073"/>
      <c r="Y14" s="1196"/>
      <c r="Z14" s="1196"/>
      <c r="AA14" s="465"/>
    </row>
    <row r="15" ht="15.75" customHeight="1">
      <c r="A15" s="425"/>
      <c r="B15" s="450" t="s">
        <v>28</v>
      </c>
      <c r="C15" s="452">
        <f>'The Table'!D39</f>
        <v>7063497.628</v>
      </c>
      <c r="D15" s="1177" t="str">
        <f t="shared" ref="D15:D18" si="19">C15/$C$12</f>
        <v>#ERROR!</v>
      </c>
      <c r="E15" s="684" t="str">
        <f t="shared" ref="E15:E16" si="20">#REF!</f>
        <v>#REF!</v>
      </c>
      <c r="F15" s="1177" t="str">
        <f t="shared" ref="F15:F17" si="21">E15/$E$12</f>
        <v>#REF!</v>
      </c>
      <c r="G15" s="684" t="str">
        <f>'The Table'!#REF!</f>
        <v>#ERROR!</v>
      </c>
      <c r="H15" s="1173" t="str">
        <f t="shared" ref="H15:H17" si="22">G15/$G$12</f>
        <v>#ERROR!</v>
      </c>
      <c r="I15" s="684" t="str">
        <f>'The Table'!#REF!</f>
        <v>#ERROR!</v>
      </c>
      <c r="J15" s="1197" t="str">
        <f t="shared" ref="J15:J18" si="23">I15/$I$12</f>
        <v>#ERROR!</v>
      </c>
      <c r="K15" s="684" t="str">
        <f t="shared" ref="K15:K16" si="24">#REF!</f>
        <v>#REF!</v>
      </c>
      <c r="L15" s="1173" t="str">
        <f t="shared" ref="L15:L16" si="25">K15/$K$12</f>
        <v>#REF!</v>
      </c>
      <c r="M15" s="684" t="str">
        <f>'The Table'!#REF!</f>
        <v>#ERROR!</v>
      </c>
      <c r="N15" s="1173" t="str">
        <f t="shared" ref="N15:N16" si="26">M15/$M$12</f>
        <v>#ERROR!</v>
      </c>
      <c r="O15" s="684" t="str">
        <f>'The Table'!#REF!</f>
        <v>#ERROR!</v>
      </c>
      <c r="P15" s="1173" t="str">
        <f t="shared" ref="P15:P16" si="27">O15/$O$12</f>
        <v>#ERROR!</v>
      </c>
      <c r="Q15" s="684" t="str">
        <f>'The Table'!#REF!</f>
        <v>#ERROR!</v>
      </c>
      <c r="R15" s="1177" t="str">
        <f t="shared" ref="R15:R16" si="28">Q15/$Q$12</f>
        <v>#ERROR!</v>
      </c>
      <c r="S15" s="684" t="str">
        <f>'The Table'!#REF!</f>
        <v>#ERROR!</v>
      </c>
      <c r="T15" s="1177" t="str">
        <f t="shared" ref="T15:T16" si="29">S15/$S$12</f>
        <v>#ERROR!</v>
      </c>
      <c r="U15" s="684" t="str">
        <f>'The Table'!#REF!</f>
        <v>#ERROR!</v>
      </c>
      <c r="V15" s="1173" t="str">
        <f t="shared" ref="V15:V16" si="30">U15/$U$12</f>
        <v>#ERROR!</v>
      </c>
      <c r="W15" s="684" t="str">
        <f>'The Table'!#REF!</f>
        <v>#ERROR!</v>
      </c>
      <c r="X15" s="1174" t="str">
        <f t="shared" ref="X15:X16" si="31">W15/$W$12</f>
        <v>#ERROR!</v>
      </c>
      <c r="Y15" s="1175" t="str">
        <f t="shared" ref="Y15:Y16" si="32">C15+E15+G15+I15+K15+M15+O15+Q15+S15+U15+W15</f>
        <v>#REF!</v>
      </c>
      <c r="Z15" s="1179" t="str">
        <f>'The Table'!#REF!</f>
        <v>#ERROR!</v>
      </c>
      <c r="AA15" s="1178" t="str">
        <f t="shared" ref="AA15:AA16" si="33">Y15/Z15</f>
        <v>#REF!</v>
      </c>
    </row>
    <row r="16" ht="15.75" customHeight="1">
      <c r="A16" s="425"/>
      <c r="B16" s="450" t="s">
        <v>29</v>
      </c>
      <c r="C16" s="452">
        <f>'The Table'!D40</f>
        <v>47598.75</v>
      </c>
      <c r="D16" s="1177" t="str">
        <f t="shared" si="19"/>
        <v>#ERROR!</v>
      </c>
      <c r="E16" s="684" t="str">
        <f t="shared" si="20"/>
        <v>#REF!</v>
      </c>
      <c r="F16" s="1177" t="str">
        <f t="shared" si="21"/>
        <v>#REF!</v>
      </c>
      <c r="G16" s="684" t="str">
        <f>#REF!</f>
        <v>#REF!</v>
      </c>
      <c r="H16" s="1173" t="str">
        <f t="shared" si="22"/>
        <v>#REF!</v>
      </c>
      <c r="I16" s="684" t="str">
        <f>#REF!</f>
        <v>#REF!</v>
      </c>
      <c r="J16" s="1197" t="str">
        <f t="shared" si="23"/>
        <v>#REF!</v>
      </c>
      <c r="K16" s="684" t="str">
        <f t="shared" si="24"/>
        <v>#REF!</v>
      </c>
      <c r="L16" s="1173" t="str">
        <f t="shared" si="25"/>
        <v>#REF!</v>
      </c>
      <c r="M16" s="684" t="str">
        <f>'The Table'!#REF!</f>
        <v>#ERROR!</v>
      </c>
      <c r="N16" s="1173" t="str">
        <f t="shared" si="26"/>
        <v>#ERROR!</v>
      </c>
      <c r="O16" s="684" t="str">
        <f>'The Table'!#REF!</f>
        <v>#ERROR!</v>
      </c>
      <c r="P16" s="1173" t="str">
        <f t="shared" si="27"/>
        <v>#ERROR!</v>
      </c>
      <c r="Q16" s="684" t="str">
        <f>'The Table'!#REF!</f>
        <v>#ERROR!</v>
      </c>
      <c r="R16" s="1177" t="str">
        <f t="shared" si="28"/>
        <v>#ERROR!</v>
      </c>
      <c r="S16" s="684" t="str">
        <f>'The Table'!#REF!</f>
        <v>#ERROR!</v>
      </c>
      <c r="T16" s="1177" t="str">
        <f t="shared" si="29"/>
        <v>#ERROR!</v>
      </c>
      <c r="U16" s="684" t="str">
        <f>'The Table'!#REF!</f>
        <v>#ERROR!</v>
      </c>
      <c r="V16" s="1173" t="str">
        <f t="shared" si="30"/>
        <v>#ERROR!</v>
      </c>
      <c r="W16" s="684" t="str">
        <f>'The Table'!#REF!</f>
        <v>#ERROR!</v>
      </c>
      <c r="X16" s="1174" t="str">
        <f t="shared" si="31"/>
        <v>#ERROR!</v>
      </c>
      <c r="Y16" s="1175" t="str">
        <f t="shared" si="32"/>
        <v>#REF!</v>
      </c>
      <c r="Z16" s="1179" t="str">
        <f>'The Table'!#REF!</f>
        <v>#ERROR!</v>
      </c>
      <c r="AA16" s="1178" t="str">
        <f t="shared" si="33"/>
        <v>#REF!</v>
      </c>
    </row>
    <row r="17" ht="15.75" customHeight="1">
      <c r="A17" s="425"/>
      <c r="B17" s="468" t="s">
        <v>365</v>
      </c>
      <c r="C17" s="470">
        <v>0.0</v>
      </c>
      <c r="D17" s="1180" t="str">
        <f t="shared" si="19"/>
        <v>#ERROR!</v>
      </c>
      <c r="E17" s="678"/>
      <c r="F17" s="1177" t="str">
        <f t="shared" si="21"/>
        <v>#REF!</v>
      </c>
      <c r="G17" s="678"/>
      <c r="H17" s="1173" t="str">
        <f t="shared" si="22"/>
        <v>#REF!</v>
      </c>
      <c r="I17" s="678"/>
      <c r="J17" s="1197" t="str">
        <f t="shared" si="23"/>
        <v>#REF!</v>
      </c>
      <c r="K17" s="678"/>
      <c r="L17" s="1198"/>
      <c r="M17" s="678"/>
      <c r="N17" s="1198"/>
      <c r="O17" s="678"/>
      <c r="P17" s="1198"/>
      <c r="Q17" s="678"/>
      <c r="R17" s="1198"/>
      <c r="S17" s="678"/>
      <c r="T17" s="1198"/>
      <c r="U17" s="678"/>
      <c r="V17" s="1198"/>
      <c r="W17" s="678"/>
      <c r="X17" s="1199"/>
      <c r="Y17" s="1200"/>
      <c r="Z17" s="1200"/>
      <c r="AA17" s="1201"/>
    </row>
    <row r="18" ht="15.75" customHeight="1">
      <c r="A18" s="425"/>
      <c r="B18" s="1165" t="s">
        <v>30</v>
      </c>
      <c r="C18" s="1185">
        <f>SUM(C15:C17)</f>
        <v>7111096.378</v>
      </c>
      <c r="D18" s="1186" t="str">
        <f t="shared" si="19"/>
        <v>#ERROR!</v>
      </c>
      <c r="E18" s="1202" t="str">
        <f>SUM(E15:E17)</f>
        <v>#REF!</v>
      </c>
      <c r="F18" s="1186" t="str">
        <f>E18/E12</f>
        <v>#REF!</v>
      </c>
      <c r="G18" s="1202" t="str">
        <f>SUM(G15:G17)</f>
        <v>#ERROR!</v>
      </c>
      <c r="H18" s="1186" t="str">
        <f>G18/G12</f>
        <v>#ERROR!</v>
      </c>
      <c r="I18" s="1202" t="str">
        <f>SUM(I15:I17)</f>
        <v>#ERROR!</v>
      </c>
      <c r="J18" s="1187" t="str">
        <f t="shared" si="23"/>
        <v>#ERROR!</v>
      </c>
      <c r="K18" s="1202" t="str">
        <f>SUM(K15:K17)</f>
        <v>#REF!</v>
      </c>
      <c r="L18" s="1186" t="str">
        <f>K18/K12</f>
        <v>#REF!</v>
      </c>
      <c r="M18" s="1202" t="str">
        <f>SUM(M15:M17)</f>
        <v>#ERROR!</v>
      </c>
      <c r="N18" s="1186" t="str">
        <f>M18/M12</f>
        <v>#ERROR!</v>
      </c>
      <c r="O18" s="1202" t="str">
        <f>SUM(O15:O17)</f>
        <v>#ERROR!</v>
      </c>
      <c r="P18" s="1186" t="str">
        <f>+O18/O12</f>
        <v>#ERROR!</v>
      </c>
      <c r="Q18" s="1202" t="str">
        <f>SUM(Q15:Q17)</f>
        <v>#ERROR!</v>
      </c>
      <c r="R18" s="1186" t="str">
        <f>Q18/Q12</f>
        <v>#ERROR!</v>
      </c>
      <c r="S18" s="1202" t="str">
        <f>SUM(S15:S17)</f>
        <v>#ERROR!</v>
      </c>
      <c r="T18" s="1186" t="str">
        <f>S18/S12</f>
        <v>#ERROR!</v>
      </c>
      <c r="U18" s="1202" t="str">
        <f>SUM(U15:U17)</f>
        <v>#ERROR!</v>
      </c>
      <c r="V18" s="1186" t="str">
        <f>U18/U12</f>
        <v>#ERROR!</v>
      </c>
      <c r="W18" s="1202" t="str">
        <f>SUM(W15:W17)</f>
        <v>#ERROR!</v>
      </c>
      <c r="X18" s="1187" t="str">
        <f>W18/W12</f>
        <v>#ERROR!</v>
      </c>
      <c r="Y18" s="1188" t="str">
        <f t="shared" ref="Y18:Z18" si="34">SUM(Y15:Y17)</f>
        <v>#REF!</v>
      </c>
      <c r="Z18" s="1188" t="str">
        <f t="shared" si="34"/>
        <v>#ERROR!</v>
      </c>
      <c r="AA18" s="1189" t="str">
        <f>Y18/Z18</f>
        <v>#REF!</v>
      </c>
    </row>
    <row r="19" ht="15.75" customHeight="1">
      <c r="A19" s="425"/>
      <c r="B19" s="508"/>
      <c r="C19" s="494"/>
      <c r="D19" s="1203"/>
      <c r="E19" s="1204"/>
      <c r="F19" s="1203"/>
      <c r="G19" s="1205" t="str">
        <f>#REF!</f>
        <v>#REF!</v>
      </c>
      <c r="H19" s="1203"/>
      <c r="I19" s="1204"/>
      <c r="J19" s="1206"/>
      <c r="K19" s="1204"/>
      <c r="L19" s="1203"/>
      <c r="M19" s="1204"/>
      <c r="N19" s="1203"/>
      <c r="O19" s="1204"/>
      <c r="P19" s="1203"/>
      <c r="Q19" s="1204"/>
      <c r="R19" s="1203"/>
      <c r="S19" s="1204"/>
      <c r="T19" s="1203"/>
      <c r="U19" s="1204"/>
      <c r="V19" s="1203"/>
      <c r="W19" s="1204"/>
      <c r="X19" s="1206"/>
      <c r="Y19" s="1207"/>
      <c r="Z19" s="1207"/>
      <c r="AA19" s="1208"/>
    </row>
    <row r="20" ht="15.75" customHeight="1">
      <c r="A20" s="425"/>
      <c r="B20" s="1165" t="s">
        <v>32</v>
      </c>
      <c r="C20" s="1185" t="str">
        <f>C12-C18</f>
        <v>#ERROR!</v>
      </c>
      <c r="D20" s="1186" t="str">
        <f>C20/$C$12</f>
        <v>#ERROR!</v>
      </c>
      <c r="E20" s="1202" t="str">
        <f>E12-E18</f>
        <v>#REF!</v>
      </c>
      <c r="F20" s="1186" t="str">
        <f>E20/E12</f>
        <v>#REF!</v>
      </c>
      <c r="G20" s="1202" t="str">
        <f>G12-G18</f>
        <v>#REF!</v>
      </c>
      <c r="H20" s="1209"/>
      <c r="I20" s="1202" t="str">
        <f>I12-I18</f>
        <v>#REF!</v>
      </c>
      <c r="J20" s="1187" t="str">
        <f>I20/$I$12</f>
        <v>#REF!</v>
      </c>
      <c r="K20" s="1202" t="str">
        <f>K12-K18</f>
        <v>#REF!</v>
      </c>
      <c r="L20" s="1186" t="str">
        <f>K20/K12</f>
        <v>#REF!</v>
      </c>
      <c r="M20" s="1202" t="str">
        <f>M12-M18</f>
        <v>#ERROR!</v>
      </c>
      <c r="N20" s="1186" t="str">
        <f>M20/$M$12</f>
        <v>#ERROR!</v>
      </c>
      <c r="O20" s="1202" t="str">
        <f>O12-O18</f>
        <v>#ERROR!</v>
      </c>
      <c r="P20" s="1186" t="str">
        <f>O20/O12</f>
        <v>#ERROR!</v>
      </c>
      <c r="Q20" s="1202" t="str">
        <f>Q12-Q18</f>
        <v>#ERROR!</v>
      </c>
      <c r="R20" s="1186" t="str">
        <f>Q20/Q12</f>
        <v>#ERROR!</v>
      </c>
      <c r="S20" s="1202" t="str">
        <f>S12-S18</f>
        <v>#ERROR!</v>
      </c>
      <c r="T20" s="1186" t="str">
        <f>S20/S12</f>
        <v>#ERROR!</v>
      </c>
      <c r="U20" s="1202" t="str">
        <f>U12-U18</f>
        <v>#ERROR!</v>
      </c>
      <c r="V20" s="1186" t="str">
        <f>U20/U12</f>
        <v>#ERROR!</v>
      </c>
      <c r="W20" s="1202" t="str">
        <f>W12-W18</f>
        <v>#ERROR!</v>
      </c>
      <c r="X20" s="1187" t="str">
        <f>W20/W12</f>
        <v>#ERROR!</v>
      </c>
      <c r="Y20" s="1188" t="str">
        <f t="shared" ref="Y20:Z20" si="35">Y12-Y18</f>
        <v>#REF!</v>
      </c>
      <c r="Z20" s="1188" t="str">
        <f t="shared" si="35"/>
        <v>#ERROR!</v>
      </c>
      <c r="AA20" s="1189" t="str">
        <f>Y20/Z20</f>
        <v>#REF!</v>
      </c>
    </row>
    <row r="21" ht="15.75" customHeight="1">
      <c r="A21" s="425"/>
      <c r="B21" s="481"/>
      <c r="C21" s="448"/>
      <c r="D21" s="1190"/>
      <c r="E21" s="1191"/>
      <c r="F21" s="1190"/>
      <c r="G21" s="1191"/>
      <c r="H21" s="1190"/>
      <c r="I21" s="1191"/>
      <c r="J21" s="1192"/>
      <c r="K21" s="1191"/>
      <c r="L21" s="1190"/>
      <c r="M21" s="1191"/>
      <c r="N21" s="1190"/>
      <c r="O21" s="1191"/>
      <c r="P21" s="1190"/>
      <c r="Q21" s="1191"/>
      <c r="R21" s="1190"/>
      <c r="S21" s="1191"/>
      <c r="T21" s="1190"/>
      <c r="U21" s="1191"/>
      <c r="V21" s="1190"/>
      <c r="W21" s="1191"/>
      <c r="X21" s="1192"/>
      <c r="Y21" s="1193"/>
      <c r="Z21" s="1193"/>
      <c r="AA21" s="1194"/>
    </row>
    <row r="22" ht="15.75" customHeight="1">
      <c r="A22" s="425"/>
      <c r="B22" s="450" t="s">
        <v>33</v>
      </c>
      <c r="C22" s="452">
        <f>'The Table'!D51</f>
        <v>528195.6233</v>
      </c>
      <c r="D22" s="1177" t="str">
        <f t="shared" ref="D22:D38" si="36">C22/$C$12</f>
        <v>#ERROR!</v>
      </c>
      <c r="E22" s="684" t="str">
        <f t="shared" ref="E22:E29" si="37">#REF!</f>
        <v>#REF!</v>
      </c>
      <c r="F22" s="1177" t="str">
        <f t="shared" ref="F22:F37" si="38">E22/$E$12</f>
        <v>#REF!</v>
      </c>
      <c r="G22" s="684" t="str">
        <f t="shared" ref="G22:G29" si="39">#REF!</f>
        <v>#REF!</v>
      </c>
      <c r="H22" s="1177" t="str">
        <f t="shared" ref="H22:H37" si="40">G22/$G$12</f>
        <v>#REF!</v>
      </c>
      <c r="I22" s="684" t="str">
        <f t="shared" ref="I22:I29" si="41">#REF!</f>
        <v>#REF!</v>
      </c>
      <c r="J22" s="1197" t="str">
        <f t="shared" ref="J22:J37" si="42">I22/$I$12</f>
        <v>#REF!</v>
      </c>
      <c r="K22" s="684" t="str">
        <f>#REF!</f>
        <v>#REF!</v>
      </c>
      <c r="L22" s="1173" t="str">
        <f t="shared" ref="L22:L37" si="43">K22/$K$12</f>
        <v>#REF!</v>
      </c>
      <c r="M22" s="684" t="str">
        <f>'The Table'!#REF!</f>
        <v>#ERROR!</v>
      </c>
      <c r="N22" s="1173" t="str">
        <f t="shared" ref="N22:N38" si="44">M22/$M$12</f>
        <v>#ERROR!</v>
      </c>
      <c r="O22" s="684" t="str">
        <f>'The Table'!#REF!</f>
        <v>#ERROR!</v>
      </c>
      <c r="P22" s="1173" t="str">
        <f t="shared" ref="P22:P37" si="45">O22/$O$12</f>
        <v>#ERROR!</v>
      </c>
      <c r="Q22" s="684" t="str">
        <f>'The Table'!#REF!</f>
        <v>#ERROR!</v>
      </c>
      <c r="R22" s="1177" t="str">
        <f t="shared" ref="R22:R35" si="46">Q22/$Q$12</f>
        <v>#ERROR!</v>
      </c>
      <c r="S22" s="684" t="str">
        <f>'The Table'!#REF!</f>
        <v>#ERROR!</v>
      </c>
      <c r="T22" s="1177" t="str">
        <f t="shared" ref="T22:T37" si="47">S22/$S$12</f>
        <v>#ERROR!</v>
      </c>
      <c r="U22" s="684" t="str">
        <f>'The Table'!#REF!</f>
        <v>#ERROR!</v>
      </c>
      <c r="V22" s="1173" t="str">
        <f t="shared" ref="V22:V37" si="48">U22/$U$12</f>
        <v>#ERROR!</v>
      </c>
      <c r="W22" s="684" t="str">
        <f>'The Table'!#REF!</f>
        <v>#ERROR!</v>
      </c>
      <c r="X22" s="1174" t="str">
        <f t="shared" ref="X22:X37" si="49">W22/$W$12</f>
        <v>#ERROR!</v>
      </c>
      <c r="Y22" s="1175" t="str">
        <f t="shared" ref="Y22:Y37" si="50">C22+E22+G22+I22+K22+M22+O22+Q22+S22+U22+W22</f>
        <v>#REF!</v>
      </c>
      <c r="Z22" s="1179" t="str">
        <f>'The Table'!#REF!</f>
        <v>#ERROR!</v>
      </c>
      <c r="AA22" s="1178" t="str">
        <f t="shared" ref="AA22:AA34" si="51">Y22/Z22</f>
        <v>#REF!</v>
      </c>
    </row>
    <row r="23" ht="15.75" customHeight="1">
      <c r="A23" s="425"/>
      <c r="B23" s="450" t="s">
        <v>34</v>
      </c>
      <c r="C23" s="452">
        <f>'The Table'!D60</f>
        <v>72049</v>
      </c>
      <c r="D23" s="1177" t="str">
        <f t="shared" si="36"/>
        <v>#ERROR!</v>
      </c>
      <c r="E23" s="684" t="str">
        <f t="shared" si="37"/>
        <v>#REF!</v>
      </c>
      <c r="F23" s="1177" t="str">
        <f t="shared" si="38"/>
        <v>#REF!</v>
      </c>
      <c r="G23" s="684" t="str">
        <f t="shared" si="39"/>
        <v>#REF!</v>
      </c>
      <c r="H23" s="1177" t="str">
        <f t="shared" si="40"/>
        <v>#REF!</v>
      </c>
      <c r="I23" s="684" t="str">
        <f t="shared" si="41"/>
        <v>#REF!</v>
      </c>
      <c r="J23" s="1197" t="str">
        <f t="shared" si="42"/>
        <v>#REF!</v>
      </c>
      <c r="K23" s="684" t="str">
        <f>'The Table'!#REF!</f>
        <v>#ERROR!</v>
      </c>
      <c r="L23" s="1173" t="str">
        <f t="shared" si="43"/>
        <v>#ERROR!</v>
      </c>
      <c r="M23" s="684" t="str">
        <f>'The Table'!#REF!</f>
        <v>#ERROR!</v>
      </c>
      <c r="N23" s="1173" t="str">
        <f t="shared" si="44"/>
        <v>#ERROR!</v>
      </c>
      <c r="O23" s="684" t="str">
        <f>'The Table'!#REF!</f>
        <v>#ERROR!</v>
      </c>
      <c r="P23" s="1173" t="str">
        <f t="shared" si="45"/>
        <v>#ERROR!</v>
      </c>
      <c r="Q23" s="684" t="str">
        <f>'The Table'!#REF!</f>
        <v>#ERROR!</v>
      </c>
      <c r="R23" s="1177" t="str">
        <f t="shared" si="46"/>
        <v>#ERROR!</v>
      </c>
      <c r="S23" s="684" t="str">
        <f>'The Table'!#REF!</f>
        <v>#ERROR!</v>
      </c>
      <c r="T23" s="1177" t="str">
        <f t="shared" si="47"/>
        <v>#ERROR!</v>
      </c>
      <c r="U23" s="684" t="str">
        <f>'The Table'!#REF!</f>
        <v>#ERROR!</v>
      </c>
      <c r="V23" s="1173" t="str">
        <f t="shared" si="48"/>
        <v>#ERROR!</v>
      </c>
      <c r="W23" s="684" t="str">
        <f>'The Table'!#REF!</f>
        <v>#ERROR!</v>
      </c>
      <c r="X23" s="1174" t="str">
        <f t="shared" si="49"/>
        <v>#ERROR!</v>
      </c>
      <c r="Y23" s="1175" t="str">
        <f t="shared" si="50"/>
        <v>#REF!</v>
      </c>
      <c r="Z23" s="1179" t="str">
        <f>'The Table'!#REF!</f>
        <v>#ERROR!</v>
      </c>
      <c r="AA23" s="1178" t="str">
        <f t="shared" si="51"/>
        <v>#REF!</v>
      </c>
    </row>
    <row r="24" ht="15.75" customHeight="1">
      <c r="A24" s="425"/>
      <c r="B24" s="450" t="s">
        <v>35</v>
      </c>
      <c r="C24" s="452">
        <f>'The Table'!D69</f>
        <v>89699.51</v>
      </c>
      <c r="D24" s="1177" t="str">
        <f t="shared" si="36"/>
        <v>#ERROR!</v>
      </c>
      <c r="E24" s="684" t="str">
        <f t="shared" si="37"/>
        <v>#REF!</v>
      </c>
      <c r="F24" s="1177" t="str">
        <f t="shared" si="38"/>
        <v>#REF!</v>
      </c>
      <c r="G24" s="684" t="str">
        <f t="shared" si="39"/>
        <v>#REF!</v>
      </c>
      <c r="H24" s="1177" t="str">
        <f t="shared" si="40"/>
        <v>#REF!</v>
      </c>
      <c r="I24" s="684" t="str">
        <f t="shared" si="41"/>
        <v>#REF!</v>
      </c>
      <c r="J24" s="1197" t="str">
        <f t="shared" si="42"/>
        <v>#REF!</v>
      </c>
      <c r="K24" s="684" t="str">
        <f>'The Table'!#REF!</f>
        <v>#ERROR!</v>
      </c>
      <c r="L24" s="1173" t="str">
        <f t="shared" si="43"/>
        <v>#ERROR!</v>
      </c>
      <c r="M24" s="684" t="str">
        <f>'The Table'!#REF!</f>
        <v>#ERROR!</v>
      </c>
      <c r="N24" s="1173" t="str">
        <f t="shared" si="44"/>
        <v>#ERROR!</v>
      </c>
      <c r="O24" s="684" t="str">
        <f>'The Table'!#REF!</f>
        <v>#ERROR!</v>
      </c>
      <c r="P24" s="1173" t="str">
        <f t="shared" si="45"/>
        <v>#ERROR!</v>
      </c>
      <c r="Q24" s="684" t="str">
        <f>'The Table'!#REF!</f>
        <v>#ERROR!</v>
      </c>
      <c r="R24" s="1177" t="str">
        <f t="shared" si="46"/>
        <v>#ERROR!</v>
      </c>
      <c r="S24" s="684" t="str">
        <f>'The Table'!#REF!</f>
        <v>#ERROR!</v>
      </c>
      <c r="T24" s="1177" t="str">
        <f t="shared" si="47"/>
        <v>#ERROR!</v>
      </c>
      <c r="U24" s="684" t="str">
        <f>'The Table'!#REF!</f>
        <v>#ERROR!</v>
      </c>
      <c r="V24" s="1173" t="str">
        <f t="shared" si="48"/>
        <v>#ERROR!</v>
      </c>
      <c r="W24" s="684" t="str">
        <f>'The Table'!#REF!</f>
        <v>#ERROR!</v>
      </c>
      <c r="X24" s="1174" t="str">
        <f t="shared" si="49"/>
        <v>#ERROR!</v>
      </c>
      <c r="Y24" s="1175" t="str">
        <f t="shared" si="50"/>
        <v>#REF!</v>
      </c>
      <c r="Z24" s="1179" t="str">
        <f>'The Table'!#REF!</f>
        <v>#ERROR!</v>
      </c>
      <c r="AA24" s="1178" t="str">
        <f t="shared" si="51"/>
        <v>#REF!</v>
      </c>
    </row>
    <row r="25" ht="15.75" customHeight="1">
      <c r="A25" s="425"/>
      <c r="B25" s="450" t="s">
        <v>36</v>
      </c>
      <c r="C25" s="452">
        <f>'The Table'!D75</f>
        <v>1817305.833</v>
      </c>
      <c r="D25" s="1177" t="str">
        <f t="shared" si="36"/>
        <v>#ERROR!</v>
      </c>
      <c r="E25" s="684" t="str">
        <f t="shared" si="37"/>
        <v>#REF!</v>
      </c>
      <c r="F25" s="1177" t="str">
        <f t="shared" si="38"/>
        <v>#REF!</v>
      </c>
      <c r="G25" s="684" t="str">
        <f t="shared" si="39"/>
        <v>#REF!</v>
      </c>
      <c r="H25" s="1177" t="str">
        <f t="shared" si="40"/>
        <v>#REF!</v>
      </c>
      <c r="I25" s="684" t="str">
        <f t="shared" si="41"/>
        <v>#REF!</v>
      </c>
      <c r="J25" s="1197" t="str">
        <f t="shared" si="42"/>
        <v>#REF!</v>
      </c>
      <c r="K25" s="684" t="str">
        <f>'The Table'!#REF!</f>
        <v>#ERROR!</v>
      </c>
      <c r="L25" s="1173" t="str">
        <f t="shared" si="43"/>
        <v>#ERROR!</v>
      </c>
      <c r="M25" s="684" t="str">
        <f>'The Table'!#REF!</f>
        <v>#ERROR!</v>
      </c>
      <c r="N25" s="1173" t="str">
        <f t="shared" si="44"/>
        <v>#ERROR!</v>
      </c>
      <c r="O25" s="684" t="str">
        <f>'The Table'!#REF!</f>
        <v>#ERROR!</v>
      </c>
      <c r="P25" s="1173" t="str">
        <f t="shared" si="45"/>
        <v>#ERROR!</v>
      </c>
      <c r="Q25" s="684" t="str">
        <f>'The Table'!#REF!</f>
        <v>#ERROR!</v>
      </c>
      <c r="R25" s="1177" t="str">
        <f t="shared" si="46"/>
        <v>#ERROR!</v>
      </c>
      <c r="S25" s="684" t="str">
        <f>'The Table'!#REF!</f>
        <v>#ERROR!</v>
      </c>
      <c r="T25" s="1177" t="str">
        <f t="shared" si="47"/>
        <v>#ERROR!</v>
      </c>
      <c r="U25" s="684" t="str">
        <f>'The Table'!#REF!</f>
        <v>#ERROR!</v>
      </c>
      <c r="V25" s="1173" t="str">
        <f t="shared" si="48"/>
        <v>#ERROR!</v>
      </c>
      <c r="W25" s="684" t="str">
        <f>'The Table'!#REF!</f>
        <v>#ERROR!</v>
      </c>
      <c r="X25" s="1174" t="str">
        <f t="shared" si="49"/>
        <v>#ERROR!</v>
      </c>
      <c r="Y25" s="1175" t="str">
        <f t="shared" si="50"/>
        <v>#REF!</v>
      </c>
      <c r="Z25" s="1179" t="str">
        <f>'The Table'!#REF!</f>
        <v>#ERROR!</v>
      </c>
      <c r="AA25" s="1178" t="str">
        <f t="shared" si="51"/>
        <v>#REF!</v>
      </c>
    </row>
    <row r="26" ht="15.75" customHeight="1">
      <c r="A26" s="425"/>
      <c r="B26" s="450" t="s">
        <v>37</v>
      </c>
      <c r="C26" s="452">
        <f>'The Table'!D81</f>
        <v>5546943.66</v>
      </c>
      <c r="D26" s="1177" t="str">
        <f t="shared" si="36"/>
        <v>#ERROR!</v>
      </c>
      <c r="E26" s="684" t="str">
        <f t="shared" si="37"/>
        <v>#REF!</v>
      </c>
      <c r="F26" s="1177" t="str">
        <f t="shared" si="38"/>
        <v>#REF!</v>
      </c>
      <c r="G26" s="684" t="str">
        <f t="shared" si="39"/>
        <v>#REF!</v>
      </c>
      <c r="H26" s="1177" t="str">
        <f t="shared" si="40"/>
        <v>#REF!</v>
      </c>
      <c r="I26" s="684" t="str">
        <f t="shared" si="41"/>
        <v>#REF!</v>
      </c>
      <c r="J26" s="1197" t="str">
        <f t="shared" si="42"/>
        <v>#REF!</v>
      </c>
      <c r="K26" s="684" t="str">
        <f>'The Table'!#REF!</f>
        <v>#ERROR!</v>
      </c>
      <c r="L26" s="1173" t="str">
        <f t="shared" si="43"/>
        <v>#ERROR!</v>
      </c>
      <c r="M26" s="684" t="str">
        <f>'The Table'!#REF!</f>
        <v>#ERROR!</v>
      </c>
      <c r="N26" s="1173" t="str">
        <f t="shared" si="44"/>
        <v>#ERROR!</v>
      </c>
      <c r="O26" s="684" t="str">
        <f>'The Table'!#REF!</f>
        <v>#ERROR!</v>
      </c>
      <c r="P26" s="1173" t="str">
        <f t="shared" si="45"/>
        <v>#ERROR!</v>
      </c>
      <c r="Q26" s="684" t="str">
        <f>'The Table'!#REF!</f>
        <v>#ERROR!</v>
      </c>
      <c r="R26" s="1177" t="str">
        <f t="shared" si="46"/>
        <v>#ERROR!</v>
      </c>
      <c r="S26" s="684" t="str">
        <f>'The Table'!#REF!</f>
        <v>#ERROR!</v>
      </c>
      <c r="T26" s="1177" t="str">
        <f t="shared" si="47"/>
        <v>#ERROR!</v>
      </c>
      <c r="U26" s="684" t="str">
        <f>'The Table'!#REF!</f>
        <v>#ERROR!</v>
      </c>
      <c r="V26" s="1173" t="str">
        <f t="shared" si="48"/>
        <v>#ERROR!</v>
      </c>
      <c r="W26" s="684" t="str">
        <f>'The Table'!#REF!</f>
        <v>#ERROR!</v>
      </c>
      <c r="X26" s="1174" t="str">
        <f t="shared" si="49"/>
        <v>#ERROR!</v>
      </c>
      <c r="Y26" s="1175" t="str">
        <f t="shared" si="50"/>
        <v>#REF!</v>
      </c>
      <c r="Z26" s="1179" t="str">
        <f>'The Table'!#REF!</f>
        <v>#ERROR!</v>
      </c>
      <c r="AA26" s="1178" t="str">
        <f t="shared" si="51"/>
        <v>#REF!</v>
      </c>
    </row>
    <row r="27" ht="15.75" customHeight="1">
      <c r="A27" s="425"/>
      <c r="B27" s="450" t="s">
        <v>38</v>
      </c>
      <c r="C27" s="452">
        <f>'The Table'!D92</f>
        <v>425771.88</v>
      </c>
      <c r="D27" s="1177" t="str">
        <f t="shared" si="36"/>
        <v>#ERROR!</v>
      </c>
      <c r="E27" s="684" t="str">
        <f t="shared" si="37"/>
        <v>#REF!</v>
      </c>
      <c r="F27" s="1177" t="str">
        <f t="shared" si="38"/>
        <v>#REF!</v>
      </c>
      <c r="G27" s="684" t="str">
        <f t="shared" si="39"/>
        <v>#REF!</v>
      </c>
      <c r="H27" s="1177" t="str">
        <f t="shared" si="40"/>
        <v>#REF!</v>
      </c>
      <c r="I27" s="684" t="str">
        <f t="shared" si="41"/>
        <v>#REF!</v>
      </c>
      <c r="J27" s="1197" t="str">
        <f t="shared" si="42"/>
        <v>#REF!</v>
      </c>
      <c r="K27" s="684" t="str">
        <f>'The Table'!#REF!</f>
        <v>#ERROR!</v>
      </c>
      <c r="L27" s="1173" t="str">
        <f t="shared" si="43"/>
        <v>#ERROR!</v>
      </c>
      <c r="M27" s="684" t="str">
        <f>'The Table'!#REF!</f>
        <v>#ERROR!</v>
      </c>
      <c r="N27" s="1173" t="str">
        <f t="shared" si="44"/>
        <v>#ERROR!</v>
      </c>
      <c r="O27" s="684" t="str">
        <f>'The Table'!#REF!</f>
        <v>#ERROR!</v>
      </c>
      <c r="P27" s="1173" t="str">
        <f t="shared" si="45"/>
        <v>#ERROR!</v>
      </c>
      <c r="Q27" s="684" t="str">
        <f>'The Table'!#REF!</f>
        <v>#ERROR!</v>
      </c>
      <c r="R27" s="1177" t="str">
        <f t="shared" si="46"/>
        <v>#ERROR!</v>
      </c>
      <c r="S27" s="684" t="str">
        <f>'The Table'!#REF!</f>
        <v>#ERROR!</v>
      </c>
      <c r="T27" s="1177" t="str">
        <f t="shared" si="47"/>
        <v>#ERROR!</v>
      </c>
      <c r="U27" s="684" t="str">
        <f>'The Table'!#REF!</f>
        <v>#ERROR!</v>
      </c>
      <c r="V27" s="1173" t="str">
        <f t="shared" si="48"/>
        <v>#ERROR!</v>
      </c>
      <c r="W27" s="684" t="str">
        <f>'The Table'!#REF!</f>
        <v>#ERROR!</v>
      </c>
      <c r="X27" s="1174" t="str">
        <f t="shared" si="49"/>
        <v>#ERROR!</v>
      </c>
      <c r="Y27" s="1175" t="str">
        <f t="shared" si="50"/>
        <v>#REF!</v>
      </c>
      <c r="Z27" s="1179" t="str">
        <f>'The Table'!#REF!</f>
        <v>#ERROR!</v>
      </c>
      <c r="AA27" s="1178" t="str">
        <f t="shared" si="51"/>
        <v>#REF!</v>
      </c>
    </row>
    <row r="28" ht="15.75" customHeight="1">
      <c r="A28" s="425"/>
      <c r="B28" s="450" t="s">
        <v>39</v>
      </c>
      <c r="C28" s="452">
        <f>'The Table'!D95</f>
        <v>23403.33333</v>
      </c>
      <c r="D28" s="1177" t="str">
        <f t="shared" si="36"/>
        <v>#ERROR!</v>
      </c>
      <c r="E28" s="684" t="str">
        <f t="shared" si="37"/>
        <v>#REF!</v>
      </c>
      <c r="F28" s="1177" t="str">
        <f t="shared" si="38"/>
        <v>#REF!</v>
      </c>
      <c r="G28" s="684" t="str">
        <f t="shared" si="39"/>
        <v>#REF!</v>
      </c>
      <c r="H28" s="1177" t="str">
        <f t="shared" si="40"/>
        <v>#REF!</v>
      </c>
      <c r="I28" s="684" t="str">
        <f t="shared" si="41"/>
        <v>#REF!</v>
      </c>
      <c r="J28" s="1197" t="str">
        <f t="shared" si="42"/>
        <v>#REF!</v>
      </c>
      <c r="K28" s="684" t="str">
        <f>'The Table'!#REF!</f>
        <v>#ERROR!</v>
      </c>
      <c r="L28" s="1173" t="str">
        <f t="shared" si="43"/>
        <v>#ERROR!</v>
      </c>
      <c r="M28" s="684" t="str">
        <f>'The Table'!#REF!</f>
        <v>#ERROR!</v>
      </c>
      <c r="N28" s="1173" t="str">
        <f t="shared" si="44"/>
        <v>#ERROR!</v>
      </c>
      <c r="O28" s="684" t="str">
        <f>'The Table'!#REF!</f>
        <v>#ERROR!</v>
      </c>
      <c r="P28" s="1173" t="str">
        <f t="shared" si="45"/>
        <v>#ERROR!</v>
      </c>
      <c r="Q28" s="684" t="str">
        <f>'The Table'!#REF!</f>
        <v>#ERROR!</v>
      </c>
      <c r="R28" s="1177" t="str">
        <f t="shared" si="46"/>
        <v>#ERROR!</v>
      </c>
      <c r="S28" s="684" t="str">
        <f>'The Table'!#REF!</f>
        <v>#ERROR!</v>
      </c>
      <c r="T28" s="1177" t="str">
        <f t="shared" si="47"/>
        <v>#ERROR!</v>
      </c>
      <c r="U28" s="684" t="str">
        <f>'The Table'!#REF!</f>
        <v>#ERROR!</v>
      </c>
      <c r="V28" s="1173" t="str">
        <f t="shared" si="48"/>
        <v>#ERROR!</v>
      </c>
      <c r="W28" s="684" t="str">
        <f>'The Table'!#REF!</f>
        <v>#ERROR!</v>
      </c>
      <c r="X28" s="1174" t="str">
        <f t="shared" si="49"/>
        <v>#ERROR!</v>
      </c>
      <c r="Y28" s="1175" t="str">
        <f t="shared" si="50"/>
        <v>#REF!</v>
      </c>
      <c r="Z28" s="1179" t="str">
        <f>'The Table'!#REF!</f>
        <v>#ERROR!</v>
      </c>
      <c r="AA28" s="1178" t="str">
        <f t="shared" si="51"/>
        <v>#REF!</v>
      </c>
    </row>
    <row r="29" ht="15.75" customHeight="1">
      <c r="A29" s="425"/>
      <c r="B29" s="450" t="s">
        <v>40</v>
      </c>
      <c r="C29" s="452">
        <f>'The Table'!D99</f>
        <v>205479.55</v>
      </c>
      <c r="D29" s="1177" t="str">
        <f t="shared" si="36"/>
        <v>#ERROR!</v>
      </c>
      <c r="E29" s="684" t="str">
        <f t="shared" si="37"/>
        <v>#REF!</v>
      </c>
      <c r="F29" s="1177" t="str">
        <f t="shared" si="38"/>
        <v>#REF!</v>
      </c>
      <c r="G29" s="684" t="str">
        <f t="shared" si="39"/>
        <v>#REF!</v>
      </c>
      <c r="H29" s="1177" t="str">
        <f t="shared" si="40"/>
        <v>#REF!</v>
      </c>
      <c r="I29" s="684" t="str">
        <f t="shared" si="41"/>
        <v>#REF!</v>
      </c>
      <c r="J29" s="1197" t="str">
        <f t="shared" si="42"/>
        <v>#REF!</v>
      </c>
      <c r="K29" s="684" t="str">
        <f>'The Table'!#REF!</f>
        <v>#ERROR!</v>
      </c>
      <c r="L29" s="1173" t="str">
        <f t="shared" si="43"/>
        <v>#ERROR!</v>
      </c>
      <c r="M29" s="684" t="str">
        <f>'The Table'!#REF!</f>
        <v>#ERROR!</v>
      </c>
      <c r="N29" s="1173" t="str">
        <f t="shared" si="44"/>
        <v>#ERROR!</v>
      </c>
      <c r="O29" s="684" t="str">
        <f>'The Table'!#REF!</f>
        <v>#ERROR!</v>
      </c>
      <c r="P29" s="1173" t="str">
        <f t="shared" si="45"/>
        <v>#ERROR!</v>
      </c>
      <c r="Q29" s="684" t="str">
        <f>'The Table'!#REF!</f>
        <v>#ERROR!</v>
      </c>
      <c r="R29" s="1177" t="str">
        <f t="shared" si="46"/>
        <v>#ERROR!</v>
      </c>
      <c r="S29" s="684" t="str">
        <f>'The Table'!#REF!</f>
        <v>#ERROR!</v>
      </c>
      <c r="T29" s="1177" t="str">
        <f t="shared" si="47"/>
        <v>#ERROR!</v>
      </c>
      <c r="U29" s="684" t="str">
        <f>'The Table'!#REF!</f>
        <v>#ERROR!</v>
      </c>
      <c r="V29" s="1173" t="str">
        <f t="shared" si="48"/>
        <v>#ERROR!</v>
      </c>
      <c r="W29" s="684" t="str">
        <f>'The Table'!#REF!</f>
        <v>#ERROR!</v>
      </c>
      <c r="X29" s="1174" t="str">
        <f t="shared" si="49"/>
        <v>#ERROR!</v>
      </c>
      <c r="Y29" s="1175" t="str">
        <f t="shared" si="50"/>
        <v>#REF!</v>
      </c>
      <c r="Z29" s="1179" t="str">
        <f>'The Table'!#REF!</f>
        <v>#ERROR!</v>
      </c>
      <c r="AA29" s="1178" t="str">
        <f t="shared" si="51"/>
        <v>#REF!</v>
      </c>
    </row>
    <row r="30" ht="15.75" customHeight="1">
      <c r="A30" s="425"/>
      <c r="B30" s="450" t="s">
        <v>421</v>
      </c>
      <c r="C30" s="452">
        <f>'The Table'!D106</f>
        <v>624683.0467</v>
      </c>
      <c r="D30" s="1177" t="str">
        <f t="shared" si="36"/>
        <v>#ERROR!</v>
      </c>
      <c r="E30" s="684" t="str">
        <f>'The Table'!#REF!</f>
        <v>#ERROR!</v>
      </c>
      <c r="F30" s="1177" t="str">
        <f t="shared" si="38"/>
        <v>#ERROR!</v>
      </c>
      <c r="G30" s="684" t="str">
        <f>'The Table'!#REF!</f>
        <v>#ERROR!</v>
      </c>
      <c r="H30" s="1177" t="str">
        <f t="shared" si="40"/>
        <v>#ERROR!</v>
      </c>
      <c r="I30" s="684" t="str">
        <f>'The Table'!#REF!</f>
        <v>#ERROR!</v>
      </c>
      <c r="J30" s="1197" t="str">
        <f t="shared" si="42"/>
        <v>#ERROR!</v>
      </c>
      <c r="K30" s="684" t="str">
        <f>'The Table'!#REF!</f>
        <v>#ERROR!</v>
      </c>
      <c r="L30" s="1173" t="str">
        <f t="shared" si="43"/>
        <v>#ERROR!</v>
      </c>
      <c r="M30" s="684" t="str">
        <f>'The Table'!#REF!</f>
        <v>#ERROR!</v>
      </c>
      <c r="N30" s="1173" t="str">
        <f t="shared" si="44"/>
        <v>#ERROR!</v>
      </c>
      <c r="O30" s="684" t="str">
        <f>'The Table'!#REF!</f>
        <v>#ERROR!</v>
      </c>
      <c r="P30" s="1173" t="str">
        <f t="shared" si="45"/>
        <v>#ERROR!</v>
      </c>
      <c r="Q30" s="684" t="str">
        <f>'The Table'!#REF!</f>
        <v>#ERROR!</v>
      </c>
      <c r="R30" s="1177" t="str">
        <f t="shared" si="46"/>
        <v>#ERROR!</v>
      </c>
      <c r="S30" s="684" t="str">
        <f>'The Table'!#REF!</f>
        <v>#ERROR!</v>
      </c>
      <c r="T30" s="1177" t="str">
        <f t="shared" si="47"/>
        <v>#ERROR!</v>
      </c>
      <c r="U30" s="684" t="str">
        <f>'The Table'!#REF!</f>
        <v>#ERROR!</v>
      </c>
      <c r="V30" s="1173" t="str">
        <f t="shared" si="48"/>
        <v>#ERROR!</v>
      </c>
      <c r="W30" s="684" t="str">
        <f>'The Table'!#REF!</f>
        <v>#ERROR!</v>
      </c>
      <c r="X30" s="1174" t="str">
        <f t="shared" si="49"/>
        <v>#ERROR!</v>
      </c>
      <c r="Y30" s="1175" t="str">
        <f t="shared" si="50"/>
        <v>#ERROR!</v>
      </c>
      <c r="Z30" s="1179" t="str">
        <f>'The Table'!#REF!</f>
        <v>#ERROR!</v>
      </c>
      <c r="AA30" s="1178" t="str">
        <f t="shared" si="51"/>
        <v>#ERROR!</v>
      </c>
    </row>
    <row r="31" ht="15.75" customHeight="1">
      <c r="A31" s="425"/>
      <c r="B31" s="450" t="s">
        <v>249</v>
      </c>
      <c r="C31" s="452">
        <f>'The Table'!D112</f>
        <v>4213</v>
      </c>
      <c r="D31" s="1177" t="str">
        <f t="shared" si="36"/>
        <v>#ERROR!</v>
      </c>
      <c r="E31" s="684" t="str">
        <f>'The Table'!#REF!</f>
        <v>#ERROR!</v>
      </c>
      <c r="F31" s="1177" t="str">
        <f t="shared" si="38"/>
        <v>#ERROR!</v>
      </c>
      <c r="G31" s="684" t="str">
        <f>'The Table'!#REF!</f>
        <v>#ERROR!</v>
      </c>
      <c r="H31" s="1177" t="str">
        <f t="shared" si="40"/>
        <v>#ERROR!</v>
      </c>
      <c r="I31" s="684" t="str">
        <f>'The Table'!#REF!</f>
        <v>#ERROR!</v>
      </c>
      <c r="J31" s="1197" t="str">
        <f t="shared" si="42"/>
        <v>#ERROR!</v>
      </c>
      <c r="K31" s="684" t="str">
        <f>'The Table'!#REF!</f>
        <v>#ERROR!</v>
      </c>
      <c r="L31" s="1173" t="str">
        <f t="shared" si="43"/>
        <v>#ERROR!</v>
      </c>
      <c r="M31" s="684" t="str">
        <f>'The Table'!#REF!</f>
        <v>#ERROR!</v>
      </c>
      <c r="N31" s="1173" t="str">
        <f t="shared" si="44"/>
        <v>#ERROR!</v>
      </c>
      <c r="O31" s="684" t="str">
        <f>'The Table'!#REF!</f>
        <v>#ERROR!</v>
      </c>
      <c r="P31" s="1173" t="str">
        <f t="shared" si="45"/>
        <v>#ERROR!</v>
      </c>
      <c r="Q31" s="684" t="str">
        <f>'The Table'!#REF!</f>
        <v>#ERROR!</v>
      </c>
      <c r="R31" s="1177" t="str">
        <f t="shared" si="46"/>
        <v>#ERROR!</v>
      </c>
      <c r="S31" s="684" t="str">
        <f>'The Table'!#REF!</f>
        <v>#ERROR!</v>
      </c>
      <c r="T31" s="1177" t="str">
        <f t="shared" si="47"/>
        <v>#ERROR!</v>
      </c>
      <c r="U31" s="684" t="str">
        <f>'The Table'!#REF!</f>
        <v>#ERROR!</v>
      </c>
      <c r="V31" s="1173" t="str">
        <f t="shared" si="48"/>
        <v>#ERROR!</v>
      </c>
      <c r="W31" s="684" t="str">
        <f>'The Table'!#REF!</f>
        <v>#ERROR!</v>
      </c>
      <c r="X31" s="1174" t="str">
        <f t="shared" si="49"/>
        <v>#ERROR!</v>
      </c>
      <c r="Y31" s="1175" t="str">
        <f t="shared" si="50"/>
        <v>#ERROR!</v>
      </c>
      <c r="Z31" s="1179" t="str">
        <f>'The Table'!#REF!</f>
        <v>#ERROR!</v>
      </c>
      <c r="AA31" s="1178" t="str">
        <f t="shared" si="51"/>
        <v>#ERROR!</v>
      </c>
    </row>
    <row r="32" ht="15.75" customHeight="1">
      <c r="A32" s="425"/>
      <c r="B32" s="450" t="s">
        <v>250</v>
      </c>
      <c r="C32" s="452">
        <f>'The Table'!D114</f>
        <v>45828</v>
      </c>
      <c r="D32" s="1177" t="str">
        <f t="shared" si="36"/>
        <v>#ERROR!</v>
      </c>
      <c r="E32" s="684" t="str">
        <f>'The Table'!#REF!</f>
        <v>#ERROR!</v>
      </c>
      <c r="F32" s="1177" t="str">
        <f t="shared" si="38"/>
        <v>#ERROR!</v>
      </c>
      <c r="G32" s="684" t="str">
        <f>'The Table'!#REF!</f>
        <v>#ERROR!</v>
      </c>
      <c r="H32" s="1177" t="str">
        <f t="shared" si="40"/>
        <v>#ERROR!</v>
      </c>
      <c r="I32" s="684" t="str">
        <f>'The Table'!#REF!</f>
        <v>#ERROR!</v>
      </c>
      <c r="J32" s="1197" t="str">
        <f t="shared" si="42"/>
        <v>#ERROR!</v>
      </c>
      <c r="K32" s="684" t="str">
        <f>'The Table'!#REF!</f>
        <v>#ERROR!</v>
      </c>
      <c r="L32" s="1173" t="str">
        <f t="shared" si="43"/>
        <v>#ERROR!</v>
      </c>
      <c r="M32" s="684" t="str">
        <f>'The Table'!#REF!</f>
        <v>#ERROR!</v>
      </c>
      <c r="N32" s="1173" t="str">
        <f t="shared" si="44"/>
        <v>#ERROR!</v>
      </c>
      <c r="O32" s="684" t="str">
        <f>'The Table'!#REF!</f>
        <v>#ERROR!</v>
      </c>
      <c r="P32" s="1173" t="str">
        <f t="shared" si="45"/>
        <v>#ERROR!</v>
      </c>
      <c r="Q32" s="684" t="str">
        <f>'The Table'!#REF!</f>
        <v>#ERROR!</v>
      </c>
      <c r="R32" s="1177" t="str">
        <f t="shared" si="46"/>
        <v>#ERROR!</v>
      </c>
      <c r="S32" s="684" t="str">
        <f>'The Table'!#REF!</f>
        <v>#ERROR!</v>
      </c>
      <c r="T32" s="1177" t="str">
        <f t="shared" si="47"/>
        <v>#ERROR!</v>
      </c>
      <c r="U32" s="684" t="str">
        <f>'The Table'!#REF!</f>
        <v>#ERROR!</v>
      </c>
      <c r="V32" s="1173" t="str">
        <f t="shared" si="48"/>
        <v>#ERROR!</v>
      </c>
      <c r="W32" s="684" t="str">
        <f>'The Table'!#REF!</f>
        <v>#ERROR!</v>
      </c>
      <c r="X32" s="1174" t="str">
        <f t="shared" si="49"/>
        <v>#ERROR!</v>
      </c>
      <c r="Y32" s="1175" t="str">
        <f t="shared" si="50"/>
        <v>#ERROR!</v>
      </c>
      <c r="Z32" s="1179" t="str">
        <f>'The Table'!#REF!</f>
        <v>#ERROR!</v>
      </c>
      <c r="AA32" s="1178" t="str">
        <f t="shared" si="51"/>
        <v>#ERROR!</v>
      </c>
    </row>
    <row r="33" ht="15.75" customHeight="1">
      <c r="A33" s="425"/>
      <c r="B33" s="450" t="s">
        <v>252</v>
      </c>
      <c r="C33" s="452">
        <f>'The Table'!D116</f>
        <v>15700</v>
      </c>
      <c r="D33" s="1177" t="str">
        <f t="shared" si="36"/>
        <v>#ERROR!</v>
      </c>
      <c r="E33" s="684" t="str">
        <f>'The Table'!#REF!</f>
        <v>#ERROR!</v>
      </c>
      <c r="F33" s="1177" t="str">
        <f t="shared" si="38"/>
        <v>#ERROR!</v>
      </c>
      <c r="G33" s="684" t="str">
        <f>'The Table'!#REF!</f>
        <v>#ERROR!</v>
      </c>
      <c r="H33" s="1177" t="str">
        <f t="shared" si="40"/>
        <v>#ERROR!</v>
      </c>
      <c r="I33" s="684" t="str">
        <f>'The Table'!#REF!</f>
        <v>#ERROR!</v>
      </c>
      <c r="J33" s="1197" t="str">
        <f t="shared" si="42"/>
        <v>#ERROR!</v>
      </c>
      <c r="K33" s="684" t="str">
        <f>'The Table'!#REF!</f>
        <v>#ERROR!</v>
      </c>
      <c r="L33" s="1173" t="str">
        <f t="shared" si="43"/>
        <v>#ERROR!</v>
      </c>
      <c r="M33" s="684" t="str">
        <f>'The Table'!#REF!</f>
        <v>#ERROR!</v>
      </c>
      <c r="N33" s="1173" t="str">
        <f t="shared" si="44"/>
        <v>#ERROR!</v>
      </c>
      <c r="O33" s="684" t="str">
        <f>'The Table'!#REF!</f>
        <v>#ERROR!</v>
      </c>
      <c r="P33" s="1173" t="str">
        <f t="shared" si="45"/>
        <v>#ERROR!</v>
      </c>
      <c r="Q33" s="684" t="str">
        <f>'The Table'!#REF!</f>
        <v>#ERROR!</v>
      </c>
      <c r="R33" s="1177" t="str">
        <f t="shared" si="46"/>
        <v>#ERROR!</v>
      </c>
      <c r="S33" s="684" t="str">
        <f>'The Table'!#REF!</f>
        <v>#ERROR!</v>
      </c>
      <c r="T33" s="1177" t="str">
        <f t="shared" si="47"/>
        <v>#ERROR!</v>
      </c>
      <c r="U33" s="684" t="str">
        <f>'The Table'!#REF!</f>
        <v>#ERROR!</v>
      </c>
      <c r="V33" s="1173" t="str">
        <f t="shared" si="48"/>
        <v>#ERROR!</v>
      </c>
      <c r="W33" s="684" t="str">
        <f>'The Table'!#REF!</f>
        <v>#ERROR!</v>
      </c>
      <c r="X33" s="1174" t="str">
        <f t="shared" si="49"/>
        <v>#ERROR!</v>
      </c>
      <c r="Y33" s="1175" t="str">
        <f t="shared" si="50"/>
        <v>#ERROR!</v>
      </c>
      <c r="Z33" s="1179" t="str">
        <f>'The Table'!#REF!</f>
        <v>#ERROR!</v>
      </c>
      <c r="AA33" s="1178" t="str">
        <f t="shared" si="51"/>
        <v>#ERROR!</v>
      </c>
    </row>
    <row r="34" ht="15.75" customHeight="1">
      <c r="A34" s="425"/>
      <c r="B34" s="450" t="s">
        <v>280</v>
      </c>
      <c r="C34" s="452">
        <f>'The Table'!D118</f>
        <v>43464</v>
      </c>
      <c r="D34" s="1177" t="str">
        <f t="shared" si="36"/>
        <v>#ERROR!</v>
      </c>
      <c r="E34" s="684" t="str">
        <f>'The Table'!#REF!</f>
        <v>#ERROR!</v>
      </c>
      <c r="F34" s="1177" t="str">
        <f t="shared" si="38"/>
        <v>#ERROR!</v>
      </c>
      <c r="G34" s="684" t="str">
        <f>'The Table'!#REF!</f>
        <v>#ERROR!</v>
      </c>
      <c r="H34" s="1177" t="str">
        <f t="shared" si="40"/>
        <v>#ERROR!</v>
      </c>
      <c r="I34" s="684" t="str">
        <f>'The Table'!#REF!</f>
        <v>#ERROR!</v>
      </c>
      <c r="J34" s="1197" t="str">
        <f t="shared" si="42"/>
        <v>#ERROR!</v>
      </c>
      <c r="K34" s="684" t="str">
        <f>'The Table'!#REF!</f>
        <v>#ERROR!</v>
      </c>
      <c r="L34" s="1173" t="str">
        <f t="shared" si="43"/>
        <v>#ERROR!</v>
      </c>
      <c r="M34" s="684" t="str">
        <f>'The Table'!#REF!</f>
        <v>#ERROR!</v>
      </c>
      <c r="N34" s="1173" t="str">
        <f t="shared" si="44"/>
        <v>#ERROR!</v>
      </c>
      <c r="O34" s="684" t="str">
        <f>'The Table'!#REF!</f>
        <v>#ERROR!</v>
      </c>
      <c r="P34" s="1173" t="str">
        <f t="shared" si="45"/>
        <v>#ERROR!</v>
      </c>
      <c r="Q34" s="684" t="str">
        <f>'The Table'!#REF!</f>
        <v>#ERROR!</v>
      </c>
      <c r="R34" s="1177" t="str">
        <f t="shared" si="46"/>
        <v>#ERROR!</v>
      </c>
      <c r="S34" s="684" t="str">
        <f>'The Table'!#REF!</f>
        <v>#ERROR!</v>
      </c>
      <c r="T34" s="1177" t="str">
        <f t="shared" si="47"/>
        <v>#ERROR!</v>
      </c>
      <c r="U34" s="684" t="str">
        <f>'The Table'!#REF!</f>
        <v>#ERROR!</v>
      </c>
      <c r="V34" s="1173" t="str">
        <f t="shared" si="48"/>
        <v>#ERROR!</v>
      </c>
      <c r="W34" s="684" t="str">
        <f>'The Table'!#REF!</f>
        <v>#ERROR!</v>
      </c>
      <c r="X34" s="1174" t="str">
        <f t="shared" si="49"/>
        <v>#ERROR!</v>
      </c>
      <c r="Y34" s="1175" t="str">
        <f t="shared" si="50"/>
        <v>#ERROR!</v>
      </c>
      <c r="Z34" s="1179" t="str">
        <f>'The Table'!#REF!</f>
        <v>#ERROR!</v>
      </c>
      <c r="AA34" s="1178" t="str">
        <f t="shared" si="51"/>
        <v>#ERROR!</v>
      </c>
    </row>
    <row r="35" ht="15.75" customHeight="1">
      <c r="A35" s="425"/>
      <c r="B35" s="450" t="s">
        <v>422</v>
      </c>
      <c r="C35" s="452">
        <f>'The Table'!D120</f>
        <v>224198</v>
      </c>
      <c r="D35" s="1177" t="str">
        <f t="shared" si="36"/>
        <v>#ERROR!</v>
      </c>
      <c r="E35" s="684" t="str">
        <f>'The Table'!#REF!</f>
        <v>#ERROR!</v>
      </c>
      <c r="F35" s="1177" t="str">
        <f t="shared" si="38"/>
        <v>#ERROR!</v>
      </c>
      <c r="G35" s="682" t="str">
        <f>'The Table'!#REF!</f>
        <v>#ERROR!</v>
      </c>
      <c r="H35" s="1177" t="str">
        <f t="shared" si="40"/>
        <v>#ERROR!</v>
      </c>
      <c r="I35" s="684" t="str">
        <f>'The Table'!#REF!</f>
        <v>#ERROR!</v>
      </c>
      <c r="J35" s="1197" t="str">
        <f t="shared" si="42"/>
        <v>#ERROR!</v>
      </c>
      <c r="K35" s="684" t="str">
        <f>'The Table'!#REF!</f>
        <v>#ERROR!</v>
      </c>
      <c r="L35" s="1173" t="str">
        <f t="shared" si="43"/>
        <v>#ERROR!</v>
      </c>
      <c r="M35" s="684" t="str">
        <f>'The Table'!#REF!</f>
        <v>#ERROR!</v>
      </c>
      <c r="N35" s="1173" t="str">
        <f t="shared" si="44"/>
        <v>#ERROR!</v>
      </c>
      <c r="O35" s="684" t="str">
        <f>'The Table'!#REF!</f>
        <v>#ERROR!</v>
      </c>
      <c r="P35" s="1173" t="str">
        <f t="shared" si="45"/>
        <v>#ERROR!</v>
      </c>
      <c r="Q35" s="684" t="str">
        <f>'The Table'!#REF!</f>
        <v>#ERROR!</v>
      </c>
      <c r="R35" s="1177" t="str">
        <f t="shared" si="46"/>
        <v>#ERROR!</v>
      </c>
      <c r="S35" s="684" t="str">
        <f>'The Table'!#REF!</f>
        <v>#ERROR!</v>
      </c>
      <c r="T35" s="1177" t="str">
        <f t="shared" si="47"/>
        <v>#ERROR!</v>
      </c>
      <c r="U35" s="684" t="str">
        <f>'The Table'!#REF!</f>
        <v>#ERROR!</v>
      </c>
      <c r="V35" s="1173" t="str">
        <f t="shared" si="48"/>
        <v>#ERROR!</v>
      </c>
      <c r="W35" s="684" t="str">
        <f>'The Table'!#REF!</f>
        <v>#ERROR!</v>
      </c>
      <c r="X35" s="1174" t="str">
        <f t="shared" si="49"/>
        <v>#ERROR!</v>
      </c>
      <c r="Y35" s="1175" t="str">
        <f t="shared" si="50"/>
        <v>#ERROR!</v>
      </c>
      <c r="Z35" s="1210">
        <v>0.0</v>
      </c>
      <c r="AA35" s="1178">
        <v>0.0</v>
      </c>
    </row>
    <row r="36" ht="15.75" customHeight="1">
      <c r="A36" s="425"/>
      <c r="B36" s="450" t="s">
        <v>41</v>
      </c>
      <c r="C36" s="452">
        <f>'Summary Sheet - April 2026'!O27</f>
        <v>8260</v>
      </c>
      <c r="D36" s="1177" t="str">
        <f t="shared" si="36"/>
        <v>#ERROR!</v>
      </c>
      <c r="E36" s="682">
        <v>0.0</v>
      </c>
      <c r="F36" s="1177" t="str">
        <f t="shared" si="38"/>
        <v>#REF!</v>
      </c>
      <c r="G36" s="682">
        <v>0.0</v>
      </c>
      <c r="H36" s="1177" t="str">
        <f t="shared" si="40"/>
        <v>#REF!</v>
      </c>
      <c r="I36" s="682" t="str">
        <f t="shared" ref="I36:I37" si="52">#REF!</f>
        <v>#REF!</v>
      </c>
      <c r="J36" s="1197" t="str">
        <f t="shared" si="42"/>
        <v>#REF!</v>
      </c>
      <c r="K36" s="682" t="str">
        <f t="shared" ref="K36:K37" si="53">#REF!</f>
        <v>#REF!</v>
      </c>
      <c r="L36" s="1173" t="str">
        <f t="shared" si="43"/>
        <v>#REF!</v>
      </c>
      <c r="M36" s="682" t="str">
        <f t="shared" ref="M36:M37" si="54">#REF!</f>
        <v>#REF!</v>
      </c>
      <c r="N36" s="1173" t="str">
        <f t="shared" si="44"/>
        <v>#REF!</v>
      </c>
      <c r="O36" s="682" t="str">
        <f>#REF!</f>
        <v>#REF!</v>
      </c>
      <c r="P36" s="1173" t="str">
        <f t="shared" si="45"/>
        <v>#REF!</v>
      </c>
      <c r="Q36" s="682" t="str">
        <f>#REF!</f>
        <v>#REF!</v>
      </c>
      <c r="R36" s="1173" t="str">
        <f t="shared" ref="R36:R37" si="55">Q36/$O$12</f>
        <v>#REF!</v>
      </c>
      <c r="S36" s="682" t="str">
        <f>#REF!</f>
        <v>#REF!</v>
      </c>
      <c r="T36" s="1177" t="str">
        <f t="shared" si="47"/>
        <v>#REF!</v>
      </c>
      <c r="U36" s="684"/>
      <c r="V36" s="1173" t="str">
        <f t="shared" si="48"/>
        <v>#ERROR!</v>
      </c>
      <c r="W36" s="684" t="str">
        <f>'The Table'!#REF!</f>
        <v>#ERROR!</v>
      </c>
      <c r="X36" s="1174" t="str">
        <f t="shared" si="49"/>
        <v>#ERROR!</v>
      </c>
      <c r="Y36" s="1175" t="str">
        <f t="shared" si="50"/>
        <v>#REF!</v>
      </c>
      <c r="Z36" s="1210">
        <v>0.0</v>
      </c>
      <c r="AA36" s="1178">
        <v>0.0</v>
      </c>
    </row>
    <row r="37" ht="15.75" customHeight="1">
      <c r="A37" s="425"/>
      <c r="B37" s="468" t="s">
        <v>42</v>
      </c>
      <c r="C37" s="470">
        <f>'The Table'!D126</f>
        <v>0</v>
      </c>
      <c r="D37" s="1180" t="str">
        <f t="shared" si="36"/>
        <v>#ERROR!</v>
      </c>
      <c r="E37" s="1181" t="str">
        <f>#REF!</f>
        <v>#REF!</v>
      </c>
      <c r="F37" s="1177" t="str">
        <f t="shared" si="38"/>
        <v>#REF!</v>
      </c>
      <c r="G37" s="1181">
        <v>0.0</v>
      </c>
      <c r="H37" s="1177" t="str">
        <f t="shared" si="40"/>
        <v>#REF!</v>
      </c>
      <c r="I37" s="1181" t="str">
        <f t="shared" si="52"/>
        <v>#REF!</v>
      </c>
      <c r="J37" s="1197" t="str">
        <f t="shared" si="42"/>
        <v>#REF!</v>
      </c>
      <c r="K37" s="1181" t="str">
        <f t="shared" si="53"/>
        <v>#REF!</v>
      </c>
      <c r="L37" s="1173" t="str">
        <f t="shared" si="43"/>
        <v>#REF!</v>
      </c>
      <c r="M37" s="1181" t="str">
        <f t="shared" si="54"/>
        <v>#REF!</v>
      </c>
      <c r="N37" s="1173" t="str">
        <f t="shared" si="44"/>
        <v>#REF!</v>
      </c>
      <c r="O37" s="1181">
        <v>0.0</v>
      </c>
      <c r="P37" s="1173" t="str">
        <f t="shared" si="45"/>
        <v>#ERROR!</v>
      </c>
      <c r="Q37" s="1181">
        <v>0.0</v>
      </c>
      <c r="R37" s="1173" t="str">
        <f t="shared" si="55"/>
        <v>#ERROR!</v>
      </c>
      <c r="S37" s="1181">
        <v>0.0</v>
      </c>
      <c r="T37" s="1177" t="str">
        <f t="shared" si="47"/>
        <v>#ERROR!</v>
      </c>
      <c r="U37" s="678" t="str">
        <f>'The Table'!#REF!</f>
        <v>#ERROR!</v>
      </c>
      <c r="V37" s="1173" t="str">
        <f t="shared" si="48"/>
        <v>#ERROR!</v>
      </c>
      <c r="W37" s="1183">
        <v>0.0</v>
      </c>
      <c r="X37" s="1174" t="str">
        <f t="shared" si="49"/>
        <v>#ERROR!</v>
      </c>
      <c r="Y37" s="1175" t="str">
        <f t="shared" si="50"/>
        <v>#REF!</v>
      </c>
      <c r="Z37" s="1211"/>
      <c r="AA37" s="1178">
        <v>0.0</v>
      </c>
    </row>
    <row r="38" ht="15.75" customHeight="1">
      <c r="A38" s="425"/>
      <c r="B38" s="1165" t="s">
        <v>43</v>
      </c>
      <c r="C38" s="1185">
        <f>SUM(C22:C37)</f>
        <v>9675194.437</v>
      </c>
      <c r="D38" s="1186" t="str">
        <f t="shared" si="36"/>
        <v>#ERROR!</v>
      </c>
      <c r="E38" s="1202" t="str">
        <f>SUM(E22:E37)</f>
        <v>#REF!</v>
      </c>
      <c r="F38" s="1186" t="str">
        <f>E38/E12</f>
        <v>#REF!</v>
      </c>
      <c r="G38" s="1202" t="str">
        <f>SUM(G22:G37)</f>
        <v>#REF!</v>
      </c>
      <c r="H38" s="1187" t="str">
        <f>G38/G12</f>
        <v>#REF!</v>
      </c>
      <c r="I38" s="1202" t="str">
        <f>SUM(I22:I37)</f>
        <v>#REF!</v>
      </c>
      <c r="J38" s="1187" t="str">
        <f>I38/I12</f>
        <v>#REF!</v>
      </c>
      <c r="K38" s="1202" t="str">
        <f>SUM(K22:K37)</f>
        <v>#REF!</v>
      </c>
      <c r="L38" s="1209"/>
      <c r="M38" s="1202" t="str">
        <f>SUM(M22:M37)</f>
        <v>#ERROR!</v>
      </c>
      <c r="N38" s="1186" t="str">
        <f t="shared" si="44"/>
        <v>#ERROR!</v>
      </c>
      <c r="O38" s="1202" t="str">
        <f>SUM(O22:O37)</f>
        <v>#ERROR!</v>
      </c>
      <c r="P38" s="1186" t="str">
        <f>O38/O12</f>
        <v>#ERROR!</v>
      </c>
      <c r="Q38" s="1202" t="str">
        <f>SUM(Q22:Q37)</f>
        <v>#ERROR!</v>
      </c>
      <c r="R38" s="1186" t="str">
        <f>Q38/Q12</f>
        <v>#ERROR!</v>
      </c>
      <c r="S38" s="1202" t="str">
        <f>SUM(S22:S37)</f>
        <v>#ERROR!</v>
      </c>
      <c r="T38" s="1186" t="str">
        <f>S38/S12</f>
        <v>#ERROR!</v>
      </c>
      <c r="U38" s="1202" t="str">
        <f>SUM(U22:U37)</f>
        <v>#ERROR!</v>
      </c>
      <c r="V38" s="1186" t="str">
        <f>U38/U12</f>
        <v>#ERROR!</v>
      </c>
      <c r="W38" s="1202" t="str">
        <f>SUM(W22:W37)</f>
        <v>#ERROR!</v>
      </c>
      <c r="X38" s="1187" t="str">
        <f>W38/W12</f>
        <v>#ERROR!</v>
      </c>
      <c r="Y38" s="1188" t="str">
        <f t="shared" ref="Y38:Z38" si="56">SUM(Y22:Y37)</f>
        <v>#REF!</v>
      </c>
      <c r="Z38" s="1188" t="str">
        <f t="shared" si="56"/>
        <v>#ERROR!</v>
      </c>
      <c r="AA38" s="1189" t="str">
        <f>Y38/Z38</f>
        <v>#REF!</v>
      </c>
    </row>
    <row r="39" ht="15.75" customHeight="1">
      <c r="A39" s="425"/>
      <c r="B39" s="508"/>
      <c r="C39" s="494"/>
      <c r="D39" s="1203"/>
      <c r="E39" s="1204"/>
      <c r="F39" s="1203"/>
      <c r="G39" s="1204"/>
      <c r="H39" s="1203"/>
      <c r="I39" s="1212"/>
      <c r="J39" s="1213"/>
      <c r="K39" s="1204"/>
      <c r="L39" s="1203"/>
      <c r="M39" s="1204"/>
      <c r="N39" s="1203"/>
      <c r="O39" s="1204"/>
      <c r="P39" s="1203"/>
      <c r="Q39" s="1204"/>
      <c r="R39" s="1203"/>
      <c r="S39" s="1204"/>
      <c r="T39" s="1203"/>
      <c r="U39" s="1204"/>
      <c r="V39" s="1203"/>
      <c r="W39" s="1212"/>
      <c r="X39" s="1213"/>
      <c r="Y39" s="1207"/>
      <c r="Z39" s="1207"/>
      <c r="AA39" s="1208"/>
    </row>
    <row r="40" ht="15.75" customHeight="1">
      <c r="A40" s="425"/>
      <c r="B40" s="1165" t="s">
        <v>44</v>
      </c>
      <c r="C40" s="1185" t="str">
        <f>C20-C38</f>
        <v>#ERROR!</v>
      </c>
      <c r="D40" s="1186" t="str">
        <f>C40/$C$12</f>
        <v>#ERROR!</v>
      </c>
      <c r="E40" s="1202" t="str">
        <f>E20-E38</f>
        <v>#REF!</v>
      </c>
      <c r="F40" s="1186" t="str">
        <f>E40/E12</f>
        <v>#REF!</v>
      </c>
      <c r="G40" s="1202" t="str">
        <f>G20-G38</f>
        <v>#REF!</v>
      </c>
      <c r="H40" s="1187" t="str">
        <f>G40/G12</f>
        <v>#REF!</v>
      </c>
      <c r="I40" s="1214" t="str">
        <f>I20-I38</f>
        <v>#REF!</v>
      </c>
      <c r="J40" s="1187" t="str">
        <f>I40/I12</f>
        <v>#REF!</v>
      </c>
      <c r="K40" s="1202" t="str">
        <f>K20-K38</f>
        <v>#REF!</v>
      </c>
      <c r="L40" s="1209"/>
      <c r="M40" s="1202" t="str">
        <f>M20-M38</f>
        <v>#ERROR!</v>
      </c>
      <c r="N40" s="1186" t="str">
        <f>M40/$M$12</f>
        <v>#ERROR!</v>
      </c>
      <c r="O40" s="1202" t="str">
        <f>O20-O38</f>
        <v>#ERROR!</v>
      </c>
      <c r="P40" s="1186" t="str">
        <f>O40/O12</f>
        <v>#ERROR!</v>
      </c>
      <c r="Q40" s="1202" t="str">
        <f>Q20-Q38</f>
        <v>#ERROR!</v>
      </c>
      <c r="R40" s="1186" t="str">
        <f>Q40/Q12</f>
        <v>#ERROR!</v>
      </c>
      <c r="S40" s="1202" t="str">
        <f>S20-S38</f>
        <v>#ERROR!</v>
      </c>
      <c r="T40" s="1186" t="str">
        <f>S40/S12</f>
        <v>#ERROR!</v>
      </c>
      <c r="U40" s="1202" t="str">
        <f>U20-U38</f>
        <v>#ERROR!</v>
      </c>
      <c r="V40" s="1186" t="str">
        <f>U40/U12</f>
        <v>#ERROR!</v>
      </c>
      <c r="W40" s="1202" t="str">
        <f>W20-W38</f>
        <v>#ERROR!</v>
      </c>
      <c r="X40" s="1186" t="str">
        <f>W40/W12</f>
        <v>#ERROR!</v>
      </c>
      <c r="Y40" s="1188" t="str">
        <f t="shared" ref="Y40:Z40" si="57">Y20-Y38</f>
        <v>#REF!</v>
      </c>
      <c r="Z40" s="1188" t="str">
        <f t="shared" si="57"/>
        <v>#ERROR!</v>
      </c>
      <c r="AA40" s="1189" t="str">
        <f>Y40/Z40</f>
        <v>#REF!</v>
      </c>
    </row>
    <row r="41" ht="15.75" customHeight="1">
      <c r="A41" s="425"/>
      <c r="B41" s="425"/>
      <c r="C41" s="1162"/>
      <c r="D41" s="1162"/>
      <c r="E41" s="1162"/>
      <c r="F41" s="1162"/>
      <c r="G41" s="1162"/>
      <c r="H41" s="1162"/>
      <c r="I41" s="1162"/>
      <c r="J41" s="1162"/>
      <c r="K41" s="1162"/>
      <c r="L41" s="1162"/>
      <c r="M41" s="1162"/>
      <c r="N41" s="1162"/>
      <c r="O41" s="1162"/>
      <c r="P41" s="1162"/>
      <c r="Q41" s="1162"/>
      <c r="R41" s="1162"/>
      <c r="S41" s="1162"/>
      <c r="T41" s="1162"/>
      <c r="U41" s="1162"/>
      <c r="V41" s="1162"/>
      <c r="W41" s="1162"/>
      <c r="X41" s="1162"/>
      <c r="Y41" s="1163"/>
      <c r="Z41" s="1163"/>
      <c r="AA41" s="1162"/>
    </row>
    <row r="42" ht="15.75" customHeight="1">
      <c r="A42" s="425"/>
      <c r="B42" s="425"/>
      <c r="C42" s="1215">
        <f>'The Table'!D132</f>
        <v>3740422.056</v>
      </c>
      <c r="D42" s="1215"/>
      <c r="E42" s="1215">
        <v>966774.5289845439</v>
      </c>
      <c r="F42" s="1215"/>
      <c r="G42" s="1215" t="str">
        <f>'The Table'!#REF!</f>
        <v>#ERROR!</v>
      </c>
      <c r="H42" s="1215"/>
      <c r="I42" s="1215" t="str">
        <f>'The Table'!#REF!</f>
        <v>#ERROR!</v>
      </c>
      <c r="J42" s="1215"/>
      <c r="K42" s="1215" t="str">
        <f>'The Table'!#REF!</f>
        <v>#ERROR!</v>
      </c>
      <c r="L42" s="1215"/>
      <c r="M42" s="1215" t="str">
        <f>'The Table'!#REF!</f>
        <v>#ERROR!</v>
      </c>
      <c r="N42" s="1215"/>
      <c r="O42" s="1215" t="str">
        <f>'The Table'!#REF!</f>
        <v>#ERROR!</v>
      </c>
      <c r="P42" s="1215"/>
      <c r="Q42" s="1215" t="str">
        <f>'The Table'!#REF!</f>
        <v>#ERROR!</v>
      </c>
      <c r="R42" s="1215"/>
      <c r="S42" s="1215" t="str">
        <f>'The Table'!#REF!</f>
        <v>#ERROR!</v>
      </c>
      <c r="T42" s="1215"/>
      <c r="U42" s="1215" t="str">
        <f>'The Table'!#REF!</f>
        <v>#ERROR!</v>
      </c>
      <c r="V42" s="1215"/>
      <c r="W42" s="1215" t="str">
        <f>'The Table'!#REF!</f>
        <v>#ERROR!</v>
      </c>
      <c r="X42" s="1215"/>
      <c r="Y42" s="1216"/>
      <c r="Z42" s="1216"/>
      <c r="AA42" s="1215"/>
    </row>
    <row r="43" ht="15.75" customHeight="1">
      <c r="A43" s="425"/>
      <c r="B43" s="425"/>
      <c r="C43" s="1217" t="str">
        <f>+C40-C42</f>
        <v>#ERROR!</v>
      </c>
      <c r="D43" s="1162"/>
      <c r="E43" s="1217" t="str">
        <f>+E40-E42</f>
        <v>#REF!</v>
      </c>
      <c r="F43" s="1162"/>
      <c r="G43" s="1217" t="str">
        <f>+G40-G42</f>
        <v>#REF!</v>
      </c>
      <c r="H43" s="1162"/>
      <c r="I43" s="1217" t="str">
        <f>+I40-I42</f>
        <v>#REF!</v>
      </c>
      <c r="J43" s="1162"/>
      <c r="K43" s="1217" t="str">
        <f>+K40-K42</f>
        <v>#REF!</v>
      </c>
      <c r="L43" s="1162"/>
      <c r="M43" s="1215" t="str">
        <f>+M40-M42</f>
        <v>#ERROR!</v>
      </c>
      <c r="N43" s="1162"/>
      <c r="O43" s="1215" t="str">
        <f>+O40-O42</f>
        <v>#ERROR!</v>
      </c>
      <c r="P43" s="1162"/>
      <c r="Q43" s="1215" t="str">
        <f>+Q40-Q42</f>
        <v>#ERROR!</v>
      </c>
      <c r="R43" s="1162"/>
      <c r="S43" s="1215" t="str">
        <f>+S40-S42</f>
        <v>#ERROR!</v>
      </c>
      <c r="T43" s="1162"/>
      <c r="U43" s="1215" t="str">
        <f>+U40-U42</f>
        <v>#ERROR!</v>
      </c>
      <c r="V43" s="1162"/>
      <c r="W43" s="1215" t="str">
        <f>+W40-W42</f>
        <v>#ERROR!</v>
      </c>
      <c r="X43" s="1162"/>
      <c r="Y43" s="1218"/>
      <c r="Z43" s="1163"/>
      <c r="AA43" s="1162"/>
    </row>
    <row r="44" ht="15.75" customHeight="1">
      <c r="A44" s="425"/>
      <c r="B44" s="425"/>
      <c r="C44" s="1162"/>
      <c r="D44" s="1162"/>
      <c r="E44" s="1162"/>
      <c r="F44" s="1162"/>
      <c r="G44" s="1162"/>
      <c r="H44" s="1162"/>
      <c r="I44" s="1162"/>
      <c r="J44" s="1162"/>
      <c r="K44" s="1162"/>
      <c r="L44" s="1162"/>
      <c r="M44" s="1162"/>
      <c r="N44" s="1162"/>
      <c r="O44" s="1162"/>
      <c r="P44" s="1162"/>
      <c r="Q44" s="1162"/>
      <c r="R44" s="1162"/>
      <c r="S44" s="1162"/>
      <c r="T44" s="1162"/>
      <c r="U44" s="1162"/>
      <c r="V44" s="1162"/>
      <c r="W44" s="1162"/>
      <c r="X44" s="1162"/>
      <c r="Y44" s="1163"/>
      <c r="Z44" s="1163"/>
      <c r="AA44" s="1162"/>
    </row>
    <row r="45" ht="15.75" customHeight="1">
      <c r="A45" s="425"/>
      <c r="B45" s="425"/>
      <c r="C45" s="1162"/>
      <c r="D45" s="1162"/>
      <c r="E45" s="1162"/>
      <c r="F45" s="1162"/>
      <c r="G45" s="1162"/>
      <c r="H45" s="1162"/>
      <c r="I45" s="1162"/>
      <c r="J45" s="1162"/>
      <c r="K45" s="1162"/>
      <c r="L45" s="1162"/>
      <c r="M45" s="1162"/>
      <c r="N45" s="1162"/>
      <c r="O45" s="1162"/>
      <c r="P45" s="1162"/>
      <c r="Q45" s="1162"/>
      <c r="R45" s="1162"/>
      <c r="S45" s="1162"/>
      <c r="T45" s="1162"/>
      <c r="U45" s="1162"/>
      <c r="V45" s="1162"/>
      <c r="W45" s="1162"/>
      <c r="X45" s="1162"/>
      <c r="Y45" s="1163"/>
      <c r="Z45" s="1163"/>
      <c r="AA45" s="1162"/>
    </row>
    <row r="46" ht="15.75" customHeight="1">
      <c r="A46" s="425"/>
      <c r="B46" s="425"/>
      <c r="C46" s="1162"/>
      <c r="D46" s="1162"/>
      <c r="E46" s="1162"/>
      <c r="F46" s="1162"/>
      <c r="G46" s="1162"/>
      <c r="H46" s="1162"/>
      <c r="I46" s="1162"/>
      <c r="J46" s="1162"/>
      <c r="K46" s="1162"/>
      <c r="L46" s="1162"/>
      <c r="M46" s="1162"/>
      <c r="N46" s="1162"/>
      <c r="O46" s="1162"/>
      <c r="P46" s="1162"/>
      <c r="Q46" s="1162"/>
      <c r="R46" s="1162"/>
      <c r="S46" s="1162"/>
      <c r="T46" s="1162"/>
      <c r="U46" s="1162"/>
      <c r="V46" s="1162"/>
      <c r="W46" s="1162"/>
      <c r="X46" s="1162"/>
      <c r="Y46" s="1163"/>
      <c r="Z46" s="1163"/>
      <c r="AA46" s="1162"/>
    </row>
    <row r="47" ht="15.75" customHeight="1">
      <c r="A47" s="425"/>
      <c r="B47" s="425"/>
      <c r="C47" s="1162"/>
      <c r="D47" s="1162"/>
      <c r="E47" s="1162"/>
      <c r="F47" s="1162"/>
      <c r="G47" s="1162"/>
      <c r="H47" s="1162"/>
      <c r="I47" s="1162"/>
      <c r="J47" s="1162"/>
      <c r="K47" s="1162"/>
      <c r="L47" s="1162"/>
      <c r="M47" s="1162"/>
      <c r="N47" s="1162"/>
      <c r="O47" s="1162"/>
      <c r="P47" s="1162"/>
      <c r="Q47" s="1162"/>
      <c r="R47" s="1162"/>
      <c r="S47" s="1162"/>
      <c r="T47" s="1162"/>
      <c r="U47" s="1162"/>
      <c r="V47" s="1162"/>
      <c r="W47" s="1162"/>
      <c r="X47" s="1162"/>
      <c r="Y47" s="1163"/>
      <c r="Z47" s="1163"/>
      <c r="AA47" s="1162"/>
    </row>
    <row r="48" ht="15.75" customHeight="1">
      <c r="A48" s="425"/>
      <c r="B48" s="425"/>
      <c r="C48" s="1162"/>
      <c r="D48" s="1162"/>
      <c r="E48" s="1162"/>
      <c r="F48" s="1162"/>
      <c r="G48" s="1162"/>
      <c r="H48" s="1162"/>
      <c r="I48" s="1162"/>
      <c r="J48" s="1162"/>
      <c r="K48" s="1162"/>
      <c r="L48" s="1162"/>
      <c r="M48" s="1162"/>
      <c r="N48" s="1162"/>
      <c r="O48" s="1162"/>
      <c r="P48" s="1162"/>
      <c r="Q48" s="1162"/>
      <c r="R48" s="1162"/>
      <c r="S48" s="1162"/>
      <c r="T48" s="1162"/>
      <c r="U48" s="1162"/>
      <c r="V48" s="1162"/>
      <c r="W48" s="1162"/>
      <c r="X48" s="1162"/>
      <c r="Y48" s="1163"/>
      <c r="Z48" s="1163"/>
      <c r="AA48" s="1162"/>
    </row>
    <row r="49" ht="15.75" customHeight="1">
      <c r="A49" s="425"/>
      <c r="B49" s="425"/>
      <c r="C49" s="1162"/>
      <c r="D49" s="1162"/>
      <c r="E49" s="1162"/>
      <c r="F49" s="1162"/>
      <c r="G49" s="1162"/>
      <c r="H49" s="1162"/>
      <c r="I49" s="1162"/>
      <c r="J49" s="1162"/>
      <c r="K49" s="1162"/>
      <c r="L49" s="1162"/>
      <c r="M49" s="1162"/>
      <c r="N49" s="1162"/>
      <c r="O49" s="1162"/>
      <c r="P49" s="1162"/>
      <c r="Q49" s="1162"/>
      <c r="R49" s="1162"/>
      <c r="S49" s="1162"/>
      <c r="T49" s="1162"/>
      <c r="U49" s="1162"/>
      <c r="V49" s="1162"/>
      <c r="W49" s="1162"/>
      <c r="X49" s="1162"/>
      <c r="Y49" s="1163"/>
      <c r="Z49" s="1163"/>
      <c r="AA49" s="1162"/>
    </row>
    <row r="50" ht="15.75" customHeight="1">
      <c r="A50" s="425"/>
      <c r="B50" s="425"/>
      <c r="C50" s="1162"/>
      <c r="D50" s="1162"/>
      <c r="E50" s="1162"/>
      <c r="F50" s="1162"/>
      <c r="G50" s="1162"/>
      <c r="H50" s="1162"/>
      <c r="I50" s="1162"/>
      <c r="J50" s="1162"/>
      <c r="K50" s="1162"/>
      <c r="L50" s="1162"/>
      <c r="M50" s="1162"/>
      <c r="N50" s="1162"/>
      <c r="O50" s="1162"/>
      <c r="P50" s="1162"/>
      <c r="Q50" s="1162"/>
      <c r="R50" s="1162"/>
      <c r="S50" s="1162"/>
      <c r="T50" s="1162"/>
      <c r="U50" s="1162"/>
      <c r="V50" s="1162"/>
      <c r="W50" s="1162"/>
      <c r="X50" s="1162"/>
      <c r="Y50" s="1163"/>
      <c r="Z50" s="1163"/>
      <c r="AA50" s="1162"/>
    </row>
    <row r="51" ht="15.75" customHeight="1">
      <c r="A51" s="425"/>
      <c r="B51" s="425"/>
      <c r="C51" s="1162"/>
      <c r="D51" s="1162"/>
      <c r="E51" s="1162"/>
      <c r="F51" s="1162"/>
      <c r="G51" s="1162"/>
      <c r="H51" s="1162"/>
      <c r="I51" s="1162"/>
      <c r="J51" s="1162"/>
      <c r="K51" s="1162"/>
      <c r="L51" s="1162"/>
      <c r="M51" s="1162"/>
      <c r="N51" s="1162"/>
      <c r="O51" s="1162"/>
      <c r="P51" s="1162"/>
      <c r="Q51" s="1162"/>
      <c r="R51" s="1162"/>
      <c r="S51" s="1162"/>
      <c r="T51" s="1162"/>
      <c r="U51" s="1162"/>
      <c r="V51" s="1162"/>
      <c r="W51" s="1162"/>
      <c r="X51" s="1162"/>
      <c r="Y51" s="1163"/>
      <c r="Z51" s="1163"/>
      <c r="AA51" s="1162"/>
    </row>
    <row r="52" ht="15.75" customHeight="1">
      <c r="A52" s="425"/>
      <c r="B52" s="425"/>
      <c r="C52" s="1162"/>
      <c r="D52" s="1162"/>
      <c r="E52" s="1162"/>
      <c r="F52" s="1162"/>
      <c r="G52" s="1162"/>
      <c r="H52" s="1162"/>
      <c r="I52" s="1162"/>
      <c r="J52" s="1162"/>
      <c r="K52" s="1162"/>
      <c r="L52" s="1162"/>
      <c r="M52" s="1162"/>
      <c r="N52" s="1162"/>
      <c r="O52" s="1162"/>
      <c r="P52" s="1162"/>
      <c r="Q52" s="1162"/>
      <c r="R52" s="1162"/>
      <c r="S52" s="1162"/>
      <c r="T52" s="1162"/>
      <c r="U52" s="1162"/>
      <c r="V52" s="1162"/>
      <c r="W52" s="1162"/>
      <c r="X52" s="1162"/>
      <c r="Y52" s="1163"/>
      <c r="Z52" s="1163"/>
      <c r="AA52" s="1162"/>
    </row>
    <row r="53" ht="15.75" customHeight="1">
      <c r="A53" s="425"/>
      <c r="B53" s="425"/>
      <c r="C53" s="1162"/>
      <c r="D53" s="1162"/>
      <c r="E53" s="1162"/>
      <c r="F53" s="1162"/>
      <c r="G53" s="1162"/>
      <c r="H53" s="1162"/>
      <c r="I53" s="1162"/>
      <c r="J53" s="1162"/>
      <c r="K53" s="1162"/>
      <c r="L53" s="1162"/>
      <c r="M53" s="1162"/>
      <c r="N53" s="1162"/>
      <c r="O53" s="1162"/>
      <c r="P53" s="1162"/>
      <c r="Q53" s="1162"/>
      <c r="R53" s="1162"/>
      <c r="S53" s="1162"/>
      <c r="T53" s="1162"/>
      <c r="U53" s="1162"/>
      <c r="V53" s="1162"/>
      <c r="W53" s="1162"/>
      <c r="X53" s="1162"/>
      <c r="Y53" s="1163"/>
      <c r="Z53" s="1163"/>
      <c r="AA53" s="1162"/>
    </row>
    <row r="54" ht="15.75" customHeight="1">
      <c r="A54" s="425"/>
      <c r="B54" s="425"/>
      <c r="C54" s="1162"/>
      <c r="D54" s="1162"/>
      <c r="E54" s="1162"/>
      <c r="F54" s="1162"/>
      <c r="G54" s="1162"/>
      <c r="H54" s="1162"/>
      <c r="I54" s="1162"/>
      <c r="J54" s="1162"/>
      <c r="K54" s="1162"/>
      <c r="L54" s="1162"/>
      <c r="M54" s="1162"/>
      <c r="N54" s="1162"/>
      <c r="O54" s="1162"/>
      <c r="P54" s="1162"/>
      <c r="Q54" s="1162"/>
      <c r="R54" s="1162"/>
      <c r="S54" s="1162"/>
      <c r="T54" s="1162"/>
      <c r="U54" s="1162"/>
      <c r="V54" s="1162"/>
      <c r="W54" s="1162"/>
      <c r="X54" s="1162"/>
      <c r="Y54" s="1163"/>
      <c r="Z54" s="1163"/>
      <c r="AA54" s="1162"/>
    </row>
    <row r="55" ht="15.75" customHeight="1">
      <c r="A55" s="425"/>
      <c r="B55" s="425"/>
      <c r="C55" s="1162"/>
      <c r="D55" s="1162"/>
      <c r="E55" s="1162"/>
      <c r="F55" s="1162"/>
      <c r="G55" s="1162"/>
      <c r="H55" s="1162"/>
      <c r="I55" s="1162"/>
      <c r="J55" s="1162"/>
      <c r="K55" s="1162"/>
      <c r="L55" s="1162"/>
      <c r="M55" s="1162"/>
      <c r="N55" s="1162"/>
      <c r="O55" s="1162"/>
      <c r="P55" s="1162"/>
      <c r="Q55" s="1162"/>
      <c r="R55" s="1162"/>
      <c r="S55" s="1162"/>
      <c r="T55" s="1162"/>
      <c r="U55" s="1162"/>
      <c r="V55" s="1162"/>
      <c r="W55" s="1162"/>
      <c r="X55" s="1162"/>
      <c r="Y55" s="1163"/>
      <c r="Z55" s="1163"/>
      <c r="AA55" s="1162"/>
    </row>
    <row r="56" ht="15.75" customHeight="1">
      <c r="A56" s="425"/>
      <c r="B56" s="425"/>
      <c r="C56" s="1162"/>
      <c r="D56" s="1162"/>
      <c r="E56" s="1162"/>
      <c r="F56" s="1162"/>
      <c r="G56" s="1162"/>
      <c r="H56" s="1162"/>
      <c r="I56" s="1162"/>
      <c r="J56" s="1162"/>
      <c r="K56" s="1162"/>
      <c r="L56" s="1162"/>
      <c r="M56" s="1162"/>
      <c r="N56" s="1162"/>
      <c r="O56" s="1162"/>
      <c r="P56" s="1162"/>
      <c r="Q56" s="1162"/>
      <c r="R56" s="1162"/>
      <c r="S56" s="1162"/>
      <c r="T56" s="1162"/>
      <c r="U56" s="1162"/>
      <c r="V56" s="1162"/>
      <c r="W56" s="1162"/>
      <c r="X56" s="1162"/>
      <c r="Y56" s="1163"/>
      <c r="Z56" s="1163"/>
      <c r="AA56" s="1162"/>
    </row>
    <row r="57" ht="15.75" customHeight="1">
      <c r="A57" s="425"/>
      <c r="B57" s="425"/>
      <c r="C57" s="1162"/>
      <c r="D57" s="1162"/>
      <c r="E57" s="1162"/>
      <c r="F57" s="1162"/>
      <c r="G57" s="1162"/>
      <c r="H57" s="1162"/>
      <c r="I57" s="1162"/>
      <c r="J57" s="1162"/>
      <c r="K57" s="1162"/>
      <c r="L57" s="1162"/>
      <c r="M57" s="1162"/>
      <c r="N57" s="1162"/>
      <c r="O57" s="1162"/>
      <c r="P57" s="1162"/>
      <c r="Q57" s="1162"/>
      <c r="R57" s="1162"/>
      <c r="S57" s="1162"/>
      <c r="T57" s="1162"/>
      <c r="U57" s="1162"/>
      <c r="V57" s="1162"/>
      <c r="W57" s="1162"/>
      <c r="X57" s="1162"/>
      <c r="Y57" s="1163"/>
      <c r="Z57" s="1163"/>
      <c r="AA57" s="1162"/>
    </row>
    <row r="58" ht="15.75" customHeight="1">
      <c r="A58" s="425"/>
      <c r="B58" s="425"/>
      <c r="C58" s="1162"/>
      <c r="D58" s="1162"/>
      <c r="E58" s="1162"/>
      <c r="F58" s="1162"/>
      <c r="G58" s="1162"/>
      <c r="H58" s="1162"/>
      <c r="I58" s="1162"/>
      <c r="J58" s="1162"/>
      <c r="K58" s="1162"/>
      <c r="L58" s="1162"/>
      <c r="M58" s="1162"/>
      <c r="N58" s="1162"/>
      <c r="O58" s="1162"/>
      <c r="P58" s="1162"/>
      <c r="Q58" s="1162"/>
      <c r="R58" s="1162"/>
      <c r="S58" s="1162"/>
      <c r="T58" s="1162"/>
      <c r="U58" s="1162"/>
      <c r="V58" s="1162"/>
      <c r="W58" s="1162"/>
      <c r="X58" s="1162"/>
      <c r="Y58" s="1163"/>
      <c r="Z58" s="1163"/>
      <c r="AA58" s="1162"/>
    </row>
    <row r="59" ht="15.75" customHeight="1">
      <c r="A59" s="425"/>
      <c r="B59" s="425"/>
      <c r="C59" s="1162"/>
      <c r="D59" s="1162"/>
      <c r="E59" s="1162"/>
      <c r="F59" s="1162"/>
      <c r="G59" s="1162"/>
      <c r="H59" s="1162"/>
      <c r="I59" s="1162"/>
      <c r="J59" s="1162"/>
      <c r="K59" s="1162"/>
      <c r="L59" s="1162"/>
      <c r="M59" s="1162"/>
      <c r="N59" s="1162"/>
      <c r="O59" s="1162"/>
      <c r="P59" s="1162"/>
      <c r="Q59" s="1162"/>
      <c r="R59" s="1162"/>
      <c r="S59" s="1162"/>
      <c r="T59" s="1162"/>
      <c r="U59" s="1162"/>
      <c r="V59" s="1162"/>
      <c r="W59" s="1162"/>
      <c r="X59" s="1162"/>
      <c r="Y59" s="1163"/>
      <c r="Z59" s="1163"/>
      <c r="AA59" s="1162"/>
    </row>
    <row r="60" ht="15.75" customHeight="1">
      <c r="A60" s="425"/>
      <c r="B60" s="425"/>
      <c r="C60" s="1162"/>
      <c r="D60" s="1162"/>
      <c r="E60" s="1162"/>
      <c r="F60" s="1162"/>
      <c r="G60" s="1162"/>
      <c r="H60" s="1162"/>
      <c r="I60" s="1162"/>
      <c r="J60" s="1162"/>
      <c r="K60" s="1162"/>
      <c r="L60" s="1162"/>
      <c r="M60" s="1162"/>
      <c r="N60" s="1162"/>
      <c r="O60" s="1162"/>
      <c r="P60" s="1162"/>
      <c r="Q60" s="1162"/>
      <c r="R60" s="1162"/>
      <c r="S60" s="1162"/>
      <c r="T60" s="1162"/>
      <c r="U60" s="1162"/>
      <c r="V60" s="1162"/>
      <c r="W60" s="1162"/>
      <c r="X60" s="1162"/>
      <c r="Y60" s="1163"/>
      <c r="Z60" s="1163"/>
      <c r="AA60" s="1162"/>
    </row>
    <row r="61" ht="15.75" customHeight="1">
      <c r="A61" s="425"/>
      <c r="B61" s="425"/>
      <c r="C61" s="1162"/>
      <c r="D61" s="1162"/>
      <c r="E61" s="1162"/>
      <c r="F61" s="1162"/>
      <c r="G61" s="1162"/>
      <c r="H61" s="1162"/>
      <c r="I61" s="1162"/>
      <c r="J61" s="1162"/>
      <c r="K61" s="1162"/>
      <c r="L61" s="1162"/>
      <c r="M61" s="1162"/>
      <c r="N61" s="1162"/>
      <c r="O61" s="1162"/>
      <c r="P61" s="1162"/>
      <c r="Q61" s="1162"/>
      <c r="R61" s="1162"/>
      <c r="S61" s="1162"/>
      <c r="T61" s="1162"/>
      <c r="U61" s="1162"/>
      <c r="V61" s="1162"/>
      <c r="W61" s="1162"/>
      <c r="X61" s="1162"/>
      <c r="Y61" s="1163"/>
      <c r="Z61" s="1163"/>
      <c r="AA61" s="1162"/>
    </row>
    <row r="62" ht="15.75" customHeight="1">
      <c r="A62" s="425"/>
      <c r="B62" s="425"/>
      <c r="C62" s="1162"/>
      <c r="D62" s="1162"/>
      <c r="E62" s="1162"/>
      <c r="F62" s="1162"/>
      <c r="G62" s="1162"/>
      <c r="H62" s="1162"/>
      <c r="I62" s="1162"/>
      <c r="J62" s="1162"/>
      <c r="K62" s="1162"/>
      <c r="L62" s="1162"/>
      <c r="M62" s="1162"/>
      <c r="N62" s="1162"/>
      <c r="O62" s="1162"/>
      <c r="P62" s="1162"/>
      <c r="Q62" s="1162"/>
      <c r="R62" s="1162"/>
      <c r="S62" s="1162"/>
      <c r="T62" s="1162"/>
      <c r="U62" s="1162"/>
      <c r="V62" s="1162"/>
      <c r="W62" s="1162"/>
      <c r="X62" s="1162"/>
      <c r="Y62" s="1163"/>
      <c r="Z62" s="1163"/>
      <c r="AA62" s="1162"/>
    </row>
    <row r="63" ht="15.75" customHeight="1">
      <c r="A63" s="425"/>
      <c r="B63" s="425"/>
      <c r="C63" s="1162"/>
      <c r="D63" s="1162"/>
      <c r="E63" s="1162"/>
      <c r="F63" s="1162"/>
      <c r="G63" s="1162"/>
      <c r="H63" s="1162"/>
      <c r="I63" s="1162"/>
      <c r="J63" s="1162"/>
      <c r="K63" s="1162"/>
      <c r="L63" s="1162"/>
      <c r="M63" s="1162"/>
      <c r="N63" s="1162"/>
      <c r="O63" s="1162"/>
      <c r="P63" s="1162"/>
      <c r="Q63" s="1162"/>
      <c r="R63" s="1162"/>
      <c r="S63" s="1162"/>
      <c r="T63" s="1162"/>
      <c r="U63" s="1162"/>
      <c r="V63" s="1162"/>
      <c r="W63" s="1162"/>
      <c r="X63" s="1162"/>
      <c r="Y63" s="1163"/>
      <c r="Z63" s="1163"/>
      <c r="AA63" s="1162"/>
    </row>
    <row r="64" ht="15.75" customHeight="1">
      <c r="A64" s="425"/>
      <c r="B64" s="425"/>
      <c r="C64" s="1162"/>
      <c r="D64" s="1162"/>
      <c r="E64" s="1162"/>
      <c r="F64" s="1162"/>
      <c r="G64" s="1162"/>
      <c r="H64" s="1162"/>
      <c r="I64" s="1162"/>
      <c r="J64" s="1162"/>
      <c r="K64" s="1162"/>
      <c r="L64" s="1162"/>
      <c r="M64" s="1162"/>
      <c r="N64" s="1162"/>
      <c r="O64" s="1162"/>
      <c r="P64" s="1162"/>
      <c r="Q64" s="1162"/>
      <c r="R64" s="1162"/>
      <c r="S64" s="1162"/>
      <c r="T64" s="1162"/>
      <c r="U64" s="1162"/>
      <c r="V64" s="1162"/>
      <c r="W64" s="1162"/>
      <c r="X64" s="1162"/>
      <c r="Y64" s="1163"/>
      <c r="Z64" s="1163"/>
      <c r="AA64" s="1162"/>
    </row>
    <row r="65" ht="15.75" customHeight="1">
      <c r="A65" s="425"/>
      <c r="B65" s="425"/>
      <c r="C65" s="1162"/>
      <c r="D65" s="1162"/>
      <c r="E65" s="1162"/>
      <c r="F65" s="1162"/>
      <c r="G65" s="1162"/>
      <c r="H65" s="1162"/>
      <c r="I65" s="1162"/>
      <c r="J65" s="1162"/>
      <c r="K65" s="1162"/>
      <c r="L65" s="1162"/>
      <c r="M65" s="1162"/>
      <c r="N65" s="1162"/>
      <c r="O65" s="1162"/>
      <c r="P65" s="1162"/>
      <c r="Q65" s="1162"/>
      <c r="R65" s="1162"/>
      <c r="S65" s="1162"/>
      <c r="T65" s="1162"/>
      <c r="U65" s="1162"/>
      <c r="V65" s="1162"/>
      <c r="W65" s="1162"/>
      <c r="X65" s="1162"/>
      <c r="Y65" s="1163"/>
      <c r="Z65" s="1163"/>
      <c r="AA65" s="1162"/>
    </row>
    <row r="66" ht="15.75" customHeight="1">
      <c r="A66" s="425"/>
      <c r="B66" s="425"/>
      <c r="C66" s="1162"/>
      <c r="D66" s="1162"/>
      <c r="E66" s="1162"/>
      <c r="F66" s="1162"/>
      <c r="G66" s="1162"/>
      <c r="H66" s="1162"/>
      <c r="I66" s="1162"/>
      <c r="J66" s="1162"/>
      <c r="K66" s="1162"/>
      <c r="L66" s="1162"/>
      <c r="M66" s="1162"/>
      <c r="N66" s="1162"/>
      <c r="O66" s="1162"/>
      <c r="P66" s="1162"/>
      <c r="Q66" s="1162"/>
      <c r="R66" s="1162"/>
      <c r="S66" s="1162"/>
      <c r="T66" s="1162"/>
      <c r="U66" s="1162"/>
      <c r="V66" s="1162"/>
      <c r="W66" s="1162"/>
      <c r="X66" s="1162"/>
      <c r="Y66" s="1163"/>
      <c r="Z66" s="1163"/>
      <c r="AA66" s="1162"/>
    </row>
    <row r="67" ht="15.75" customHeight="1">
      <c r="A67" s="425"/>
      <c r="B67" s="425"/>
      <c r="C67" s="1162"/>
      <c r="D67" s="1162"/>
      <c r="E67" s="1162"/>
      <c r="F67" s="1162"/>
      <c r="G67" s="1162"/>
      <c r="H67" s="1162"/>
      <c r="I67" s="1162"/>
      <c r="J67" s="1162"/>
      <c r="K67" s="1162"/>
      <c r="L67" s="1162"/>
      <c r="M67" s="1162"/>
      <c r="N67" s="1162"/>
      <c r="O67" s="1162"/>
      <c r="P67" s="1162"/>
      <c r="Q67" s="1162"/>
      <c r="R67" s="1162"/>
      <c r="S67" s="1162"/>
      <c r="T67" s="1162"/>
      <c r="U67" s="1162"/>
      <c r="V67" s="1162"/>
      <c r="W67" s="1162"/>
      <c r="X67" s="1162"/>
      <c r="Y67" s="1163"/>
      <c r="Z67" s="1163"/>
      <c r="AA67" s="1162"/>
    </row>
    <row r="68" ht="15.75" customHeight="1">
      <c r="A68" s="425"/>
      <c r="B68" s="425"/>
      <c r="C68" s="1162"/>
      <c r="D68" s="1162"/>
      <c r="E68" s="1162"/>
      <c r="F68" s="1162"/>
      <c r="G68" s="1162"/>
      <c r="H68" s="1162"/>
      <c r="I68" s="1162"/>
      <c r="J68" s="1162"/>
      <c r="K68" s="1162"/>
      <c r="L68" s="1162"/>
      <c r="M68" s="1162"/>
      <c r="N68" s="1162"/>
      <c r="O68" s="1162"/>
      <c r="P68" s="1162"/>
      <c r="Q68" s="1162"/>
      <c r="R68" s="1162"/>
      <c r="S68" s="1162"/>
      <c r="T68" s="1162"/>
      <c r="U68" s="1162"/>
      <c r="V68" s="1162"/>
      <c r="W68" s="1162"/>
      <c r="X68" s="1162"/>
      <c r="Y68" s="1163"/>
      <c r="Z68" s="1163"/>
      <c r="AA68" s="1162"/>
    </row>
    <row r="69" ht="15.75" customHeight="1">
      <c r="A69" s="425"/>
      <c r="B69" s="425"/>
      <c r="C69" s="1162"/>
      <c r="D69" s="1162"/>
      <c r="E69" s="1162"/>
      <c r="F69" s="1162"/>
      <c r="G69" s="1162"/>
      <c r="H69" s="1162"/>
      <c r="I69" s="1162"/>
      <c r="J69" s="1162"/>
      <c r="K69" s="1162"/>
      <c r="L69" s="1162"/>
      <c r="M69" s="1162"/>
      <c r="N69" s="1162"/>
      <c r="O69" s="1162"/>
      <c r="P69" s="1162"/>
      <c r="Q69" s="1162"/>
      <c r="R69" s="1162"/>
      <c r="S69" s="1162"/>
      <c r="T69" s="1162"/>
      <c r="U69" s="1162"/>
      <c r="V69" s="1162"/>
      <c r="W69" s="1162"/>
      <c r="X69" s="1162"/>
      <c r="Y69" s="1163"/>
      <c r="Z69" s="1163"/>
      <c r="AA69" s="1162"/>
    </row>
    <row r="70" ht="15.75" customHeight="1">
      <c r="A70" s="425"/>
      <c r="B70" s="425"/>
      <c r="C70" s="1162"/>
      <c r="D70" s="1162"/>
      <c r="E70" s="1162"/>
      <c r="F70" s="1162"/>
      <c r="G70" s="1162"/>
      <c r="H70" s="1162"/>
      <c r="I70" s="1162"/>
      <c r="J70" s="1162"/>
      <c r="K70" s="1162"/>
      <c r="L70" s="1162"/>
      <c r="M70" s="1162"/>
      <c r="N70" s="1162"/>
      <c r="O70" s="1162"/>
      <c r="P70" s="1162"/>
      <c r="Q70" s="1162"/>
      <c r="R70" s="1162"/>
      <c r="S70" s="1162"/>
      <c r="T70" s="1162"/>
      <c r="U70" s="1162"/>
      <c r="V70" s="1162"/>
      <c r="W70" s="1162"/>
      <c r="X70" s="1162"/>
      <c r="Y70" s="1163"/>
      <c r="Z70" s="1163"/>
      <c r="AA70" s="1162"/>
    </row>
    <row r="71" ht="15.75" customHeight="1">
      <c r="A71" s="425"/>
      <c r="B71" s="425"/>
      <c r="C71" s="1162"/>
      <c r="D71" s="1162"/>
      <c r="E71" s="1162"/>
      <c r="F71" s="1162"/>
      <c r="G71" s="1162"/>
      <c r="H71" s="1162"/>
      <c r="I71" s="1162"/>
      <c r="J71" s="1162"/>
      <c r="K71" s="1162"/>
      <c r="L71" s="1162"/>
      <c r="M71" s="1162"/>
      <c r="N71" s="1162"/>
      <c r="O71" s="1162"/>
      <c r="P71" s="1162"/>
      <c r="Q71" s="1162"/>
      <c r="R71" s="1162"/>
      <c r="S71" s="1162"/>
      <c r="T71" s="1162"/>
      <c r="U71" s="1162"/>
      <c r="V71" s="1162"/>
      <c r="W71" s="1162"/>
      <c r="X71" s="1162"/>
      <c r="Y71" s="1163"/>
      <c r="Z71" s="1163"/>
      <c r="AA71" s="1162"/>
    </row>
    <row r="72" ht="15.75" customHeight="1">
      <c r="A72" s="425"/>
      <c r="B72" s="425"/>
      <c r="C72" s="1162"/>
      <c r="D72" s="1162"/>
      <c r="E72" s="1162"/>
      <c r="F72" s="1162"/>
      <c r="G72" s="1162"/>
      <c r="H72" s="1162"/>
      <c r="I72" s="1162"/>
      <c r="J72" s="1162"/>
      <c r="K72" s="1162"/>
      <c r="L72" s="1162"/>
      <c r="M72" s="1162"/>
      <c r="N72" s="1162"/>
      <c r="O72" s="1162"/>
      <c r="P72" s="1162"/>
      <c r="Q72" s="1162"/>
      <c r="R72" s="1162"/>
      <c r="S72" s="1162"/>
      <c r="T72" s="1162"/>
      <c r="U72" s="1162"/>
      <c r="V72" s="1162"/>
      <c r="W72" s="1162"/>
      <c r="X72" s="1162"/>
      <c r="Y72" s="1163"/>
      <c r="Z72" s="1163"/>
      <c r="AA72" s="1162"/>
    </row>
    <row r="73" ht="15.75" customHeight="1">
      <c r="A73" s="425"/>
      <c r="B73" s="425"/>
      <c r="C73" s="1162"/>
      <c r="D73" s="1162"/>
      <c r="E73" s="1162"/>
      <c r="F73" s="1162"/>
      <c r="G73" s="1162"/>
      <c r="H73" s="1162"/>
      <c r="I73" s="1162"/>
      <c r="J73" s="1162"/>
      <c r="K73" s="1162"/>
      <c r="L73" s="1162"/>
      <c r="M73" s="1162"/>
      <c r="N73" s="1162"/>
      <c r="O73" s="1162"/>
      <c r="P73" s="1162"/>
      <c r="Q73" s="1162"/>
      <c r="R73" s="1162"/>
      <c r="S73" s="1162"/>
      <c r="T73" s="1162"/>
      <c r="U73" s="1162"/>
      <c r="V73" s="1162"/>
      <c r="W73" s="1162"/>
      <c r="X73" s="1162"/>
      <c r="Y73" s="1163"/>
      <c r="Z73" s="1163"/>
      <c r="AA73" s="1162"/>
    </row>
    <row r="74" ht="15.75" customHeight="1">
      <c r="A74" s="425"/>
      <c r="B74" s="425"/>
      <c r="C74" s="1162"/>
      <c r="D74" s="1162"/>
      <c r="E74" s="1162"/>
      <c r="F74" s="1162"/>
      <c r="G74" s="1162"/>
      <c r="H74" s="1162"/>
      <c r="I74" s="1162"/>
      <c r="J74" s="1162"/>
      <c r="K74" s="1162"/>
      <c r="L74" s="1162"/>
      <c r="M74" s="1162"/>
      <c r="N74" s="1162"/>
      <c r="O74" s="1162"/>
      <c r="P74" s="1162"/>
      <c r="Q74" s="1162"/>
      <c r="R74" s="1162"/>
      <c r="S74" s="1162"/>
      <c r="T74" s="1162"/>
      <c r="U74" s="1162"/>
      <c r="V74" s="1162"/>
      <c r="W74" s="1162"/>
      <c r="X74" s="1162"/>
      <c r="Y74" s="1163"/>
      <c r="Z74" s="1163"/>
      <c r="AA74" s="1162"/>
    </row>
    <row r="75" ht="15.75" customHeight="1">
      <c r="A75" s="425"/>
      <c r="B75" s="425"/>
      <c r="C75" s="1162"/>
      <c r="D75" s="1162"/>
      <c r="E75" s="1162"/>
      <c r="F75" s="1162"/>
      <c r="G75" s="1162"/>
      <c r="H75" s="1162"/>
      <c r="I75" s="1162"/>
      <c r="J75" s="1162"/>
      <c r="K75" s="1162"/>
      <c r="L75" s="1162"/>
      <c r="M75" s="1162"/>
      <c r="N75" s="1162"/>
      <c r="O75" s="1162"/>
      <c r="P75" s="1162"/>
      <c r="Q75" s="1162"/>
      <c r="R75" s="1162"/>
      <c r="S75" s="1162"/>
      <c r="T75" s="1162"/>
      <c r="U75" s="1162"/>
      <c r="V75" s="1162"/>
      <c r="W75" s="1162"/>
      <c r="X75" s="1162"/>
      <c r="Y75" s="1163"/>
      <c r="Z75" s="1163"/>
      <c r="AA75" s="1162"/>
    </row>
    <row r="76" ht="15.75" customHeight="1">
      <c r="A76" s="425"/>
      <c r="B76" s="425"/>
      <c r="C76" s="1162"/>
      <c r="D76" s="1162"/>
      <c r="E76" s="1162"/>
      <c r="F76" s="1162"/>
      <c r="G76" s="1162"/>
      <c r="H76" s="1162"/>
      <c r="I76" s="1162"/>
      <c r="J76" s="1162"/>
      <c r="K76" s="1162"/>
      <c r="L76" s="1162"/>
      <c r="M76" s="1162"/>
      <c r="N76" s="1162"/>
      <c r="O76" s="1162"/>
      <c r="P76" s="1162"/>
      <c r="Q76" s="1162"/>
      <c r="R76" s="1162"/>
      <c r="S76" s="1162"/>
      <c r="T76" s="1162"/>
      <c r="U76" s="1162"/>
      <c r="V76" s="1162"/>
      <c r="W76" s="1162"/>
      <c r="X76" s="1162"/>
      <c r="Y76" s="1163"/>
      <c r="Z76" s="1163"/>
      <c r="AA76" s="1162"/>
    </row>
    <row r="77" ht="15.75" customHeight="1">
      <c r="A77" s="425"/>
      <c r="B77" s="425"/>
      <c r="C77" s="1162"/>
      <c r="D77" s="1162"/>
      <c r="E77" s="1162"/>
      <c r="F77" s="1162"/>
      <c r="G77" s="1162"/>
      <c r="H77" s="1162"/>
      <c r="I77" s="1162"/>
      <c r="J77" s="1162"/>
      <c r="K77" s="1162"/>
      <c r="L77" s="1162"/>
      <c r="M77" s="1162"/>
      <c r="N77" s="1162"/>
      <c r="O77" s="1162"/>
      <c r="P77" s="1162"/>
      <c r="Q77" s="1162"/>
      <c r="R77" s="1162"/>
      <c r="S77" s="1162"/>
      <c r="T77" s="1162"/>
      <c r="U77" s="1162"/>
      <c r="V77" s="1162"/>
      <c r="W77" s="1162"/>
      <c r="X77" s="1162"/>
      <c r="Y77" s="1163"/>
      <c r="Z77" s="1163"/>
      <c r="AA77" s="1162"/>
    </row>
    <row r="78" ht="15.75" customHeight="1">
      <c r="A78" s="425"/>
      <c r="B78" s="425"/>
      <c r="C78" s="1162"/>
      <c r="D78" s="1162"/>
      <c r="E78" s="1162"/>
      <c r="F78" s="1162"/>
      <c r="G78" s="1162"/>
      <c r="H78" s="1162"/>
      <c r="I78" s="1162"/>
      <c r="J78" s="1162"/>
      <c r="K78" s="1162"/>
      <c r="L78" s="1162"/>
      <c r="M78" s="1162"/>
      <c r="N78" s="1162"/>
      <c r="O78" s="1162"/>
      <c r="P78" s="1162"/>
      <c r="Q78" s="1162"/>
      <c r="R78" s="1162"/>
      <c r="S78" s="1162"/>
      <c r="T78" s="1162"/>
      <c r="U78" s="1162"/>
      <c r="V78" s="1162"/>
      <c r="W78" s="1162"/>
      <c r="X78" s="1162"/>
      <c r="Y78" s="1163"/>
      <c r="Z78" s="1163"/>
      <c r="AA78" s="1162"/>
    </row>
    <row r="79" ht="15.75" customHeight="1">
      <c r="A79" s="425"/>
      <c r="B79" s="425"/>
      <c r="C79" s="1162"/>
      <c r="D79" s="1162"/>
      <c r="E79" s="1162"/>
      <c r="F79" s="1162"/>
      <c r="G79" s="1162"/>
      <c r="H79" s="1162"/>
      <c r="I79" s="1162"/>
      <c r="J79" s="1162"/>
      <c r="K79" s="1162"/>
      <c r="L79" s="1162"/>
      <c r="M79" s="1162"/>
      <c r="N79" s="1162"/>
      <c r="O79" s="1162"/>
      <c r="P79" s="1162"/>
      <c r="Q79" s="1162"/>
      <c r="R79" s="1162"/>
      <c r="S79" s="1162"/>
      <c r="T79" s="1162"/>
      <c r="U79" s="1162"/>
      <c r="V79" s="1162"/>
      <c r="W79" s="1162"/>
      <c r="X79" s="1162"/>
      <c r="Y79" s="1163"/>
      <c r="Z79" s="1163"/>
      <c r="AA79" s="1162"/>
    </row>
    <row r="80" ht="15.75" customHeight="1">
      <c r="A80" s="425"/>
      <c r="B80" s="425"/>
      <c r="C80" s="1162"/>
      <c r="D80" s="1162"/>
      <c r="E80" s="1162"/>
      <c r="F80" s="1162"/>
      <c r="G80" s="1162"/>
      <c r="H80" s="1162"/>
      <c r="I80" s="1162"/>
      <c r="J80" s="1162"/>
      <c r="K80" s="1162"/>
      <c r="L80" s="1162"/>
      <c r="M80" s="1162"/>
      <c r="N80" s="1162"/>
      <c r="O80" s="1162"/>
      <c r="P80" s="1162"/>
      <c r="Q80" s="1162"/>
      <c r="R80" s="1162"/>
      <c r="S80" s="1162"/>
      <c r="T80" s="1162"/>
      <c r="U80" s="1162"/>
      <c r="V80" s="1162"/>
      <c r="W80" s="1162"/>
      <c r="X80" s="1162"/>
      <c r="Y80" s="1163"/>
      <c r="Z80" s="1163"/>
      <c r="AA80" s="1162"/>
    </row>
    <row r="81" ht="15.75" customHeight="1">
      <c r="A81" s="425"/>
      <c r="B81" s="425"/>
      <c r="C81" s="1162"/>
      <c r="D81" s="1162"/>
      <c r="E81" s="1162"/>
      <c r="F81" s="1162"/>
      <c r="G81" s="1162"/>
      <c r="H81" s="1162"/>
      <c r="I81" s="1162"/>
      <c r="J81" s="1162"/>
      <c r="K81" s="1162"/>
      <c r="L81" s="1162"/>
      <c r="M81" s="1162"/>
      <c r="N81" s="1162"/>
      <c r="O81" s="1162"/>
      <c r="P81" s="1162"/>
      <c r="Q81" s="1162"/>
      <c r="R81" s="1162"/>
      <c r="S81" s="1162"/>
      <c r="T81" s="1162"/>
      <c r="U81" s="1162"/>
      <c r="V81" s="1162"/>
      <c r="W81" s="1162"/>
      <c r="X81" s="1162"/>
      <c r="Y81" s="1163"/>
      <c r="Z81" s="1163"/>
      <c r="AA81" s="1162"/>
    </row>
    <row r="82" ht="15.75" customHeight="1">
      <c r="A82" s="425"/>
      <c r="B82" s="425"/>
      <c r="C82" s="1162"/>
      <c r="D82" s="1162"/>
      <c r="E82" s="1162"/>
      <c r="F82" s="1162"/>
      <c r="G82" s="1162"/>
      <c r="H82" s="1162"/>
      <c r="I82" s="1162"/>
      <c r="J82" s="1162"/>
      <c r="K82" s="1162"/>
      <c r="L82" s="1162"/>
      <c r="M82" s="1162"/>
      <c r="N82" s="1162"/>
      <c r="O82" s="1162"/>
      <c r="P82" s="1162"/>
      <c r="Q82" s="1162"/>
      <c r="R82" s="1162"/>
      <c r="S82" s="1162"/>
      <c r="T82" s="1162"/>
      <c r="U82" s="1162"/>
      <c r="V82" s="1162"/>
      <c r="W82" s="1162"/>
      <c r="X82" s="1162"/>
      <c r="Y82" s="1163"/>
      <c r="Z82" s="1163"/>
      <c r="AA82" s="1162"/>
    </row>
    <row r="83" ht="15.75" customHeight="1">
      <c r="A83" s="425"/>
      <c r="B83" s="425"/>
      <c r="C83" s="1162"/>
      <c r="D83" s="1162"/>
      <c r="E83" s="1162"/>
      <c r="F83" s="1162"/>
      <c r="G83" s="1162"/>
      <c r="H83" s="1162"/>
      <c r="I83" s="1162"/>
      <c r="J83" s="1162"/>
      <c r="K83" s="1162"/>
      <c r="L83" s="1162"/>
      <c r="M83" s="1162"/>
      <c r="N83" s="1162"/>
      <c r="O83" s="1162"/>
      <c r="P83" s="1162"/>
      <c r="Q83" s="1162"/>
      <c r="R83" s="1162"/>
      <c r="S83" s="1162"/>
      <c r="T83" s="1162"/>
      <c r="U83" s="1162"/>
      <c r="V83" s="1162"/>
      <c r="W83" s="1162"/>
      <c r="X83" s="1162"/>
      <c r="Y83" s="1163"/>
      <c r="Z83" s="1163"/>
      <c r="AA83" s="1162"/>
    </row>
    <row r="84" ht="15.75" customHeight="1">
      <c r="A84" s="425"/>
      <c r="B84" s="425"/>
      <c r="C84" s="1162"/>
      <c r="D84" s="1162"/>
      <c r="E84" s="1162"/>
      <c r="F84" s="1162"/>
      <c r="G84" s="1162"/>
      <c r="H84" s="1162"/>
      <c r="I84" s="1162"/>
      <c r="J84" s="1162"/>
      <c r="K84" s="1162"/>
      <c r="L84" s="1162"/>
      <c r="M84" s="1162"/>
      <c r="N84" s="1162"/>
      <c r="O84" s="1162"/>
      <c r="P84" s="1162"/>
      <c r="Q84" s="1162"/>
      <c r="R84" s="1162"/>
      <c r="S84" s="1162"/>
      <c r="T84" s="1162"/>
      <c r="U84" s="1162"/>
      <c r="V84" s="1162"/>
      <c r="W84" s="1162"/>
      <c r="X84" s="1162"/>
      <c r="Y84" s="1163"/>
      <c r="Z84" s="1163"/>
      <c r="AA84" s="1162"/>
    </row>
    <row r="85" ht="15.75" customHeight="1">
      <c r="A85" s="425"/>
      <c r="B85" s="425"/>
      <c r="C85" s="1162"/>
      <c r="D85" s="1162"/>
      <c r="E85" s="1162"/>
      <c r="F85" s="1162"/>
      <c r="G85" s="1162"/>
      <c r="H85" s="1162"/>
      <c r="I85" s="1162"/>
      <c r="J85" s="1162"/>
      <c r="K85" s="1162"/>
      <c r="L85" s="1162"/>
      <c r="M85" s="1162"/>
      <c r="N85" s="1162"/>
      <c r="O85" s="1162"/>
      <c r="P85" s="1162"/>
      <c r="Q85" s="1162"/>
      <c r="R85" s="1162"/>
      <c r="S85" s="1162"/>
      <c r="T85" s="1162"/>
      <c r="U85" s="1162"/>
      <c r="V85" s="1162"/>
      <c r="W85" s="1162"/>
      <c r="X85" s="1162"/>
      <c r="Y85" s="1163"/>
      <c r="Z85" s="1163"/>
      <c r="AA85" s="1162"/>
    </row>
    <row r="86" ht="15.75" customHeight="1">
      <c r="A86" s="425"/>
      <c r="B86" s="425"/>
      <c r="C86" s="1162"/>
      <c r="D86" s="1162"/>
      <c r="E86" s="1162"/>
      <c r="F86" s="1162"/>
      <c r="G86" s="1162"/>
      <c r="H86" s="1162"/>
      <c r="I86" s="1162"/>
      <c r="J86" s="1162"/>
      <c r="K86" s="1162"/>
      <c r="L86" s="1162"/>
      <c r="M86" s="1162"/>
      <c r="N86" s="1162"/>
      <c r="O86" s="1162"/>
      <c r="P86" s="1162"/>
      <c r="Q86" s="1162"/>
      <c r="R86" s="1162"/>
      <c r="S86" s="1162"/>
      <c r="T86" s="1162"/>
      <c r="U86" s="1162"/>
      <c r="V86" s="1162"/>
      <c r="W86" s="1162"/>
      <c r="X86" s="1162"/>
      <c r="Y86" s="1163"/>
      <c r="Z86" s="1163"/>
      <c r="AA86" s="1162"/>
    </row>
    <row r="87" ht="15.75" customHeight="1">
      <c r="A87" s="425"/>
      <c r="B87" s="425"/>
      <c r="C87" s="1162"/>
      <c r="D87" s="1162"/>
      <c r="E87" s="1162"/>
      <c r="F87" s="1162"/>
      <c r="G87" s="1162"/>
      <c r="H87" s="1162"/>
      <c r="I87" s="1162"/>
      <c r="J87" s="1162"/>
      <c r="K87" s="1162"/>
      <c r="L87" s="1162"/>
      <c r="M87" s="1162"/>
      <c r="N87" s="1162"/>
      <c r="O87" s="1162"/>
      <c r="P87" s="1162"/>
      <c r="Q87" s="1162"/>
      <c r="R87" s="1162"/>
      <c r="S87" s="1162"/>
      <c r="T87" s="1162"/>
      <c r="U87" s="1162"/>
      <c r="V87" s="1162"/>
      <c r="W87" s="1162"/>
      <c r="X87" s="1162"/>
      <c r="Y87" s="1163"/>
      <c r="Z87" s="1163"/>
      <c r="AA87" s="1162"/>
    </row>
    <row r="88" ht="15.75" customHeight="1">
      <c r="A88" s="425"/>
      <c r="B88" s="425"/>
      <c r="C88" s="1162"/>
      <c r="D88" s="1162"/>
      <c r="E88" s="1162"/>
      <c r="F88" s="1162"/>
      <c r="G88" s="1162"/>
      <c r="H88" s="1162"/>
      <c r="I88" s="1162"/>
      <c r="J88" s="1162"/>
      <c r="K88" s="1162"/>
      <c r="L88" s="1162"/>
      <c r="M88" s="1162"/>
      <c r="N88" s="1162"/>
      <c r="O88" s="1162"/>
      <c r="P88" s="1162"/>
      <c r="Q88" s="1162"/>
      <c r="R88" s="1162"/>
      <c r="S88" s="1162"/>
      <c r="T88" s="1162"/>
      <c r="U88" s="1162"/>
      <c r="V88" s="1162"/>
      <c r="W88" s="1162"/>
      <c r="X88" s="1162"/>
      <c r="Y88" s="1163"/>
      <c r="Z88" s="1163"/>
      <c r="AA88" s="1162"/>
    </row>
    <row r="89" ht="15.75" customHeight="1">
      <c r="A89" s="425"/>
      <c r="B89" s="425"/>
      <c r="C89" s="1162"/>
      <c r="D89" s="1162"/>
      <c r="E89" s="1162"/>
      <c r="F89" s="1162"/>
      <c r="G89" s="1162"/>
      <c r="H89" s="1162"/>
      <c r="I89" s="1162"/>
      <c r="J89" s="1162"/>
      <c r="K89" s="1162"/>
      <c r="L89" s="1162"/>
      <c r="M89" s="1162"/>
      <c r="N89" s="1162"/>
      <c r="O89" s="1162"/>
      <c r="P89" s="1162"/>
      <c r="Q89" s="1162"/>
      <c r="R89" s="1162"/>
      <c r="S89" s="1162"/>
      <c r="T89" s="1162"/>
      <c r="U89" s="1162"/>
      <c r="V89" s="1162"/>
      <c r="W89" s="1162"/>
      <c r="X89" s="1162"/>
      <c r="Y89" s="1163"/>
      <c r="Z89" s="1163"/>
      <c r="AA89" s="1162"/>
    </row>
    <row r="90" ht="15.75" customHeight="1">
      <c r="A90" s="425"/>
      <c r="B90" s="425"/>
      <c r="C90" s="1162"/>
      <c r="D90" s="1162"/>
      <c r="E90" s="1162"/>
      <c r="F90" s="1162"/>
      <c r="G90" s="1162"/>
      <c r="H90" s="1162"/>
      <c r="I90" s="1162"/>
      <c r="J90" s="1162"/>
      <c r="K90" s="1162"/>
      <c r="L90" s="1162"/>
      <c r="M90" s="1162"/>
      <c r="N90" s="1162"/>
      <c r="O90" s="1162"/>
      <c r="P90" s="1162"/>
      <c r="Q90" s="1162"/>
      <c r="R90" s="1162"/>
      <c r="S90" s="1162"/>
      <c r="T90" s="1162"/>
      <c r="U90" s="1162"/>
      <c r="V90" s="1162"/>
      <c r="W90" s="1162"/>
      <c r="X90" s="1162"/>
      <c r="Y90" s="1163"/>
      <c r="Z90" s="1163"/>
      <c r="AA90" s="1162"/>
    </row>
    <row r="91" ht="15.75" customHeight="1">
      <c r="A91" s="425"/>
      <c r="B91" s="425"/>
      <c r="C91" s="1162"/>
      <c r="D91" s="1162"/>
      <c r="E91" s="1162"/>
      <c r="F91" s="1162"/>
      <c r="G91" s="1162"/>
      <c r="H91" s="1162"/>
      <c r="I91" s="1162"/>
      <c r="J91" s="1162"/>
      <c r="K91" s="1162"/>
      <c r="L91" s="1162"/>
      <c r="M91" s="1162"/>
      <c r="N91" s="1162"/>
      <c r="O91" s="1162"/>
      <c r="P91" s="1162"/>
      <c r="Q91" s="1162"/>
      <c r="R91" s="1162"/>
      <c r="S91" s="1162"/>
      <c r="T91" s="1162"/>
      <c r="U91" s="1162"/>
      <c r="V91" s="1162"/>
      <c r="W91" s="1162"/>
      <c r="X91" s="1162"/>
      <c r="Y91" s="1163"/>
      <c r="Z91" s="1163"/>
      <c r="AA91" s="1162"/>
    </row>
    <row r="92" ht="15.75" customHeight="1">
      <c r="A92" s="425"/>
      <c r="B92" s="425"/>
      <c r="C92" s="1162"/>
      <c r="D92" s="1162"/>
      <c r="E92" s="1162"/>
      <c r="F92" s="1162"/>
      <c r="G92" s="1162"/>
      <c r="H92" s="1162"/>
      <c r="I92" s="1162"/>
      <c r="J92" s="1162"/>
      <c r="K92" s="1162"/>
      <c r="L92" s="1162"/>
      <c r="M92" s="1162"/>
      <c r="N92" s="1162"/>
      <c r="O92" s="1162"/>
      <c r="P92" s="1162"/>
      <c r="Q92" s="1162"/>
      <c r="R92" s="1162"/>
      <c r="S92" s="1162"/>
      <c r="T92" s="1162"/>
      <c r="U92" s="1162"/>
      <c r="V92" s="1162"/>
      <c r="W92" s="1162"/>
      <c r="X92" s="1162"/>
      <c r="Y92" s="1163"/>
      <c r="Z92" s="1163"/>
      <c r="AA92" s="1162"/>
    </row>
    <row r="93" ht="15.75" customHeight="1">
      <c r="A93" s="425"/>
      <c r="B93" s="425"/>
      <c r="C93" s="1162"/>
      <c r="D93" s="1162"/>
      <c r="E93" s="1162"/>
      <c r="F93" s="1162"/>
      <c r="G93" s="1162"/>
      <c r="H93" s="1162"/>
      <c r="I93" s="1162"/>
      <c r="J93" s="1162"/>
      <c r="K93" s="1162"/>
      <c r="L93" s="1162"/>
      <c r="M93" s="1162"/>
      <c r="N93" s="1162"/>
      <c r="O93" s="1162"/>
      <c r="P93" s="1162"/>
      <c r="Q93" s="1162"/>
      <c r="R93" s="1162"/>
      <c r="S93" s="1162"/>
      <c r="T93" s="1162"/>
      <c r="U93" s="1162"/>
      <c r="V93" s="1162"/>
      <c r="W93" s="1162"/>
      <c r="X93" s="1162"/>
      <c r="Y93" s="1163"/>
      <c r="Z93" s="1163"/>
      <c r="AA93" s="1162"/>
    </row>
    <row r="94" ht="15.75" customHeight="1">
      <c r="A94" s="425"/>
      <c r="B94" s="425"/>
      <c r="C94" s="1162"/>
      <c r="D94" s="1162"/>
      <c r="E94" s="1162"/>
      <c r="F94" s="1162"/>
      <c r="G94" s="1162"/>
      <c r="H94" s="1162"/>
      <c r="I94" s="1162"/>
      <c r="J94" s="1162"/>
      <c r="K94" s="1162"/>
      <c r="L94" s="1162"/>
      <c r="M94" s="1162"/>
      <c r="N94" s="1162"/>
      <c r="O94" s="1162"/>
      <c r="P94" s="1162"/>
      <c r="Q94" s="1162"/>
      <c r="R94" s="1162"/>
      <c r="S94" s="1162"/>
      <c r="T94" s="1162"/>
      <c r="U94" s="1162"/>
      <c r="V94" s="1162"/>
      <c r="W94" s="1162"/>
      <c r="X94" s="1162"/>
      <c r="Y94" s="1163"/>
      <c r="Z94" s="1163"/>
      <c r="AA94" s="1162"/>
    </row>
    <row r="95" ht="15.75" customHeight="1">
      <c r="A95" s="425"/>
      <c r="B95" s="425"/>
      <c r="C95" s="1162"/>
      <c r="D95" s="1162"/>
      <c r="E95" s="1162"/>
      <c r="F95" s="1162"/>
      <c r="G95" s="1162"/>
      <c r="H95" s="1162"/>
      <c r="I95" s="1162"/>
      <c r="J95" s="1162"/>
      <c r="K95" s="1162"/>
      <c r="L95" s="1162"/>
      <c r="M95" s="1162"/>
      <c r="N95" s="1162"/>
      <c r="O95" s="1162"/>
      <c r="P95" s="1162"/>
      <c r="Q95" s="1162"/>
      <c r="R95" s="1162"/>
      <c r="S95" s="1162"/>
      <c r="T95" s="1162"/>
      <c r="U95" s="1162"/>
      <c r="V95" s="1162"/>
      <c r="W95" s="1162"/>
      <c r="X95" s="1162"/>
      <c r="Y95" s="1163"/>
      <c r="Z95" s="1163"/>
      <c r="AA95" s="1162"/>
    </row>
    <row r="96" ht="15.75" customHeight="1">
      <c r="A96" s="425"/>
      <c r="B96" s="425"/>
      <c r="C96" s="1162"/>
      <c r="D96" s="1162"/>
      <c r="E96" s="1162"/>
      <c r="F96" s="1162"/>
      <c r="G96" s="1162"/>
      <c r="H96" s="1162"/>
      <c r="I96" s="1162"/>
      <c r="J96" s="1162"/>
      <c r="K96" s="1162"/>
      <c r="L96" s="1162"/>
      <c r="M96" s="1162"/>
      <c r="N96" s="1162"/>
      <c r="O96" s="1162"/>
      <c r="P96" s="1162"/>
      <c r="Q96" s="1162"/>
      <c r="R96" s="1162"/>
      <c r="S96" s="1162"/>
      <c r="T96" s="1162"/>
      <c r="U96" s="1162"/>
      <c r="V96" s="1162"/>
      <c r="W96" s="1162"/>
      <c r="X96" s="1162"/>
      <c r="Y96" s="1163"/>
      <c r="Z96" s="1163"/>
      <c r="AA96" s="1162"/>
    </row>
    <row r="97" ht="15.75" customHeight="1">
      <c r="A97" s="425"/>
      <c r="B97" s="425"/>
      <c r="C97" s="1162"/>
      <c r="D97" s="1162"/>
      <c r="E97" s="1162"/>
      <c r="F97" s="1162"/>
      <c r="G97" s="1162"/>
      <c r="H97" s="1162"/>
      <c r="I97" s="1162"/>
      <c r="J97" s="1162"/>
      <c r="K97" s="1162"/>
      <c r="L97" s="1162"/>
      <c r="M97" s="1162"/>
      <c r="N97" s="1162"/>
      <c r="O97" s="1162"/>
      <c r="P97" s="1162"/>
      <c r="Q97" s="1162"/>
      <c r="R97" s="1162"/>
      <c r="S97" s="1162"/>
      <c r="T97" s="1162"/>
      <c r="U97" s="1162"/>
      <c r="V97" s="1162"/>
      <c r="W97" s="1162"/>
      <c r="X97" s="1162"/>
      <c r="Y97" s="1163"/>
      <c r="Z97" s="1163"/>
      <c r="AA97" s="1162"/>
    </row>
    <row r="98" ht="15.75" customHeight="1">
      <c r="A98" s="425"/>
      <c r="B98" s="425"/>
      <c r="C98" s="1162"/>
      <c r="D98" s="1162"/>
      <c r="E98" s="1162"/>
      <c r="F98" s="1162"/>
      <c r="G98" s="1162"/>
      <c r="H98" s="1162"/>
      <c r="I98" s="1162"/>
      <c r="J98" s="1162"/>
      <c r="K98" s="1162"/>
      <c r="L98" s="1162"/>
      <c r="M98" s="1162"/>
      <c r="N98" s="1162"/>
      <c r="O98" s="1162"/>
      <c r="P98" s="1162"/>
      <c r="Q98" s="1162"/>
      <c r="R98" s="1162"/>
      <c r="S98" s="1162"/>
      <c r="T98" s="1162"/>
      <c r="U98" s="1162"/>
      <c r="V98" s="1162"/>
      <c r="W98" s="1162"/>
      <c r="X98" s="1162"/>
      <c r="Y98" s="1163"/>
      <c r="Z98" s="1163"/>
      <c r="AA98" s="1162"/>
    </row>
    <row r="99" ht="15.75" customHeight="1">
      <c r="A99" s="425"/>
      <c r="B99" s="425"/>
      <c r="C99" s="1162"/>
      <c r="D99" s="1162"/>
      <c r="E99" s="1162"/>
      <c r="F99" s="1162"/>
      <c r="G99" s="1162"/>
      <c r="H99" s="1162"/>
      <c r="I99" s="1162"/>
      <c r="J99" s="1162"/>
      <c r="K99" s="1162"/>
      <c r="L99" s="1162"/>
      <c r="M99" s="1162"/>
      <c r="N99" s="1162"/>
      <c r="O99" s="1162"/>
      <c r="P99" s="1162"/>
      <c r="Q99" s="1162"/>
      <c r="R99" s="1162"/>
      <c r="S99" s="1162"/>
      <c r="T99" s="1162"/>
      <c r="U99" s="1162"/>
      <c r="V99" s="1162"/>
      <c r="W99" s="1162"/>
      <c r="X99" s="1162"/>
      <c r="Y99" s="1163"/>
      <c r="Z99" s="1163"/>
      <c r="AA99" s="1162"/>
    </row>
    <row r="100" ht="15.75" customHeight="1">
      <c r="A100" s="425"/>
      <c r="B100" s="425"/>
      <c r="C100" s="1162"/>
      <c r="D100" s="1162"/>
      <c r="E100" s="1162"/>
      <c r="F100" s="1162"/>
      <c r="G100" s="1162"/>
      <c r="H100" s="1162"/>
      <c r="I100" s="1162"/>
      <c r="J100" s="1162"/>
      <c r="K100" s="1162"/>
      <c r="L100" s="1162"/>
      <c r="M100" s="1162"/>
      <c r="N100" s="1162"/>
      <c r="O100" s="1162"/>
      <c r="P100" s="1162"/>
      <c r="Q100" s="1162"/>
      <c r="R100" s="1162"/>
      <c r="S100" s="1162"/>
      <c r="T100" s="1162"/>
      <c r="U100" s="1162"/>
      <c r="V100" s="1162"/>
      <c r="W100" s="1162"/>
      <c r="X100" s="1162"/>
      <c r="Y100" s="1163"/>
      <c r="Z100" s="1163"/>
      <c r="AA100" s="1162"/>
    </row>
    <row r="101" ht="15.75" customHeight="1">
      <c r="A101" s="425"/>
      <c r="B101" s="425"/>
      <c r="C101" s="1162"/>
      <c r="D101" s="1162"/>
      <c r="E101" s="1162"/>
      <c r="F101" s="1162"/>
      <c r="G101" s="1162"/>
      <c r="H101" s="1162"/>
      <c r="I101" s="1162"/>
      <c r="J101" s="1162"/>
      <c r="K101" s="1162"/>
      <c r="L101" s="1162"/>
      <c r="M101" s="1162"/>
      <c r="N101" s="1162"/>
      <c r="O101" s="1162"/>
      <c r="P101" s="1162"/>
      <c r="Q101" s="1162"/>
      <c r="R101" s="1162"/>
      <c r="S101" s="1162"/>
      <c r="T101" s="1162"/>
      <c r="U101" s="1162"/>
      <c r="V101" s="1162"/>
      <c r="W101" s="1162"/>
      <c r="X101" s="1162"/>
      <c r="Y101" s="1163"/>
      <c r="Z101" s="1163"/>
      <c r="AA101" s="1162"/>
    </row>
    <row r="102" ht="15.75" customHeight="1">
      <c r="A102" s="425"/>
      <c r="B102" s="425"/>
      <c r="C102" s="1162"/>
      <c r="D102" s="1162"/>
      <c r="E102" s="1162"/>
      <c r="F102" s="1162"/>
      <c r="G102" s="1162"/>
      <c r="H102" s="1162"/>
      <c r="I102" s="1162"/>
      <c r="J102" s="1162"/>
      <c r="K102" s="1162"/>
      <c r="L102" s="1162"/>
      <c r="M102" s="1162"/>
      <c r="N102" s="1162"/>
      <c r="O102" s="1162"/>
      <c r="P102" s="1162"/>
      <c r="Q102" s="1162"/>
      <c r="R102" s="1162"/>
      <c r="S102" s="1162"/>
      <c r="T102" s="1162"/>
      <c r="U102" s="1162"/>
      <c r="V102" s="1162"/>
      <c r="W102" s="1162"/>
      <c r="X102" s="1162"/>
      <c r="Y102" s="1163"/>
      <c r="Z102" s="1163"/>
      <c r="AA102" s="1162"/>
    </row>
    <row r="103" ht="15.75" customHeight="1">
      <c r="A103" s="425"/>
      <c r="B103" s="425"/>
      <c r="C103" s="1162"/>
      <c r="D103" s="1162"/>
      <c r="E103" s="1162"/>
      <c r="F103" s="1162"/>
      <c r="G103" s="1162"/>
      <c r="H103" s="1162"/>
      <c r="I103" s="1162"/>
      <c r="J103" s="1162"/>
      <c r="K103" s="1162"/>
      <c r="L103" s="1162"/>
      <c r="M103" s="1162"/>
      <c r="N103" s="1162"/>
      <c r="O103" s="1162"/>
      <c r="P103" s="1162"/>
      <c r="Q103" s="1162"/>
      <c r="R103" s="1162"/>
      <c r="S103" s="1162"/>
      <c r="T103" s="1162"/>
      <c r="U103" s="1162"/>
      <c r="V103" s="1162"/>
      <c r="W103" s="1162"/>
      <c r="X103" s="1162"/>
      <c r="Y103" s="1163"/>
      <c r="Z103" s="1163"/>
      <c r="AA103" s="1162"/>
    </row>
    <row r="104" ht="15.75" customHeight="1">
      <c r="A104" s="425"/>
      <c r="B104" s="425"/>
      <c r="C104" s="1162"/>
      <c r="D104" s="1162"/>
      <c r="E104" s="1162"/>
      <c r="F104" s="1162"/>
      <c r="G104" s="1162"/>
      <c r="H104" s="1162"/>
      <c r="I104" s="1162"/>
      <c r="J104" s="1162"/>
      <c r="K104" s="1162"/>
      <c r="L104" s="1162"/>
      <c r="M104" s="1162"/>
      <c r="N104" s="1162"/>
      <c r="O104" s="1162"/>
      <c r="P104" s="1162"/>
      <c r="Q104" s="1162"/>
      <c r="R104" s="1162"/>
      <c r="S104" s="1162"/>
      <c r="T104" s="1162"/>
      <c r="U104" s="1162"/>
      <c r="V104" s="1162"/>
      <c r="W104" s="1162"/>
      <c r="X104" s="1162"/>
      <c r="Y104" s="1163"/>
      <c r="Z104" s="1163"/>
      <c r="AA104" s="1162"/>
    </row>
    <row r="105" ht="15.75" customHeight="1">
      <c r="A105" s="425"/>
      <c r="B105" s="425"/>
      <c r="C105" s="1162"/>
      <c r="D105" s="1162"/>
      <c r="E105" s="1162"/>
      <c r="F105" s="1162"/>
      <c r="G105" s="1162"/>
      <c r="H105" s="1162"/>
      <c r="I105" s="1162"/>
      <c r="J105" s="1162"/>
      <c r="K105" s="1162"/>
      <c r="L105" s="1162"/>
      <c r="M105" s="1162"/>
      <c r="N105" s="1162"/>
      <c r="O105" s="1162"/>
      <c r="P105" s="1162"/>
      <c r="Q105" s="1162"/>
      <c r="R105" s="1162"/>
      <c r="S105" s="1162"/>
      <c r="T105" s="1162"/>
      <c r="U105" s="1162"/>
      <c r="V105" s="1162"/>
      <c r="W105" s="1162"/>
      <c r="X105" s="1162"/>
      <c r="Y105" s="1163"/>
      <c r="Z105" s="1163"/>
      <c r="AA105" s="1162"/>
    </row>
    <row r="106" ht="15.75" customHeight="1">
      <c r="A106" s="425"/>
      <c r="B106" s="425"/>
      <c r="C106" s="1162"/>
      <c r="D106" s="1162"/>
      <c r="E106" s="1162"/>
      <c r="F106" s="1162"/>
      <c r="G106" s="1162"/>
      <c r="H106" s="1162"/>
      <c r="I106" s="1162"/>
      <c r="J106" s="1162"/>
      <c r="K106" s="1162"/>
      <c r="L106" s="1162"/>
      <c r="M106" s="1162"/>
      <c r="N106" s="1162"/>
      <c r="O106" s="1162"/>
      <c r="P106" s="1162"/>
      <c r="Q106" s="1162"/>
      <c r="R106" s="1162"/>
      <c r="S106" s="1162"/>
      <c r="T106" s="1162"/>
      <c r="U106" s="1162"/>
      <c r="V106" s="1162"/>
      <c r="W106" s="1162"/>
      <c r="X106" s="1162"/>
      <c r="Y106" s="1163"/>
      <c r="Z106" s="1163"/>
      <c r="AA106" s="1162"/>
    </row>
    <row r="107" ht="15.75" customHeight="1">
      <c r="A107" s="425"/>
      <c r="B107" s="425"/>
      <c r="C107" s="1162"/>
      <c r="D107" s="1162"/>
      <c r="E107" s="1162"/>
      <c r="F107" s="1162"/>
      <c r="G107" s="1162"/>
      <c r="H107" s="1162"/>
      <c r="I107" s="1162"/>
      <c r="J107" s="1162"/>
      <c r="K107" s="1162"/>
      <c r="L107" s="1162"/>
      <c r="M107" s="1162"/>
      <c r="N107" s="1162"/>
      <c r="O107" s="1162"/>
      <c r="P107" s="1162"/>
      <c r="Q107" s="1162"/>
      <c r="R107" s="1162"/>
      <c r="S107" s="1162"/>
      <c r="T107" s="1162"/>
      <c r="U107" s="1162"/>
      <c r="V107" s="1162"/>
      <c r="W107" s="1162"/>
      <c r="X107" s="1162"/>
      <c r="Y107" s="1163"/>
      <c r="Z107" s="1163"/>
      <c r="AA107" s="1162"/>
    </row>
    <row r="108" ht="15.75" customHeight="1">
      <c r="A108" s="425"/>
      <c r="B108" s="425"/>
      <c r="C108" s="1162"/>
      <c r="D108" s="1162"/>
      <c r="E108" s="1162"/>
      <c r="F108" s="1162"/>
      <c r="G108" s="1162"/>
      <c r="H108" s="1162"/>
      <c r="I108" s="1162"/>
      <c r="J108" s="1162"/>
      <c r="K108" s="1162"/>
      <c r="L108" s="1162"/>
      <c r="M108" s="1162"/>
      <c r="N108" s="1162"/>
      <c r="O108" s="1162"/>
      <c r="P108" s="1162"/>
      <c r="Q108" s="1162"/>
      <c r="R108" s="1162"/>
      <c r="S108" s="1162"/>
      <c r="T108" s="1162"/>
      <c r="U108" s="1162"/>
      <c r="V108" s="1162"/>
      <c r="W108" s="1162"/>
      <c r="X108" s="1162"/>
      <c r="Y108" s="1163"/>
      <c r="Z108" s="1163"/>
      <c r="AA108" s="1162"/>
    </row>
    <row r="109" ht="15.75" customHeight="1">
      <c r="A109" s="425"/>
      <c r="B109" s="425"/>
      <c r="C109" s="1162"/>
      <c r="D109" s="1162"/>
      <c r="E109" s="1162"/>
      <c r="F109" s="1162"/>
      <c r="G109" s="1162"/>
      <c r="H109" s="1162"/>
      <c r="I109" s="1162"/>
      <c r="J109" s="1162"/>
      <c r="K109" s="1162"/>
      <c r="L109" s="1162"/>
      <c r="M109" s="1162"/>
      <c r="N109" s="1162"/>
      <c r="O109" s="1162"/>
      <c r="P109" s="1162"/>
      <c r="Q109" s="1162"/>
      <c r="R109" s="1162"/>
      <c r="S109" s="1162"/>
      <c r="T109" s="1162"/>
      <c r="U109" s="1162"/>
      <c r="V109" s="1162"/>
      <c r="W109" s="1162"/>
      <c r="X109" s="1162"/>
      <c r="Y109" s="1163"/>
      <c r="Z109" s="1163"/>
      <c r="AA109" s="1162"/>
    </row>
    <row r="110" ht="15.75" customHeight="1">
      <c r="A110" s="425"/>
      <c r="B110" s="425"/>
      <c r="C110" s="1162"/>
      <c r="D110" s="1162"/>
      <c r="E110" s="1162"/>
      <c r="F110" s="1162"/>
      <c r="G110" s="1162"/>
      <c r="H110" s="1162"/>
      <c r="I110" s="1162"/>
      <c r="J110" s="1162"/>
      <c r="K110" s="1162"/>
      <c r="L110" s="1162"/>
      <c r="M110" s="1162"/>
      <c r="N110" s="1162"/>
      <c r="O110" s="1162"/>
      <c r="P110" s="1162"/>
      <c r="Q110" s="1162"/>
      <c r="R110" s="1162"/>
      <c r="S110" s="1162"/>
      <c r="T110" s="1162"/>
      <c r="U110" s="1162"/>
      <c r="V110" s="1162"/>
      <c r="W110" s="1162"/>
      <c r="X110" s="1162"/>
      <c r="Y110" s="1163"/>
      <c r="Z110" s="1163"/>
      <c r="AA110" s="1162"/>
    </row>
    <row r="111" ht="15.75" customHeight="1">
      <c r="A111" s="425"/>
      <c r="B111" s="425"/>
      <c r="C111" s="1162"/>
      <c r="D111" s="1162"/>
      <c r="E111" s="1162"/>
      <c r="F111" s="1162"/>
      <c r="G111" s="1162"/>
      <c r="H111" s="1162"/>
      <c r="I111" s="1162"/>
      <c r="J111" s="1162"/>
      <c r="K111" s="1162"/>
      <c r="L111" s="1162"/>
      <c r="M111" s="1162"/>
      <c r="N111" s="1162"/>
      <c r="O111" s="1162"/>
      <c r="P111" s="1162"/>
      <c r="Q111" s="1162"/>
      <c r="R111" s="1162"/>
      <c r="S111" s="1162"/>
      <c r="T111" s="1162"/>
      <c r="U111" s="1162"/>
      <c r="V111" s="1162"/>
      <c r="W111" s="1162"/>
      <c r="X111" s="1162"/>
      <c r="Y111" s="1163"/>
      <c r="Z111" s="1163"/>
      <c r="AA111" s="1162"/>
    </row>
    <row r="112" ht="15.75" customHeight="1">
      <c r="A112" s="425"/>
      <c r="B112" s="425"/>
      <c r="C112" s="1162"/>
      <c r="D112" s="1162"/>
      <c r="E112" s="1162"/>
      <c r="F112" s="1162"/>
      <c r="G112" s="1162"/>
      <c r="H112" s="1162"/>
      <c r="I112" s="1162"/>
      <c r="J112" s="1162"/>
      <c r="K112" s="1162"/>
      <c r="L112" s="1162"/>
      <c r="M112" s="1162"/>
      <c r="N112" s="1162"/>
      <c r="O112" s="1162"/>
      <c r="P112" s="1162"/>
      <c r="Q112" s="1162"/>
      <c r="R112" s="1162"/>
      <c r="S112" s="1162"/>
      <c r="T112" s="1162"/>
      <c r="U112" s="1162"/>
      <c r="V112" s="1162"/>
      <c r="W112" s="1162"/>
      <c r="X112" s="1162"/>
      <c r="Y112" s="1163"/>
      <c r="Z112" s="1163"/>
      <c r="AA112" s="1162"/>
    </row>
    <row r="113" ht="15.75" customHeight="1">
      <c r="A113" s="425"/>
      <c r="B113" s="425"/>
      <c r="C113" s="1162"/>
      <c r="D113" s="1162"/>
      <c r="E113" s="1162"/>
      <c r="F113" s="1162"/>
      <c r="G113" s="1162"/>
      <c r="H113" s="1162"/>
      <c r="I113" s="1162"/>
      <c r="J113" s="1162"/>
      <c r="K113" s="1162"/>
      <c r="L113" s="1162"/>
      <c r="M113" s="1162"/>
      <c r="N113" s="1162"/>
      <c r="O113" s="1162"/>
      <c r="P113" s="1162"/>
      <c r="Q113" s="1162"/>
      <c r="R113" s="1162"/>
      <c r="S113" s="1162"/>
      <c r="T113" s="1162"/>
      <c r="U113" s="1162"/>
      <c r="V113" s="1162"/>
      <c r="W113" s="1162"/>
      <c r="X113" s="1162"/>
      <c r="Y113" s="1163"/>
      <c r="Z113" s="1163"/>
      <c r="AA113" s="1162"/>
    </row>
    <row r="114" ht="15.75" customHeight="1">
      <c r="A114" s="425"/>
      <c r="B114" s="425"/>
      <c r="C114" s="1162"/>
      <c r="D114" s="1162"/>
      <c r="E114" s="1162"/>
      <c r="F114" s="1162"/>
      <c r="G114" s="1162"/>
      <c r="H114" s="1162"/>
      <c r="I114" s="1162"/>
      <c r="J114" s="1162"/>
      <c r="K114" s="1162"/>
      <c r="L114" s="1162"/>
      <c r="M114" s="1162"/>
      <c r="N114" s="1162"/>
      <c r="O114" s="1162"/>
      <c r="P114" s="1162"/>
      <c r="Q114" s="1162"/>
      <c r="R114" s="1162"/>
      <c r="S114" s="1162"/>
      <c r="T114" s="1162"/>
      <c r="U114" s="1162"/>
      <c r="V114" s="1162"/>
      <c r="W114" s="1162"/>
      <c r="X114" s="1162"/>
      <c r="Y114" s="1163"/>
      <c r="Z114" s="1163"/>
      <c r="AA114" s="1162"/>
    </row>
    <row r="115" ht="15.75" customHeight="1">
      <c r="A115" s="425"/>
      <c r="B115" s="425"/>
      <c r="C115" s="1162"/>
      <c r="D115" s="1162"/>
      <c r="E115" s="1162"/>
      <c r="F115" s="1162"/>
      <c r="G115" s="1162"/>
      <c r="H115" s="1162"/>
      <c r="I115" s="1162"/>
      <c r="J115" s="1162"/>
      <c r="K115" s="1162"/>
      <c r="L115" s="1162"/>
      <c r="M115" s="1162"/>
      <c r="N115" s="1162"/>
      <c r="O115" s="1162"/>
      <c r="P115" s="1162"/>
      <c r="Q115" s="1162"/>
      <c r="R115" s="1162"/>
      <c r="S115" s="1162"/>
      <c r="T115" s="1162"/>
      <c r="U115" s="1162"/>
      <c r="V115" s="1162"/>
      <c r="W115" s="1162"/>
      <c r="X115" s="1162"/>
      <c r="Y115" s="1163"/>
      <c r="Z115" s="1163"/>
      <c r="AA115" s="1162"/>
    </row>
    <row r="116" ht="15.75" customHeight="1">
      <c r="A116" s="425"/>
      <c r="B116" s="425"/>
      <c r="C116" s="1162"/>
      <c r="D116" s="1162"/>
      <c r="E116" s="1162"/>
      <c r="F116" s="1162"/>
      <c r="G116" s="1162"/>
      <c r="H116" s="1162"/>
      <c r="I116" s="1162"/>
      <c r="J116" s="1162"/>
      <c r="K116" s="1162"/>
      <c r="L116" s="1162"/>
      <c r="M116" s="1162"/>
      <c r="N116" s="1162"/>
      <c r="O116" s="1162"/>
      <c r="P116" s="1162"/>
      <c r="Q116" s="1162"/>
      <c r="R116" s="1162"/>
      <c r="S116" s="1162"/>
      <c r="T116" s="1162"/>
      <c r="U116" s="1162"/>
      <c r="V116" s="1162"/>
      <c r="W116" s="1162"/>
      <c r="X116" s="1162"/>
      <c r="Y116" s="1163"/>
      <c r="Z116" s="1163"/>
      <c r="AA116" s="1162"/>
    </row>
    <row r="117" ht="15.75" customHeight="1">
      <c r="A117" s="425"/>
      <c r="B117" s="425"/>
      <c r="C117" s="1162"/>
      <c r="D117" s="1162"/>
      <c r="E117" s="1162"/>
      <c r="F117" s="1162"/>
      <c r="G117" s="1162"/>
      <c r="H117" s="1162"/>
      <c r="I117" s="1162"/>
      <c r="J117" s="1162"/>
      <c r="K117" s="1162"/>
      <c r="L117" s="1162"/>
      <c r="M117" s="1162"/>
      <c r="N117" s="1162"/>
      <c r="O117" s="1162"/>
      <c r="P117" s="1162"/>
      <c r="Q117" s="1162"/>
      <c r="R117" s="1162"/>
      <c r="S117" s="1162"/>
      <c r="T117" s="1162"/>
      <c r="U117" s="1162"/>
      <c r="V117" s="1162"/>
      <c r="W117" s="1162"/>
      <c r="X117" s="1162"/>
      <c r="Y117" s="1163"/>
      <c r="Z117" s="1163"/>
      <c r="AA117" s="1162"/>
    </row>
    <row r="118" ht="15.75" customHeight="1">
      <c r="A118" s="425"/>
      <c r="B118" s="425"/>
      <c r="C118" s="1162"/>
      <c r="D118" s="1162"/>
      <c r="E118" s="1162"/>
      <c r="F118" s="1162"/>
      <c r="G118" s="1162"/>
      <c r="H118" s="1162"/>
      <c r="I118" s="1162"/>
      <c r="J118" s="1162"/>
      <c r="K118" s="1162"/>
      <c r="L118" s="1162"/>
      <c r="M118" s="1162"/>
      <c r="N118" s="1162"/>
      <c r="O118" s="1162"/>
      <c r="P118" s="1162"/>
      <c r="Q118" s="1162"/>
      <c r="R118" s="1162"/>
      <c r="S118" s="1162"/>
      <c r="T118" s="1162"/>
      <c r="U118" s="1162"/>
      <c r="V118" s="1162"/>
      <c r="W118" s="1162"/>
      <c r="X118" s="1162"/>
      <c r="Y118" s="1163"/>
      <c r="Z118" s="1163"/>
      <c r="AA118" s="1162"/>
    </row>
    <row r="119" ht="15.75" customHeight="1">
      <c r="A119" s="425"/>
      <c r="B119" s="425"/>
      <c r="C119" s="1162"/>
      <c r="D119" s="1162"/>
      <c r="E119" s="1162"/>
      <c r="F119" s="1162"/>
      <c r="G119" s="1162"/>
      <c r="H119" s="1162"/>
      <c r="I119" s="1162"/>
      <c r="J119" s="1162"/>
      <c r="K119" s="1162"/>
      <c r="L119" s="1162"/>
      <c r="M119" s="1162"/>
      <c r="N119" s="1162"/>
      <c r="O119" s="1162"/>
      <c r="P119" s="1162"/>
      <c r="Q119" s="1162"/>
      <c r="R119" s="1162"/>
      <c r="S119" s="1162"/>
      <c r="T119" s="1162"/>
      <c r="U119" s="1162"/>
      <c r="V119" s="1162"/>
      <c r="W119" s="1162"/>
      <c r="X119" s="1162"/>
      <c r="Y119" s="1163"/>
      <c r="Z119" s="1163"/>
      <c r="AA119" s="1162"/>
    </row>
    <row r="120" ht="15.75" customHeight="1">
      <c r="A120" s="425"/>
      <c r="B120" s="425"/>
      <c r="C120" s="1162"/>
      <c r="D120" s="1162"/>
      <c r="E120" s="1162"/>
      <c r="F120" s="1162"/>
      <c r="G120" s="1162"/>
      <c r="H120" s="1162"/>
      <c r="I120" s="1162"/>
      <c r="J120" s="1162"/>
      <c r="K120" s="1162"/>
      <c r="L120" s="1162"/>
      <c r="M120" s="1162"/>
      <c r="N120" s="1162"/>
      <c r="O120" s="1162"/>
      <c r="P120" s="1162"/>
      <c r="Q120" s="1162"/>
      <c r="R120" s="1162"/>
      <c r="S120" s="1162"/>
      <c r="T120" s="1162"/>
      <c r="U120" s="1162"/>
      <c r="V120" s="1162"/>
      <c r="W120" s="1162"/>
      <c r="X120" s="1162"/>
      <c r="Y120" s="1163"/>
      <c r="Z120" s="1163"/>
      <c r="AA120" s="1162"/>
    </row>
    <row r="121" ht="15.75" customHeight="1">
      <c r="A121" s="425"/>
      <c r="B121" s="425"/>
      <c r="C121" s="1162"/>
      <c r="D121" s="1162"/>
      <c r="E121" s="1162"/>
      <c r="F121" s="1162"/>
      <c r="G121" s="1162"/>
      <c r="H121" s="1162"/>
      <c r="I121" s="1162"/>
      <c r="J121" s="1162"/>
      <c r="K121" s="1162"/>
      <c r="L121" s="1162"/>
      <c r="M121" s="1162"/>
      <c r="N121" s="1162"/>
      <c r="O121" s="1162"/>
      <c r="P121" s="1162"/>
      <c r="Q121" s="1162"/>
      <c r="R121" s="1162"/>
      <c r="S121" s="1162"/>
      <c r="T121" s="1162"/>
      <c r="U121" s="1162"/>
      <c r="V121" s="1162"/>
      <c r="W121" s="1162"/>
      <c r="X121" s="1162"/>
      <c r="Y121" s="1163"/>
      <c r="Z121" s="1163"/>
      <c r="AA121" s="1162"/>
    </row>
    <row r="122" ht="15.75" customHeight="1">
      <c r="A122" s="425"/>
      <c r="B122" s="425"/>
      <c r="C122" s="1162"/>
      <c r="D122" s="1162"/>
      <c r="E122" s="1162"/>
      <c r="F122" s="1162"/>
      <c r="G122" s="1162"/>
      <c r="H122" s="1162"/>
      <c r="I122" s="1162"/>
      <c r="J122" s="1162"/>
      <c r="K122" s="1162"/>
      <c r="L122" s="1162"/>
      <c r="M122" s="1162"/>
      <c r="N122" s="1162"/>
      <c r="O122" s="1162"/>
      <c r="P122" s="1162"/>
      <c r="Q122" s="1162"/>
      <c r="R122" s="1162"/>
      <c r="S122" s="1162"/>
      <c r="T122" s="1162"/>
      <c r="U122" s="1162"/>
      <c r="V122" s="1162"/>
      <c r="W122" s="1162"/>
      <c r="X122" s="1162"/>
      <c r="Y122" s="1163"/>
      <c r="Z122" s="1163"/>
      <c r="AA122" s="1162"/>
    </row>
    <row r="123" ht="15.75" customHeight="1">
      <c r="A123" s="425"/>
      <c r="B123" s="425"/>
      <c r="C123" s="1162"/>
      <c r="D123" s="1162"/>
      <c r="E123" s="1162"/>
      <c r="F123" s="1162"/>
      <c r="G123" s="1162"/>
      <c r="H123" s="1162"/>
      <c r="I123" s="1162"/>
      <c r="J123" s="1162"/>
      <c r="K123" s="1162"/>
      <c r="L123" s="1162"/>
      <c r="M123" s="1162"/>
      <c r="N123" s="1162"/>
      <c r="O123" s="1162"/>
      <c r="P123" s="1162"/>
      <c r="Q123" s="1162"/>
      <c r="R123" s="1162"/>
      <c r="S123" s="1162"/>
      <c r="T123" s="1162"/>
      <c r="U123" s="1162"/>
      <c r="V123" s="1162"/>
      <c r="W123" s="1162"/>
      <c r="X123" s="1162"/>
      <c r="Y123" s="1163"/>
      <c r="Z123" s="1163"/>
      <c r="AA123" s="1162"/>
    </row>
    <row r="124" ht="15.75" customHeight="1">
      <c r="A124" s="425"/>
      <c r="B124" s="425"/>
      <c r="C124" s="1162"/>
      <c r="D124" s="1162"/>
      <c r="E124" s="1162"/>
      <c r="F124" s="1162"/>
      <c r="G124" s="1162"/>
      <c r="H124" s="1162"/>
      <c r="I124" s="1162"/>
      <c r="J124" s="1162"/>
      <c r="K124" s="1162"/>
      <c r="L124" s="1162"/>
      <c r="M124" s="1162"/>
      <c r="N124" s="1162"/>
      <c r="O124" s="1162"/>
      <c r="P124" s="1162"/>
      <c r="Q124" s="1162"/>
      <c r="R124" s="1162"/>
      <c r="S124" s="1162"/>
      <c r="T124" s="1162"/>
      <c r="U124" s="1162"/>
      <c r="V124" s="1162"/>
      <c r="W124" s="1162"/>
      <c r="X124" s="1162"/>
      <c r="Y124" s="1163"/>
      <c r="Z124" s="1163"/>
      <c r="AA124" s="1162"/>
    </row>
    <row r="125" ht="15.75" customHeight="1">
      <c r="A125" s="425"/>
      <c r="B125" s="425"/>
      <c r="C125" s="1162"/>
      <c r="D125" s="1162"/>
      <c r="E125" s="1162"/>
      <c r="F125" s="1162"/>
      <c r="G125" s="1162"/>
      <c r="H125" s="1162"/>
      <c r="I125" s="1162"/>
      <c r="J125" s="1162"/>
      <c r="K125" s="1162"/>
      <c r="L125" s="1162"/>
      <c r="M125" s="1162"/>
      <c r="N125" s="1162"/>
      <c r="O125" s="1162"/>
      <c r="P125" s="1162"/>
      <c r="Q125" s="1162"/>
      <c r="R125" s="1162"/>
      <c r="S125" s="1162"/>
      <c r="T125" s="1162"/>
      <c r="U125" s="1162"/>
      <c r="V125" s="1162"/>
      <c r="W125" s="1162"/>
      <c r="X125" s="1162"/>
      <c r="Y125" s="1163"/>
      <c r="Z125" s="1163"/>
      <c r="AA125" s="1162"/>
    </row>
    <row r="126" ht="15.75" customHeight="1">
      <c r="A126" s="425"/>
      <c r="B126" s="425"/>
      <c r="C126" s="1162"/>
      <c r="D126" s="1162"/>
      <c r="E126" s="1162"/>
      <c r="F126" s="1162"/>
      <c r="G126" s="1162"/>
      <c r="H126" s="1162"/>
      <c r="I126" s="1162"/>
      <c r="J126" s="1162"/>
      <c r="K126" s="1162"/>
      <c r="L126" s="1162"/>
      <c r="M126" s="1162"/>
      <c r="N126" s="1162"/>
      <c r="O126" s="1162"/>
      <c r="P126" s="1162"/>
      <c r="Q126" s="1162"/>
      <c r="R126" s="1162"/>
      <c r="S126" s="1162"/>
      <c r="T126" s="1162"/>
      <c r="U126" s="1162"/>
      <c r="V126" s="1162"/>
      <c r="W126" s="1162"/>
      <c r="X126" s="1162"/>
      <c r="Y126" s="1163"/>
      <c r="Z126" s="1163"/>
      <c r="AA126" s="1162"/>
    </row>
    <row r="127" ht="15.75" customHeight="1">
      <c r="A127" s="425"/>
      <c r="B127" s="425"/>
      <c r="C127" s="1162"/>
      <c r="D127" s="1162"/>
      <c r="E127" s="1162"/>
      <c r="F127" s="1162"/>
      <c r="G127" s="1162"/>
      <c r="H127" s="1162"/>
      <c r="I127" s="1162"/>
      <c r="J127" s="1162"/>
      <c r="K127" s="1162"/>
      <c r="L127" s="1162"/>
      <c r="M127" s="1162"/>
      <c r="N127" s="1162"/>
      <c r="O127" s="1162"/>
      <c r="P127" s="1162"/>
      <c r="Q127" s="1162"/>
      <c r="R127" s="1162"/>
      <c r="S127" s="1162"/>
      <c r="T127" s="1162"/>
      <c r="U127" s="1162"/>
      <c r="V127" s="1162"/>
      <c r="W127" s="1162"/>
      <c r="X127" s="1162"/>
      <c r="Y127" s="1163"/>
      <c r="Z127" s="1163"/>
      <c r="AA127" s="1162"/>
    </row>
    <row r="128" ht="15.75" customHeight="1">
      <c r="A128" s="425"/>
      <c r="B128" s="425"/>
      <c r="C128" s="1162"/>
      <c r="D128" s="1162"/>
      <c r="E128" s="1162"/>
      <c r="F128" s="1162"/>
      <c r="G128" s="1162"/>
      <c r="H128" s="1162"/>
      <c r="I128" s="1162"/>
      <c r="J128" s="1162"/>
      <c r="K128" s="1162"/>
      <c r="L128" s="1162"/>
      <c r="M128" s="1162"/>
      <c r="N128" s="1162"/>
      <c r="O128" s="1162"/>
      <c r="P128" s="1162"/>
      <c r="Q128" s="1162"/>
      <c r="R128" s="1162"/>
      <c r="S128" s="1162"/>
      <c r="T128" s="1162"/>
      <c r="U128" s="1162"/>
      <c r="V128" s="1162"/>
      <c r="W128" s="1162"/>
      <c r="X128" s="1162"/>
      <c r="Y128" s="1163"/>
      <c r="Z128" s="1163"/>
      <c r="AA128" s="1162"/>
    </row>
    <row r="129" ht="15.75" customHeight="1">
      <c r="A129" s="425"/>
      <c r="B129" s="425"/>
      <c r="C129" s="1162"/>
      <c r="D129" s="1162"/>
      <c r="E129" s="1162"/>
      <c r="F129" s="1162"/>
      <c r="G129" s="1162"/>
      <c r="H129" s="1162"/>
      <c r="I129" s="1162"/>
      <c r="J129" s="1162"/>
      <c r="K129" s="1162"/>
      <c r="L129" s="1162"/>
      <c r="M129" s="1162"/>
      <c r="N129" s="1162"/>
      <c r="O129" s="1162"/>
      <c r="P129" s="1162"/>
      <c r="Q129" s="1162"/>
      <c r="R129" s="1162"/>
      <c r="S129" s="1162"/>
      <c r="T129" s="1162"/>
      <c r="U129" s="1162"/>
      <c r="V129" s="1162"/>
      <c r="W129" s="1162"/>
      <c r="X129" s="1162"/>
      <c r="Y129" s="1163"/>
      <c r="Z129" s="1163"/>
      <c r="AA129" s="1162"/>
    </row>
    <row r="130" ht="15.75" customHeight="1">
      <c r="A130" s="425"/>
      <c r="B130" s="425"/>
      <c r="C130" s="1162"/>
      <c r="D130" s="1162"/>
      <c r="E130" s="1162"/>
      <c r="F130" s="1162"/>
      <c r="G130" s="1162"/>
      <c r="H130" s="1162"/>
      <c r="I130" s="1162"/>
      <c r="J130" s="1162"/>
      <c r="K130" s="1162"/>
      <c r="L130" s="1162"/>
      <c r="M130" s="1162"/>
      <c r="N130" s="1162"/>
      <c r="O130" s="1162"/>
      <c r="P130" s="1162"/>
      <c r="Q130" s="1162"/>
      <c r="R130" s="1162"/>
      <c r="S130" s="1162"/>
      <c r="T130" s="1162"/>
      <c r="U130" s="1162"/>
      <c r="V130" s="1162"/>
      <c r="W130" s="1162"/>
      <c r="X130" s="1162"/>
      <c r="Y130" s="1163"/>
      <c r="Z130" s="1163"/>
      <c r="AA130" s="1162"/>
    </row>
    <row r="131" ht="15.75" customHeight="1">
      <c r="A131" s="425"/>
      <c r="B131" s="425"/>
      <c r="C131" s="1162"/>
      <c r="D131" s="1162"/>
      <c r="E131" s="1162"/>
      <c r="F131" s="1162"/>
      <c r="G131" s="1162"/>
      <c r="H131" s="1162"/>
      <c r="I131" s="1162"/>
      <c r="J131" s="1162"/>
      <c r="K131" s="1162"/>
      <c r="L131" s="1162"/>
      <c r="M131" s="1162"/>
      <c r="N131" s="1162"/>
      <c r="O131" s="1162"/>
      <c r="P131" s="1162"/>
      <c r="Q131" s="1162"/>
      <c r="R131" s="1162"/>
      <c r="S131" s="1162"/>
      <c r="T131" s="1162"/>
      <c r="U131" s="1162"/>
      <c r="V131" s="1162"/>
      <c r="W131" s="1162"/>
      <c r="X131" s="1162"/>
      <c r="Y131" s="1163"/>
      <c r="Z131" s="1163"/>
      <c r="AA131" s="1162"/>
    </row>
    <row r="132" ht="15.75" customHeight="1">
      <c r="A132" s="425"/>
      <c r="B132" s="425"/>
      <c r="C132" s="1162"/>
      <c r="D132" s="1162"/>
      <c r="E132" s="1162"/>
      <c r="F132" s="1162"/>
      <c r="G132" s="1162"/>
      <c r="H132" s="1162"/>
      <c r="I132" s="1162"/>
      <c r="J132" s="1162"/>
      <c r="K132" s="1162"/>
      <c r="L132" s="1162"/>
      <c r="M132" s="1162"/>
      <c r="N132" s="1162"/>
      <c r="O132" s="1162"/>
      <c r="P132" s="1162"/>
      <c r="Q132" s="1162"/>
      <c r="R132" s="1162"/>
      <c r="S132" s="1162"/>
      <c r="T132" s="1162"/>
      <c r="U132" s="1162"/>
      <c r="V132" s="1162"/>
      <c r="W132" s="1162"/>
      <c r="X132" s="1162"/>
      <c r="Y132" s="1163"/>
      <c r="Z132" s="1163"/>
      <c r="AA132" s="1162"/>
    </row>
    <row r="133" ht="15.75" customHeight="1">
      <c r="A133" s="425"/>
      <c r="B133" s="425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1163"/>
      <c r="Z133" s="1163"/>
      <c r="AA133" s="1162"/>
    </row>
    <row r="134" ht="15.75" customHeight="1">
      <c r="A134" s="425"/>
      <c r="B134" s="425"/>
      <c r="C134" s="1162"/>
      <c r="D134" s="1162"/>
      <c r="E134" s="1162"/>
      <c r="F134" s="1162"/>
      <c r="G134" s="1162"/>
      <c r="H134" s="1162"/>
      <c r="I134" s="1162"/>
      <c r="J134" s="1162"/>
      <c r="K134" s="1162"/>
      <c r="L134" s="1162"/>
      <c r="M134" s="1162"/>
      <c r="N134" s="1162"/>
      <c r="O134" s="1162"/>
      <c r="P134" s="1162"/>
      <c r="Q134" s="1162"/>
      <c r="R134" s="1162"/>
      <c r="S134" s="1162"/>
      <c r="T134" s="1162"/>
      <c r="U134" s="1162"/>
      <c r="V134" s="1162"/>
      <c r="W134" s="1162"/>
      <c r="X134" s="1162"/>
      <c r="Y134" s="1163"/>
      <c r="Z134" s="1163"/>
      <c r="AA134" s="1162"/>
    </row>
    <row r="135" ht="15.75" customHeight="1">
      <c r="A135" s="425"/>
      <c r="B135" s="425"/>
      <c r="C135" s="1162"/>
      <c r="D135" s="1162"/>
      <c r="E135" s="1162"/>
      <c r="F135" s="1162"/>
      <c r="G135" s="1162"/>
      <c r="H135" s="1162"/>
      <c r="I135" s="1162"/>
      <c r="J135" s="1162"/>
      <c r="K135" s="1162"/>
      <c r="L135" s="1162"/>
      <c r="M135" s="1162"/>
      <c r="N135" s="1162"/>
      <c r="O135" s="1162"/>
      <c r="P135" s="1162"/>
      <c r="Q135" s="1162"/>
      <c r="R135" s="1162"/>
      <c r="S135" s="1162"/>
      <c r="T135" s="1162"/>
      <c r="U135" s="1162"/>
      <c r="V135" s="1162"/>
      <c r="W135" s="1162"/>
      <c r="X135" s="1162"/>
      <c r="Y135" s="1163"/>
      <c r="Z135" s="1163"/>
      <c r="AA135" s="1162"/>
    </row>
    <row r="136" ht="15.75" customHeight="1">
      <c r="A136" s="425"/>
      <c r="B136" s="425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1163"/>
      <c r="Z136" s="1163"/>
      <c r="AA136" s="1162"/>
    </row>
    <row r="137" ht="15.75" customHeight="1">
      <c r="A137" s="425"/>
      <c r="B137" s="425"/>
      <c r="C137" s="1162"/>
      <c r="D137" s="1162"/>
      <c r="E137" s="1162"/>
      <c r="F137" s="1162"/>
      <c r="G137" s="1162"/>
      <c r="H137" s="1162"/>
      <c r="I137" s="1162"/>
      <c r="J137" s="1162"/>
      <c r="K137" s="1162"/>
      <c r="L137" s="1162"/>
      <c r="M137" s="1162"/>
      <c r="N137" s="1162"/>
      <c r="O137" s="1162"/>
      <c r="P137" s="1162"/>
      <c r="Q137" s="1162"/>
      <c r="R137" s="1162"/>
      <c r="S137" s="1162"/>
      <c r="T137" s="1162"/>
      <c r="U137" s="1162"/>
      <c r="V137" s="1162"/>
      <c r="W137" s="1162"/>
      <c r="X137" s="1162"/>
      <c r="Y137" s="1163"/>
      <c r="Z137" s="1163"/>
      <c r="AA137" s="1162"/>
    </row>
    <row r="138" ht="15.75" customHeight="1">
      <c r="A138" s="425"/>
      <c r="B138" s="425"/>
      <c r="C138" s="1162"/>
      <c r="D138" s="1162"/>
      <c r="E138" s="1162"/>
      <c r="F138" s="1162"/>
      <c r="G138" s="1162"/>
      <c r="H138" s="1162"/>
      <c r="I138" s="1162"/>
      <c r="J138" s="1162"/>
      <c r="K138" s="1162"/>
      <c r="L138" s="1162"/>
      <c r="M138" s="1162"/>
      <c r="N138" s="1162"/>
      <c r="O138" s="1162"/>
      <c r="P138" s="1162"/>
      <c r="Q138" s="1162"/>
      <c r="R138" s="1162"/>
      <c r="S138" s="1162"/>
      <c r="T138" s="1162"/>
      <c r="U138" s="1162"/>
      <c r="V138" s="1162"/>
      <c r="W138" s="1162"/>
      <c r="X138" s="1162"/>
      <c r="Y138" s="1163"/>
      <c r="Z138" s="1163"/>
      <c r="AA138" s="1162"/>
    </row>
    <row r="139" ht="15.75" customHeight="1">
      <c r="A139" s="425"/>
      <c r="B139" s="425"/>
      <c r="C139" s="1162"/>
      <c r="D139" s="1162"/>
      <c r="E139" s="1162"/>
      <c r="F139" s="1162"/>
      <c r="G139" s="1162"/>
      <c r="H139" s="1162"/>
      <c r="I139" s="1162"/>
      <c r="J139" s="1162"/>
      <c r="K139" s="1162"/>
      <c r="L139" s="1162"/>
      <c r="M139" s="1162"/>
      <c r="N139" s="1162"/>
      <c r="O139" s="1162"/>
      <c r="P139" s="1162"/>
      <c r="Q139" s="1162"/>
      <c r="R139" s="1162"/>
      <c r="S139" s="1162"/>
      <c r="T139" s="1162"/>
      <c r="U139" s="1162"/>
      <c r="V139" s="1162"/>
      <c r="W139" s="1162"/>
      <c r="X139" s="1162"/>
      <c r="Y139" s="1163"/>
      <c r="Z139" s="1163"/>
      <c r="AA139" s="1162"/>
    </row>
    <row r="140" ht="15.75" customHeight="1">
      <c r="A140" s="425"/>
      <c r="B140" s="425"/>
      <c r="C140" s="1162"/>
      <c r="D140" s="1162"/>
      <c r="E140" s="1162"/>
      <c r="F140" s="1162"/>
      <c r="G140" s="1162"/>
      <c r="H140" s="1162"/>
      <c r="I140" s="1162"/>
      <c r="J140" s="1162"/>
      <c r="K140" s="1162"/>
      <c r="L140" s="1162"/>
      <c r="M140" s="1162"/>
      <c r="N140" s="1162"/>
      <c r="O140" s="1162"/>
      <c r="P140" s="1162"/>
      <c r="Q140" s="1162"/>
      <c r="R140" s="1162"/>
      <c r="S140" s="1162"/>
      <c r="T140" s="1162"/>
      <c r="U140" s="1162"/>
      <c r="V140" s="1162"/>
      <c r="W140" s="1162"/>
      <c r="X140" s="1162"/>
      <c r="Y140" s="1163"/>
      <c r="Z140" s="1163"/>
      <c r="AA140" s="1162"/>
    </row>
    <row r="141" ht="15.75" customHeight="1">
      <c r="A141" s="425"/>
      <c r="B141" s="425"/>
      <c r="C141" s="1162"/>
      <c r="D141" s="1162"/>
      <c r="E141" s="1162"/>
      <c r="F141" s="1162"/>
      <c r="G141" s="1162"/>
      <c r="H141" s="1162"/>
      <c r="I141" s="1162"/>
      <c r="J141" s="1162"/>
      <c r="K141" s="1162"/>
      <c r="L141" s="1162"/>
      <c r="M141" s="1162"/>
      <c r="N141" s="1162"/>
      <c r="O141" s="1162"/>
      <c r="P141" s="1162"/>
      <c r="Q141" s="1162"/>
      <c r="R141" s="1162"/>
      <c r="S141" s="1162"/>
      <c r="T141" s="1162"/>
      <c r="U141" s="1162"/>
      <c r="V141" s="1162"/>
      <c r="W141" s="1162"/>
      <c r="X141" s="1162"/>
      <c r="Y141" s="1163"/>
      <c r="Z141" s="1163"/>
      <c r="AA141" s="1162"/>
    </row>
    <row r="142" ht="15.75" customHeight="1">
      <c r="A142" s="425"/>
      <c r="B142" s="425"/>
      <c r="C142" s="1162"/>
      <c r="D142" s="1162"/>
      <c r="E142" s="1162"/>
      <c r="F142" s="1162"/>
      <c r="G142" s="1162"/>
      <c r="H142" s="1162"/>
      <c r="I142" s="1162"/>
      <c r="J142" s="1162"/>
      <c r="K142" s="1162"/>
      <c r="L142" s="1162"/>
      <c r="M142" s="1162"/>
      <c r="N142" s="1162"/>
      <c r="O142" s="1162"/>
      <c r="P142" s="1162"/>
      <c r="Q142" s="1162"/>
      <c r="R142" s="1162"/>
      <c r="S142" s="1162"/>
      <c r="T142" s="1162"/>
      <c r="U142" s="1162"/>
      <c r="V142" s="1162"/>
      <c r="W142" s="1162"/>
      <c r="X142" s="1162"/>
      <c r="Y142" s="1163"/>
      <c r="Z142" s="1163"/>
      <c r="AA142" s="1162"/>
    </row>
    <row r="143" ht="15.75" customHeight="1">
      <c r="A143" s="425"/>
      <c r="B143" s="425"/>
      <c r="C143" s="1162"/>
      <c r="D143" s="1162"/>
      <c r="E143" s="1162"/>
      <c r="F143" s="1162"/>
      <c r="G143" s="1162"/>
      <c r="H143" s="1162"/>
      <c r="I143" s="1162"/>
      <c r="J143" s="1162"/>
      <c r="K143" s="1162"/>
      <c r="L143" s="1162"/>
      <c r="M143" s="1162"/>
      <c r="N143" s="1162"/>
      <c r="O143" s="1162"/>
      <c r="P143" s="1162"/>
      <c r="Q143" s="1162"/>
      <c r="R143" s="1162"/>
      <c r="S143" s="1162"/>
      <c r="T143" s="1162"/>
      <c r="U143" s="1162"/>
      <c r="V143" s="1162"/>
      <c r="W143" s="1162"/>
      <c r="X143" s="1162"/>
      <c r="Y143" s="1163"/>
      <c r="Z143" s="1163"/>
      <c r="AA143" s="1162"/>
    </row>
    <row r="144" ht="15.75" customHeight="1">
      <c r="A144" s="425"/>
      <c r="B144" s="425"/>
      <c r="C144" s="1162"/>
      <c r="D144" s="1162"/>
      <c r="E144" s="1162"/>
      <c r="F144" s="1162"/>
      <c r="G144" s="1162"/>
      <c r="H144" s="1162"/>
      <c r="I144" s="1162"/>
      <c r="J144" s="1162"/>
      <c r="K144" s="1162"/>
      <c r="L144" s="1162"/>
      <c r="M144" s="1162"/>
      <c r="N144" s="1162"/>
      <c r="O144" s="1162"/>
      <c r="P144" s="1162"/>
      <c r="Q144" s="1162"/>
      <c r="R144" s="1162"/>
      <c r="S144" s="1162"/>
      <c r="T144" s="1162"/>
      <c r="U144" s="1162"/>
      <c r="V144" s="1162"/>
      <c r="W144" s="1162"/>
      <c r="X144" s="1162"/>
      <c r="Y144" s="1163"/>
      <c r="Z144" s="1163"/>
      <c r="AA144" s="1162"/>
    </row>
    <row r="145" ht="15.75" customHeight="1">
      <c r="A145" s="425"/>
      <c r="B145" s="425"/>
      <c r="C145" s="1162"/>
      <c r="D145" s="1162"/>
      <c r="E145" s="1162"/>
      <c r="F145" s="1162"/>
      <c r="G145" s="1162"/>
      <c r="H145" s="1162"/>
      <c r="I145" s="1162"/>
      <c r="J145" s="1162"/>
      <c r="K145" s="1162"/>
      <c r="L145" s="1162"/>
      <c r="M145" s="1162"/>
      <c r="N145" s="1162"/>
      <c r="O145" s="1162"/>
      <c r="P145" s="1162"/>
      <c r="Q145" s="1162"/>
      <c r="R145" s="1162"/>
      <c r="S145" s="1162"/>
      <c r="T145" s="1162"/>
      <c r="U145" s="1162"/>
      <c r="V145" s="1162"/>
      <c r="W145" s="1162"/>
      <c r="X145" s="1162"/>
      <c r="Y145" s="1163"/>
      <c r="Z145" s="1163"/>
      <c r="AA145" s="1162"/>
    </row>
    <row r="146" ht="15.75" customHeight="1">
      <c r="A146" s="425"/>
      <c r="B146" s="425"/>
      <c r="C146" s="1162"/>
      <c r="D146" s="1162"/>
      <c r="E146" s="1162"/>
      <c r="F146" s="1162"/>
      <c r="G146" s="1162"/>
      <c r="H146" s="1162"/>
      <c r="I146" s="1162"/>
      <c r="J146" s="1162"/>
      <c r="K146" s="1162"/>
      <c r="L146" s="1162"/>
      <c r="M146" s="1162"/>
      <c r="N146" s="1162"/>
      <c r="O146" s="1162"/>
      <c r="P146" s="1162"/>
      <c r="Q146" s="1162"/>
      <c r="R146" s="1162"/>
      <c r="S146" s="1162"/>
      <c r="T146" s="1162"/>
      <c r="U146" s="1162"/>
      <c r="V146" s="1162"/>
      <c r="W146" s="1162"/>
      <c r="X146" s="1162"/>
      <c r="Y146" s="1163"/>
      <c r="Z146" s="1163"/>
      <c r="AA146" s="1162"/>
    </row>
    <row r="147" ht="15.75" customHeight="1">
      <c r="A147" s="425"/>
      <c r="B147" s="425"/>
      <c r="C147" s="1162"/>
      <c r="D147" s="1162"/>
      <c r="E147" s="1162"/>
      <c r="F147" s="1162"/>
      <c r="G147" s="1162"/>
      <c r="H147" s="1162"/>
      <c r="I147" s="1162"/>
      <c r="J147" s="1162"/>
      <c r="K147" s="1162"/>
      <c r="L147" s="1162"/>
      <c r="M147" s="1162"/>
      <c r="N147" s="1162"/>
      <c r="O147" s="1162"/>
      <c r="P147" s="1162"/>
      <c r="Q147" s="1162"/>
      <c r="R147" s="1162"/>
      <c r="S147" s="1162"/>
      <c r="T147" s="1162"/>
      <c r="U147" s="1162"/>
      <c r="V147" s="1162"/>
      <c r="W147" s="1162"/>
      <c r="X147" s="1162"/>
      <c r="Y147" s="1163"/>
      <c r="Z147" s="1163"/>
      <c r="AA147" s="1162"/>
    </row>
    <row r="148" ht="15.75" customHeight="1">
      <c r="A148" s="425"/>
      <c r="B148" s="425"/>
      <c r="C148" s="1162"/>
      <c r="D148" s="1162"/>
      <c r="E148" s="1162"/>
      <c r="F148" s="1162"/>
      <c r="G148" s="1162"/>
      <c r="H148" s="1162"/>
      <c r="I148" s="1162"/>
      <c r="J148" s="1162"/>
      <c r="K148" s="1162"/>
      <c r="L148" s="1162"/>
      <c r="M148" s="1162"/>
      <c r="N148" s="1162"/>
      <c r="O148" s="1162"/>
      <c r="P148" s="1162"/>
      <c r="Q148" s="1162"/>
      <c r="R148" s="1162"/>
      <c r="S148" s="1162"/>
      <c r="T148" s="1162"/>
      <c r="U148" s="1162"/>
      <c r="V148" s="1162"/>
      <c r="W148" s="1162"/>
      <c r="X148" s="1162"/>
      <c r="Y148" s="1163"/>
      <c r="Z148" s="1163"/>
      <c r="AA148" s="1162"/>
    </row>
    <row r="149" ht="15.75" customHeight="1">
      <c r="A149" s="425"/>
      <c r="B149" s="425"/>
      <c r="C149" s="1162"/>
      <c r="D149" s="1162"/>
      <c r="E149" s="1162"/>
      <c r="F149" s="1162"/>
      <c r="G149" s="1162"/>
      <c r="H149" s="1162"/>
      <c r="I149" s="1162"/>
      <c r="J149" s="1162"/>
      <c r="K149" s="1162"/>
      <c r="L149" s="1162"/>
      <c r="M149" s="1162"/>
      <c r="N149" s="1162"/>
      <c r="O149" s="1162"/>
      <c r="P149" s="1162"/>
      <c r="Q149" s="1162"/>
      <c r="R149" s="1162"/>
      <c r="S149" s="1162"/>
      <c r="T149" s="1162"/>
      <c r="U149" s="1162"/>
      <c r="V149" s="1162"/>
      <c r="W149" s="1162"/>
      <c r="X149" s="1162"/>
      <c r="Y149" s="1163"/>
      <c r="Z149" s="1163"/>
      <c r="AA149" s="1162"/>
    </row>
    <row r="150" ht="15.75" customHeight="1">
      <c r="A150" s="425"/>
      <c r="B150" s="425"/>
      <c r="C150" s="1162"/>
      <c r="D150" s="1162"/>
      <c r="E150" s="1162"/>
      <c r="F150" s="1162"/>
      <c r="G150" s="1162"/>
      <c r="H150" s="1162"/>
      <c r="I150" s="1162"/>
      <c r="J150" s="1162"/>
      <c r="K150" s="1162"/>
      <c r="L150" s="1162"/>
      <c r="M150" s="1162"/>
      <c r="N150" s="1162"/>
      <c r="O150" s="1162"/>
      <c r="P150" s="1162"/>
      <c r="Q150" s="1162"/>
      <c r="R150" s="1162"/>
      <c r="S150" s="1162"/>
      <c r="T150" s="1162"/>
      <c r="U150" s="1162"/>
      <c r="V150" s="1162"/>
      <c r="W150" s="1162"/>
      <c r="X150" s="1162"/>
      <c r="Y150" s="1163"/>
      <c r="Z150" s="1163"/>
      <c r="AA150" s="1162"/>
    </row>
    <row r="151" ht="15.75" customHeight="1">
      <c r="A151" s="425"/>
      <c r="B151" s="425"/>
      <c r="C151" s="1162"/>
      <c r="D151" s="1162"/>
      <c r="E151" s="1162"/>
      <c r="F151" s="1162"/>
      <c r="G151" s="1162"/>
      <c r="H151" s="1162"/>
      <c r="I151" s="1162"/>
      <c r="J151" s="1162"/>
      <c r="K151" s="1162"/>
      <c r="L151" s="1162"/>
      <c r="M151" s="1162"/>
      <c r="N151" s="1162"/>
      <c r="O151" s="1162"/>
      <c r="P151" s="1162"/>
      <c r="Q151" s="1162"/>
      <c r="R151" s="1162"/>
      <c r="S151" s="1162"/>
      <c r="T151" s="1162"/>
      <c r="U151" s="1162"/>
      <c r="V151" s="1162"/>
      <c r="W151" s="1162"/>
      <c r="X151" s="1162"/>
      <c r="Y151" s="1163"/>
      <c r="Z151" s="1163"/>
      <c r="AA151" s="1162"/>
    </row>
    <row r="152" ht="15.75" customHeight="1">
      <c r="A152" s="425"/>
      <c r="B152" s="425"/>
      <c r="C152" s="1162"/>
      <c r="D152" s="1162"/>
      <c r="E152" s="1162"/>
      <c r="F152" s="1162"/>
      <c r="G152" s="1162"/>
      <c r="H152" s="1162"/>
      <c r="I152" s="1162"/>
      <c r="J152" s="1162"/>
      <c r="K152" s="1162"/>
      <c r="L152" s="1162"/>
      <c r="M152" s="1162"/>
      <c r="N152" s="1162"/>
      <c r="O152" s="1162"/>
      <c r="P152" s="1162"/>
      <c r="Q152" s="1162"/>
      <c r="R152" s="1162"/>
      <c r="S152" s="1162"/>
      <c r="T152" s="1162"/>
      <c r="U152" s="1162"/>
      <c r="V152" s="1162"/>
      <c r="W152" s="1162"/>
      <c r="X152" s="1162"/>
      <c r="Y152" s="1163"/>
      <c r="Z152" s="1163"/>
      <c r="AA152" s="1162"/>
    </row>
    <row r="153" ht="15.75" customHeight="1">
      <c r="A153" s="425"/>
      <c r="B153" s="425"/>
      <c r="C153" s="1162"/>
      <c r="D153" s="1162"/>
      <c r="E153" s="1162"/>
      <c r="F153" s="1162"/>
      <c r="G153" s="1162"/>
      <c r="H153" s="1162"/>
      <c r="I153" s="1162"/>
      <c r="J153" s="1162"/>
      <c r="K153" s="1162"/>
      <c r="L153" s="1162"/>
      <c r="M153" s="1162"/>
      <c r="N153" s="1162"/>
      <c r="O153" s="1162"/>
      <c r="P153" s="1162"/>
      <c r="Q153" s="1162"/>
      <c r="R153" s="1162"/>
      <c r="S153" s="1162"/>
      <c r="T153" s="1162"/>
      <c r="U153" s="1162"/>
      <c r="V153" s="1162"/>
      <c r="W153" s="1162"/>
      <c r="X153" s="1162"/>
      <c r="Y153" s="1163"/>
      <c r="Z153" s="1163"/>
      <c r="AA153" s="1162"/>
    </row>
    <row r="154" ht="15.75" customHeight="1">
      <c r="A154" s="425"/>
      <c r="B154" s="425"/>
      <c r="C154" s="1162"/>
      <c r="D154" s="1162"/>
      <c r="E154" s="1162"/>
      <c r="F154" s="1162"/>
      <c r="G154" s="1162"/>
      <c r="H154" s="1162"/>
      <c r="I154" s="1162"/>
      <c r="J154" s="1162"/>
      <c r="K154" s="1162"/>
      <c r="L154" s="1162"/>
      <c r="M154" s="1162"/>
      <c r="N154" s="1162"/>
      <c r="O154" s="1162"/>
      <c r="P154" s="1162"/>
      <c r="Q154" s="1162"/>
      <c r="R154" s="1162"/>
      <c r="S154" s="1162"/>
      <c r="T154" s="1162"/>
      <c r="U154" s="1162"/>
      <c r="V154" s="1162"/>
      <c r="W154" s="1162"/>
      <c r="X154" s="1162"/>
      <c r="Y154" s="1163"/>
      <c r="Z154" s="1163"/>
      <c r="AA154" s="1162"/>
    </row>
    <row r="155" ht="15.75" customHeight="1">
      <c r="A155" s="425"/>
      <c r="B155" s="425"/>
      <c r="C155" s="1162"/>
      <c r="D155" s="1162"/>
      <c r="E155" s="1162"/>
      <c r="F155" s="1162"/>
      <c r="G155" s="1162"/>
      <c r="H155" s="1162"/>
      <c r="I155" s="1162"/>
      <c r="J155" s="1162"/>
      <c r="K155" s="1162"/>
      <c r="L155" s="1162"/>
      <c r="M155" s="1162"/>
      <c r="N155" s="1162"/>
      <c r="O155" s="1162"/>
      <c r="P155" s="1162"/>
      <c r="Q155" s="1162"/>
      <c r="R155" s="1162"/>
      <c r="S155" s="1162"/>
      <c r="T155" s="1162"/>
      <c r="U155" s="1162"/>
      <c r="V155" s="1162"/>
      <c r="W155" s="1162"/>
      <c r="X155" s="1162"/>
      <c r="Y155" s="1163"/>
      <c r="Z155" s="1163"/>
      <c r="AA155" s="1162"/>
    </row>
    <row r="156" ht="15.75" customHeight="1">
      <c r="A156" s="425"/>
      <c r="B156" s="425"/>
      <c r="C156" s="1162"/>
      <c r="D156" s="1162"/>
      <c r="E156" s="1162"/>
      <c r="F156" s="1162"/>
      <c r="G156" s="1162"/>
      <c r="H156" s="1162"/>
      <c r="I156" s="1162"/>
      <c r="J156" s="1162"/>
      <c r="K156" s="1162"/>
      <c r="L156" s="1162"/>
      <c r="M156" s="1162"/>
      <c r="N156" s="1162"/>
      <c r="O156" s="1162"/>
      <c r="P156" s="1162"/>
      <c r="Q156" s="1162"/>
      <c r="R156" s="1162"/>
      <c r="S156" s="1162"/>
      <c r="T156" s="1162"/>
      <c r="U156" s="1162"/>
      <c r="V156" s="1162"/>
      <c r="W156" s="1162"/>
      <c r="X156" s="1162"/>
      <c r="Y156" s="1163"/>
      <c r="Z156" s="1163"/>
      <c r="AA156" s="1162"/>
    </row>
    <row r="157" ht="15.75" customHeight="1">
      <c r="A157" s="425"/>
      <c r="B157" s="425"/>
      <c r="C157" s="1162"/>
      <c r="D157" s="1162"/>
      <c r="E157" s="1162"/>
      <c r="F157" s="1162"/>
      <c r="G157" s="1162"/>
      <c r="H157" s="1162"/>
      <c r="I157" s="1162"/>
      <c r="J157" s="1162"/>
      <c r="K157" s="1162"/>
      <c r="L157" s="1162"/>
      <c r="M157" s="1162"/>
      <c r="N157" s="1162"/>
      <c r="O157" s="1162"/>
      <c r="P157" s="1162"/>
      <c r="Q157" s="1162"/>
      <c r="R157" s="1162"/>
      <c r="S157" s="1162"/>
      <c r="T157" s="1162"/>
      <c r="U157" s="1162"/>
      <c r="V157" s="1162"/>
      <c r="W157" s="1162"/>
      <c r="X157" s="1162"/>
      <c r="Y157" s="1163"/>
      <c r="Z157" s="1163"/>
      <c r="AA157" s="1162"/>
    </row>
    <row r="158" ht="15.75" customHeight="1">
      <c r="A158" s="425"/>
      <c r="B158" s="425"/>
      <c r="C158" s="1162"/>
      <c r="D158" s="1162"/>
      <c r="E158" s="1162"/>
      <c r="F158" s="1162"/>
      <c r="G158" s="1162"/>
      <c r="H158" s="1162"/>
      <c r="I158" s="1162"/>
      <c r="J158" s="1162"/>
      <c r="K158" s="1162"/>
      <c r="L158" s="1162"/>
      <c r="M158" s="1162"/>
      <c r="N158" s="1162"/>
      <c r="O158" s="1162"/>
      <c r="P158" s="1162"/>
      <c r="Q158" s="1162"/>
      <c r="R158" s="1162"/>
      <c r="S158" s="1162"/>
      <c r="T158" s="1162"/>
      <c r="U158" s="1162"/>
      <c r="V158" s="1162"/>
      <c r="W158" s="1162"/>
      <c r="X158" s="1162"/>
      <c r="Y158" s="1163"/>
      <c r="Z158" s="1163"/>
      <c r="AA158" s="1162"/>
    </row>
    <row r="159" ht="15.75" customHeight="1">
      <c r="A159" s="425"/>
      <c r="B159" s="425"/>
      <c r="C159" s="1162"/>
      <c r="D159" s="1162"/>
      <c r="E159" s="1162"/>
      <c r="F159" s="1162"/>
      <c r="G159" s="1162"/>
      <c r="H159" s="1162"/>
      <c r="I159" s="1162"/>
      <c r="J159" s="1162"/>
      <c r="K159" s="1162"/>
      <c r="L159" s="1162"/>
      <c r="M159" s="1162"/>
      <c r="N159" s="1162"/>
      <c r="O159" s="1162"/>
      <c r="P159" s="1162"/>
      <c r="Q159" s="1162"/>
      <c r="R159" s="1162"/>
      <c r="S159" s="1162"/>
      <c r="T159" s="1162"/>
      <c r="U159" s="1162"/>
      <c r="V159" s="1162"/>
      <c r="W159" s="1162"/>
      <c r="X159" s="1162"/>
      <c r="Y159" s="1163"/>
      <c r="Z159" s="1163"/>
      <c r="AA159" s="1162"/>
    </row>
    <row r="160" ht="15.75" customHeight="1">
      <c r="A160" s="425"/>
      <c r="B160" s="425"/>
      <c r="C160" s="1162"/>
      <c r="D160" s="1162"/>
      <c r="E160" s="1162"/>
      <c r="F160" s="1162"/>
      <c r="G160" s="1162"/>
      <c r="H160" s="1162"/>
      <c r="I160" s="1162"/>
      <c r="J160" s="1162"/>
      <c r="K160" s="1162"/>
      <c r="L160" s="1162"/>
      <c r="M160" s="1162"/>
      <c r="N160" s="1162"/>
      <c r="O160" s="1162"/>
      <c r="P160" s="1162"/>
      <c r="Q160" s="1162"/>
      <c r="R160" s="1162"/>
      <c r="S160" s="1162"/>
      <c r="T160" s="1162"/>
      <c r="U160" s="1162"/>
      <c r="V160" s="1162"/>
      <c r="W160" s="1162"/>
      <c r="X160" s="1162"/>
      <c r="Y160" s="1163"/>
      <c r="Z160" s="1163"/>
      <c r="AA160" s="1162"/>
    </row>
    <row r="161" ht="15.75" customHeight="1">
      <c r="A161" s="425"/>
      <c r="B161" s="425"/>
      <c r="C161" s="1162"/>
      <c r="D161" s="1162"/>
      <c r="E161" s="1162"/>
      <c r="F161" s="1162"/>
      <c r="G161" s="1162"/>
      <c r="H161" s="1162"/>
      <c r="I161" s="1162"/>
      <c r="J161" s="1162"/>
      <c r="K161" s="1162"/>
      <c r="L161" s="1162"/>
      <c r="M161" s="1162"/>
      <c r="N161" s="1162"/>
      <c r="O161" s="1162"/>
      <c r="P161" s="1162"/>
      <c r="Q161" s="1162"/>
      <c r="R161" s="1162"/>
      <c r="S161" s="1162"/>
      <c r="T161" s="1162"/>
      <c r="U161" s="1162"/>
      <c r="V161" s="1162"/>
      <c r="W161" s="1162"/>
      <c r="X161" s="1162"/>
      <c r="Y161" s="1163"/>
      <c r="Z161" s="1163"/>
      <c r="AA161" s="1162"/>
    </row>
    <row r="162" ht="15.75" customHeight="1">
      <c r="A162" s="425"/>
      <c r="B162" s="425"/>
      <c r="C162" s="1162"/>
      <c r="D162" s="1162"/>
      <c r="E162" s="1162"/>
      <c r="F162" s="1162"/>
      <c r="G162" s="1162"/>
      <c r="H162" s="1162"/>
      <c r="I162" s="1162"/>
      <c r="J162" s="1162"/>
      <c r="K162" s="1162"/>
      <c r="L162" s="1162"/>
      <c r="M162" s="1162"/>
      <c r="N162" s="1162"/>
      <c r="O162" s="1162"/>
      <c r="P162" s="1162"/>
      <c r="Q162" s="1162"/>
      <c r="R162" s="1162"/>
      <c r="S162" s="1162"/>
      <c r="T162" s="1162"/>
      <c r="U162" s="1162"/>
      <c r="V162" s="1162"/>
      <c r="W162" s="1162"/>
      <c r="X162" s="1162"/>
      <c r="Y162" s="1163"/>
      <c r="Z162" s="1163"/>
      <c r="AA162" s="1162"/>
    </row>
    <row r="163" ht="15.75" customHeight="1">
      <c r="A163" s="425"/>
      <c r="B163" s="425"/>
      <c r="C163" s="1162"/>
      <c r="D163" s="1162"/>
      <c r="E163" s="1162"/>
      <c r="F163" s="1162"/>
      <c r="G163" s="1162"/>
      <c r="H163" s="1162"/>
      <c r="I163" s="1162"/>
      <c r="J163" s="1162"/>
      <c r="K163" s="1162"/>
      <c r="L163" s="1162"/>
      <c r="M163" s="1162"/>
      <c r="N163" s="1162"/>
      <c r="O163" s="1162"/>
      <c r="P163" s="1162"/>
      <c r="Q163" s="1162"/>
      <c r="R163" s="1162"/>
      <c r="S163" s="1162"/>
      <c r="T163" s="1162"/>
      <c r="U163" s="1162"/>
      <c r="V163" s="1162"/>
      <c r="W163" s="1162"/>
      <c r="X163" s="1162"/>
      <c r="Y163" s="1163"/>
      <c r="Z163" s="1163"/>
      <c r="AA163" s="1162"/>
    </row>
    <row r="164" ht="15.75" customHeight="1">
      <c r="A164" s="425"/>
      <c r="B164" s="425"/>
      <c r="C164" s="1162"/>
      <c r="D164" s="1162"/>
      <c r="E164" s="1162"/>
      <c r="F164" s="1162"/>
      <c r="G164" s="1162"/>
      <c r="H164" s="1162"/>
      <c r="I164" s="1162"/>
      <c r="J164" s="1162"/>
      <c r="K164" s="1162"/>
      <c r="L164" s="1162"/>
      <c r="M164" s="1162"/>
      <c r="N164" s="1162"/>
      <c r="O164" s="1162"/>
      <c r="P164" s="1162"/>
      <c r="Q164" s="1162"/>
      <c r="R164" s="1162"/>
      <c r="S164" s="1162"/>
      <c r="T164" s="1162"/>
      <c r="U164" s="1162"/>
      <c r="V164" s="1162"/>
      <c r="W164" s="1162"/>
      <c r="X164" s="1162"/>
      <c r="Y164" s="1163"/>
      <c r="Z164" s="1163"/>
      <c r="AA164" s="1162"/>
    </row>
    <row r="165" ht="15.75" customHeight="1">
      <c r="A165" s="425"/>
      <c r="B165" s="425"/>
      <c r="C165" s="1162"/>
      <c r="D165" s="1162"/>
      <c r="E165" s="1162"/>
      <c r="F165" s="1162"/>
      <c r="G165" s="1162"/>
      <c r="H165" s="1162"/>
      <c r="I165" s="1162"/>
      <c r="J165" s="1162"/>
      <c r="K165" s="1162"/>
      <c r="L165" s="1162"/>
      <c r="M165" s="1162"/>
      <c r="N165" s="1162"/>
      <c r="O165" s="1162"/>
      <c r="P165" s="1162"/>
      <c r="Q165" s="1162"/>
      <c r="R165" s="1162"/>
      <c r="S165" s="1162"/>
      <c r="T165" s="1162"/>
      <c r="U165" s="1162"/>
      <c r="V165" s="1162"/>
      <c r="W165" s="1162"/>
      <c r="X165" s="1162"/>
      <c r="Y165" s="1163"/>
      <c r="Z165" s="1163"/>
      <c r="AA165" s="1162"/>
    </row>
    <row r="166" ht="15.75" customHeight="1">
      <c r="A166" s="425"/>
      <c r="B166" s="425"/>
      <c r="C166" s="1162"/>
      <c r="D166" s="1162"/>
      <c r="E166" s="1162"/>
      <c r="F166" s="1162"/>
      <c r="G166" s="1162"/>
      <c r="H166" s="1162"/>
      <c r="I166" s="1162"/>
      <c r="J166" s="1162"/>
      <c r="K166" s="1162"/>
      <c r="L166" s="1162"/>
      <c r="M166" s="1162"/>
      <c r="N166" s="1162"/>
      <c r="O166" s="1162"/>
      <c r="P166" s="1162"/>
      <c r="Q166" s="1162"/>
      <c r="R166" s="1162"/>
      <c r="S166" s="1162"/>
      <c r="T166" s="1162"/>
      <c r="U166" s="1162"/>
      <c r="V166" s="1162"/>
      <c r="W166" s="1162"/>
      <c r="X166" s="1162"/>
      <c r="Y166" s="1163"/>
      <c r="Z166" s="1163"/>
      <c r="AA166" s="1162"/>
    </row>
    <row r="167" ht="15.75" customHeight="1">
      <c r="A167" s="425"/>
      <c r="B167" s="425"/>
      <c r="C167" s="1162"/>
      <c r="D167" s="1162"/>
      <c r="E167" s="1162"/>
      <c r="F167" s="1162"/>
      <c r="G167" s="1162"/>
      <c r="H167" s="1162"/>
      <c r="I167" s="1162"/>
      <c r="J167" s="1162"/>
      <c r="K167" s="1162"/>
      <c r="L167" s="1162"/>
      <c r="M167" s="1162"/>
      <c r="N167" s="1162"/>
      <c r="O167" s="1162"/>
      <c r="P167" s="1162"/>
      <c r="Q167" s="1162"/>
      <c r="R167" s="1162"/>
      <c r="S167" s="1162"/>
      <c r="T167" s="1162"/>
      <c r="U167" s="1162"/>
      <c r="V167" s="1162"/>
      <c r="W167" s="1162"/>
      <c r="X167" s="1162"/>
      <c r="Y167" s="1163"/>
      <c r="Z167" s="1163"/>
      <c r="AA167" s="1162"/>
    </row>
    <row r="168" ht="15.75" customHeight="1">
      <c r="A168" s="425"/>
      <c r="B168" s="425"/>
      <c r="C168" s="1162"/>
      <c r="D168" s="1162"/>
      <c r="E168" s="1162"/>
      <c r="F168" s="1162"/>
      <c r="G168" s="1162"/>
      <c r="H168" s="1162"/>
      <c r="I168" s="1162"/>
      <c r="J168" s="1162"/>
      <c r="K168" s="1162"/>
      <c r="L168" s="1162"/>
      <c r="M168" s="1162"/>
      <c r="N168" s="1162"/>
      <c r="O168" s="1162"/>
      <c r="P168" s="1162"/>
      <c r="Q168" s="1162"/>
      <c r="R168" s="1162"/>
      <c r="S168" s="1162"/>
      <c r="T168" s="1162"/>
      <c r="U168" s="1162"/>
      <c r="V168" s="1162"/>
      <c r="W168" s="1162"/>
      <c r="X168" s="1162"/>
      <c r="Y168" s="1163"/>
      <c r="Z168" s="1163"/>
      <c r="AA168" s="1162"/>
    </row>
    <row r="169" ht="15.75" customHeight="1">
      <c r="A169" s="425"/>
      <c r="B169" s="425"/>
      <c r="C169" s="1162"/>
      <c r="D169" s="1162"/>
      <c r="E169" s="1162"/>
      <c r="F169" s="1162"/>
      <c r="G169" s="1162"/>
      <c r="H169" s="1162"/>
      <c r="I169" s="1162"/>
      <c r="J169" s="1162"/>
      <c r="K169" s="1162"/>
      <c r="L169" s="1162"/>
      <c r="M169" s="1162"/>
      <c r="N169" s="1162"/>
      <c r="O169" s="1162"/>
      <c r="P169" s="1162"/>
      <c r="Q169" s="1162"/>
      <c r="R169" s="1162"/>
      <c r="S169" s="1162"/>
      <c r="T169" s="1162"/>
      <c r="U169" s="1162"/>
      <c r="V169" s="1162"/>
      <c r="W169" s="1162"/>
      <c r="X169" s="1162"/>
      <c r="Y169" s="1163"/>
      <c r="Z169" s="1163"/>
      <c r="AA169" s="1162"/>
    </row>
    <row r="170" ht="15.75" customHeight="1">
      <c r="A170" s="425"/>
      <c r="B170" s="425"/>
      <c r="C170" s="1162"/>
      <c r="D170" s="1162"/>
      <c r="E170" s="1162"/>
      <c r="F170" s="1162"/>
      <c r="G170" s="1162"/>
      <c r="H170" s="1162"/>
      <c r="I170" s="1162"/>
      <c r="J170" s="1162"/>
      <c r="K170" s="1162"/>
      <c r="L170" s="1162"/>
      <c r="M170" s="1162"/>
      <c r="N170" s="1162"/>
      <c r="O170" s="1162"/>
      <c r="P170" s="1162"/>
      <c r="Q170" s="1162"/>
      <c r="R170" s="1162"/>
      <c r="S170" s="1162"/>
      <c r="T170" s="1162"/>
      <c r="U170" s="1162"/>
      <c r="V170" s="1162"/>
      <c r="W170" s="1162"/>
      <c r="X170" s="1162"/>
      <c r="Y170" s="1163"/>
      <c r="Z170" s="1163"/>
      <c r="AA170" s="1162"/>
    </row>
    <row r="171" ht="15.75" customHeight="1">
      <c r="A171" s="425"/>
      <c r="B171" s="425"/>
      <c r="C171" s="1162"/>
      <c r="D171" s="1162"/>
      <c r="E171" s="1162"/>
      <c r="F171" s="1162"/>
      <c r="G171" s="1162"/>
      <c r="H171" s="1162"/>
      <c r="I171" s="1162"/>
      <c r="J171" s="1162"/>
      <c r="K171" s="1162"/>
      <c r="L171" s="1162"/>
      <c r="M171" s="1162"/>
      <c r="N171" s="1162"/>
      <c r="O171" s="1162"/>
      <c r="P171" s="1162"/>
      <c r="Q171" s="1162"/>
      <c r="R171" s="1162"/>
      <c r="S171" s="1162"/>
      <c r="T171" s="1162"/>
      <c r="U171" s="1162"/>
      <c r="V171" s="1162"/>
      <c r="W171" s="1162"/>
      <c r="X171" s="1162"/>
      <c r="Y171" s="1163"/>
      <c r="Z171" s="1163"/>
      <c r="AA171" s="1162"/>
    </row>
    <row r="172" ht="15.75" customHeight="1">
      <c r="A172" s="425"/>
      <c r="B172" s="425"/>
      <c r="C172" s="1162"/>
      <c r="D172" s="1162"/>
      <c r="E172" s="1162"/>
      <c r="F172" s="1162"/>
      <c r="G172" s="1162"/>
      <c r="H172" s="1162"/>
      <c r="I172" s="1162"/>
      <c r="J172" s="1162"/>
      <c r="K172" s="1162"/>
      <c r="L172" s="1162"/>
      <c r="M172" s="1162"/>
      <c r="N172" s="1162"/>
      <c r="O172" s="1162"/>
      <c r="P172" s="1162"/>
      <c r="Q172" s="1162"/>
      <c r="R172" s="1162"/>
      <c r="S172" s="1162"/>
      <c r="T172" s="1162"/>
      <c r="U172" s="1162"/>
      <c r="V172" s="1162"/>
      <c r="W172" s="1162"/>
      <c r="X172" s="1162"/>
      <c r="Y172" s="1163"/>
      <c r="Z172" s="1163"/>
      <c r="AA172" s="1162"/>
    </row>
    <row r="173" ht="15.75" customHeight="1">
      <c r="A173" s="425"/>
      <c r="B173" s="425"/>
      <c r="C173" s="1162"/>
      <c r="D173" s="1162"/>
      <c r="E173" s="1162"/>
      <c r="F173" s="1162"/>
      <c r="G173" s="1162"/>
      <c r="H173" s="1162"/>
      <c r="I173" s="1162"/>
      <c r="J173" s="1162"/>
      <c r="K173" s="1162"/>
      <c r="L173" s="1162"/>
      <c r="M173" s="1162"/>
      <c r="N173" s="1162"/>
      <c r="O173" s="1162"/>
      <c r="P173" s="1162"/>
      <c r="Q173" s="1162"/>
      <c r="R173" s="1162"/>
      <c r="S173" s="1162"/>
      <c r="T173" s="1162"/>
      <c r="U173" s="1162"/>
      <c r="V173" s="1162"/>
      <c r="W173" s="1162"/>
      <c r="X173" s="1162"/>
      <c r="Y173" s="1163"/>
      <c r="Z173" s="1163"/>
      <c r="AA173" s="1162"/>
    </row>
    <row r="174" ht="15.75" customHeight="1">
      <c r="A174" s="425"/>
      <c r="B174" s="425"/>
      <c r="C174" s="1162"/>
      <c r="D174" s="1162"/>
      <c r="E174" s="1162"/>
      <c r="F174" s="1162"/>
      <c r="G174" s="1162"/>
      <c r="H174" s="1162"/>
      <c r="I174" s="1162"/>
      <c r="J174" s="1162"/>
      <c r="K174" s="1162"/>
      <c r="L174" s="1162"/>
      <c r="M174" s="1162"/>
      <c r="N174" s="1162"/>
      <c r="O174" s="1162"/>
      <c r="P174" s="1162"/>
      <c r="Q174" s="1162"/>
      <c r="R174" s="1162"/>
      <c r="S174" s="1162"/>
      <c r="T174" s="1162"/>
      <c r="U174" s="1162"/>
      <c r="V174" s="1162"/>
      <c r="W174" s="1162"/>
      <c r="X174" s="1162"/>
      <c r="Y174" s="1163"/>
      <c r="Z174" s="1163"/>
      <c r="AA174" s="1162"/>
    </row>
    <row r="175" ht="15.75" customHeight="1">
      <c r="A175" s="425"/>
      <c r="B175" s="425"/>
      <c r="C175" s="1162"/>
      <c r="D175" s="1162"/>
      <c r="E175" s="1162"/>
      <c r="F175" s="1162"/>
      <c r="G175" s="1162"/>
      <c r="H175" s="1162"/>
      <c r="I175" s="1162"/>
      <c r="J175" s="1162"/>
      <c r="K175" s="1162"/>
      <c r="L175" s="1162"/>
      <c r="M175" s="1162"/>
      <c r="N175" s="1162"/>
      <c r="O175" s="1162"/>
      <c r="P175" s="1162"/>
      <c r="Q175" s="1162"/>
      <c r="R175" s="1162"/>
      <c r="S175" s="1162"/>
      <c r="T175" s="1162"/>
      <c r="U175" s="1162"/>
      <c r="V175" s="1162"/>
      <c r="W175" s="1162"/>
      <c r="X175" s="1162"/>
      <c r="Y175" s="1163"/>
      <c r="Z175" s="1163"/>
      <c r="AA175" s="1162"/>
    </row>
    <row r="176" ht="15.75" customHeight="1">
      <c r="A176" s="425"/>
      <c r="B176" s="425"/>
      <c r="C176" s="1162"/>
      <c r="D176" s="1162"/>
      <c r="E176" s="1162"/>
      <c r="F176" s="1162"/>
      <c r="G176" s="1162"/>
      <c r="H176" s="1162"/>
      <c r="I176" s="1162"/>
      <c r="J176" s="1162"/>
      <c r="K176" s="1162"/>
      <c r="L176" s="1162"/>
      <c r="M176" s="1162"/>
      <c r="N176" s="1162"/>
      <c r="O176" s="1162"/>
      <c r="P176" s="1162"/>
      <c r="Q176" s="1162"/>
      <c r="R176" s="1162"/>
      <c r="S176" s="1162"/>
      <c r="T176" s="1162"/>
      <c r="U176" s="1162"/>
      <c r="V176" s="1162"/>
      <c r="W176" s="1162"/>
      <c r="X176" s="1162"/>
      <c r="Y176" s="1163"/>
      <c r="Z176" s="1163"/>
      <c r="AA176" s="1162"/>
    </row>
    <row r="177" ht="15.75" customHeight="1">
      <c r="A177" s="425"/>
      <c r="B177" s="425"/>
      <c r="C177" s="1162"/>
      <c r="D177" s="1162"/>
      <c r="E177" s="1162"/>
      <c r="F177" s="1162"/>
      <c r="G177" s="1162"/>
      <c r="H177" s="1162"/>
      <c r="I177" s="1162"/>
      <c r="J177" s="1162"/>
      <c r="K177" s="1162"/>
      <c r="L177" s="1162"/>
      <c r="M177" s="1162"/>
      <c r="N177" s="1162"/>
      <c r="O177" s="1162"/>
      <c r="P177" s="1162"/>
      <c r="Q177" s="1162"/>
      <c r="R177" s="1162"/>
      <c r="S177" s="1162"/>
      <c r="T177" s="1162"/>
      <c r="U177" s="1162"/>
      <c r="V177" s="1162"/>
      <c r="W177" s="1162"/>
      <c r="X177" s="1162"/>
      <c r="Y177" s="1163"/>
      <c r="Z177" s="1163"/>
      <c r="AA177" s="1162"/>
    </row>
    <row r="178" ht="15.75" customHeight="1">
      <c r="A178" s="425"/>
      <c r="B178" s="425"/>
      <c r="C178" s="1162"/>
      <c r="D178" s="1162"/>
      <c r="E178" s="1162"/>
      <c r="F178" s="1162"/>
      <c r="G178" s="1162"/>
      <c r="H178" s="1162"/>
      <c r="I178" s="1162"/>
      <c r="J178" s="1162"/>
      <c r="K178" s="1162"/>
      <c r="L178" s="1162"/>
      <c r="M178" s="1162"/>
      <c r="N178" s="1162"/>
      <c r="O178" s="1162"/>
      <c r="P178" s="1162"/>
      <c r="Q178" s="1162"/>
      <c r="R178" s="1162"/>
      <c r="S178" s="1162"/>
      <c r="T178" s="1162"/>
      <c r="U178" s="1162"/>
      <c r="V178" s="1162"/>
      <c r="W178" s="1162"/>
      <c r="X178" s="1162"/>
      <c r="Y178" s="1163"/>
      <c r="Z178" s="1163"/>
      <c r="AA178" s="1162"/>
    </row>
    <row r="179" ht="15.75" customHeight="1">
      <c r="A179" s="425"/>
      <c r="B179" s="425"/>
      <c r="C179" s="1162"/>
      <c r="D179" s="1162"/>
      <c r="E179" s="1162"/>
      <c r="F179" s="1162"/>
      <c r="G179" s="1162"/>
      <c r="H179" s="1162"/>
      <c r="I179" s="1162"/>
      <c r="J179" s="1162"/>
      <c r="K179" s="1162"/>
      <c r="L179" s="1162"/>
      <c r="M179" s="1162"/>
      <c r="N179" s="1162"/>
      <c r="O179" s="1162"/>
      <c r="P179" s="1162"/>
      <c r="Q179" s="1162"/>
      <c r="R179" s="1162"/>
      <c r="S179" s="1162"/>
      <c r="T179" s="1162"/>
      <c r="U179" s="1162"/>
      <c r="V179" s="1162"/>
      <c r="W179" s="1162"/>
      <c r="X179" s="1162"/>
      <c r="Y179" s="1163"/>
      <c r="Z179" s="1163"/>
      <c r="AA179" s="1162"/>
    </row>
    <row r="180" ht="15.75" customHeight="1">
      <c r="A180" s="425"/>
      <c r="B180" s="425"/>
      <c r="C180" s="1162"/>
      <c r="D180" s="1162"/>
      <c r="E180" s="1162"/>
      <c r="F180" s="1162"/>
      <c r="G180" s="1162"/>
      <c r="H180" s="1162"/>
      <c r="I180" s="1162"/>
      <c r="J180" s="1162"/>
      <c r="K180" s="1162"/>
      <c r="L180" s="1162"/>
      <c r="M180" s="1162"/>
      <c r="N180" s="1162"/>
      <c r="O180" s="1162"/>
      <c r="P180" s="1162"/>
      <c r="Q180" s="1162"/>
      <c r="R180" s="1162"/>
      <c r="S180" s="1162"/>
      <c r="T180" s="1162"/>
      <c r="U180" s="1162"/>
      <c r="V180" s="1162"/>
      <c r="W180" s="1162"/>
      <c r="X180" s="1162"/>
      <c r="Y180" s="1163"/>
      <c r="Z180" s="1163"/>
      <c r="AA180" s="1162"/>
    </row>
    <row r="181" ht="15.75" customHeight="1">
      <c r="A181" s="425"/>
      <c r="B181" s="425"/>
      <c r="C181" s="1162"/>
      <c r="D181" s="1162"/>
      <c r="E181" s="1162"/>
      <c r="F181" s="1162"/>
      <c r="G181" s="1162"/>
      <c r="H181" s="1162"/>
      <c r="I181" s="1162"/>
      <c r="J181" s="1162"/>
      <c r="K181" s="1162"/>
      <c r="L181" s="1162"/>
      <c r="M181" s="1162"/>
      <c r="N181" s="1162"/>
      <c r="O181" s="1162"/>
      <c r="P181" s="1162"/>
      <c r="Q181" s="1162"/>
      <c r="R181" s="1162"/>
      <c r="S181" s="1162"/>
      <c r="T181" s="1162"/>
      <c r="U181" s="1162"/>
      <c r="V181" s="1162"/>
      <c r="W181" s="1162"/>
      <c r="X181" s="1162"/>
      <c r="Y181" s="1163"/>
      <c r="Z181" s="1163"/>
      <c r="AA181" s="1162"/>
    </row>
    <row r="182" ht="15.75" customHeight="1">
      <c r="A182" s="425"/>
      <c r="B182" s="425"/>
      <c r="C182" s="1162"/>
      <c r="D182" s="1162"/>
      <c r="E182" s="1162"/>
      <c r="F182" s="1162"/>
      <c r="G182" s="1162"/>
      <c r="H182" s="1162"/>
      <c r="I182" s="1162"/>
      <c r="J182" s="1162"/>
      <c r="K182" s="1162"/>
      <c r="L182" s="1162"/>
      <c r="M182" s="1162"/>
      <c r="N182" s="1162"/>
      <c r="O182" s="1162"/>
      <c r="P182" s="1162"/>
      <c r="Q182" s="1162"/>
      <c r="R182" s="1162"/>
      <c r="S182" s="1162"/>
      <c r="T182" s="1162"/>
      <c r="U182" s="1162"/>
      <c r="V182" s="1162"/>
      <c r="W182" s="1162"/>
      <c r="X182" s="1162"/>
      <c r="Y182" s="1163"/>
      <c r="Z182" s="1163"/>
      <c r="AA182" s="1162"/>
    </row>
    <row r="183" ht="15.75" customHeight="1">
      <c r="A183" s="425"/>
      <c r="B183" s="425"/>
      <c r="C183" s="1162"/>
      <c r="D183" s="1162"/>
      <c r="E183" s="1162"/>
      <c r="F183" s="1162"/>
      <c r="G183" s="1162"/>
      <c r="H183" s="1162"/>
      <c r="I183" s="1162"/>
      <c r="J183" s="1162"/>
      <c r="K183" s="1162"/>
      <c r="L183" s="1162"/>
      <c r="M183" s="1162"/>
      <c r="N183" s="1162"/>
      <c r="O183" s="1162"/>
      <c r="P183" s="1162"/>
      <c r="Q183" s="1162"/>
      <c r="R183" s="1162"/>
      <c r="S183" s="1162"/>
      <c r="T183" s="1162"/>
      <c r="U183" s="1162"/>
      <c r="V183" s="1162"/>
      <c r="W183" s="1162"/>
      <c r="X183" s="1162"/>
      <c r="Y183" s="1163"/>
      <c r="Z183" s="1163"/>
      <c r="AA183" s="1162"/>
    </row>
    <row r="184" ht="15.75" customHeight="1">
      <c r="A184" s="425"/>
      <c r="B184" s="425"/>
      <c r="C184" s="1162"/>
      <c r="D184" s="1162"/>
      <c r="E184" s="1162"/>
      <c r="F184" s="1162"/>
      <c r="G184" s="1162"/>
      <c r="H184" s="1162"/>
      <c r="I184" s="1162"/>
      <c r="J184" s="1162"/>
      <c r="K184" s="1162"/>
      <c r="L184" s="1162"/>
      <c r="M184" s="1162"/>
      <c r="N184" s="1162"/>
      <c r="O184" s="1162"/>
      <c r="P184" s="1162"/>
      <c r="Q184" s="1162"/>
      <c r="R184" s="1162"/>
      <c r="S184" s="1162"/>
      <c r="T184" s="1162"/>
      <c r="U184" s="1162"/>
      <c r="V184" s="1162"/>
      <c r="W184" s="1162"/>
      <c r="X184" s="1162"/>
      <c r="Y184" s="1163"/>
      <c r="Z184" s="1163"/>
      <c r="AA184" s="1162"/>
    </row>
    <row r="185" ht="15.75" customHeight="1">
      <c r="A185" s="425"/>
      <c r="B185" s="425"/>
      <c r="C185" s="1162"/>
      <c r="D185" s="1162"/>
      <c r="E185" s="1162"/>
      <c r="F185" s="1162"/>
      <c r="G185" s="1162"/>
      <c r="H185" s="1162"/>
      <c r="I185" s="1162"/>
      <c r="J185" s="1162"/>
      <c r="K185" s="1162"/>
      <c r="L185" s="1162"/>
      <c r="M185" s="1162"/>
      <c r="N185" s="1162"/>
      <c r="O185" s="1162"/>
      <c r="P185" s="1162"/>
      <c r="Q185" s="1162"/>
      <c r="R185" s="1162"/>
      <c r="S185" s="1162"/>
      <c r="T185" s="1162"/>
      <c r="U185" s="1162"/>
      <c r="V185" s="1162"/>
      <c r="W185" s="1162"/>
      <c r="X185" s="1162"/>
      <c r="Y185" s="1163"/>
      <c r="Z185" s="1163"/>
      <c r="AA185" s="1162"/>
    </row>
    <row r="186" ht="15.75" customHeight="1">
      <c r="A186" s="425"/>
      <c r="B186" s="425"/>
      <c r="C186" s="1162"/>
      <c r="D186" s="1162"/>
      <c r="E186" s="1162"/>
      <c r="F186" s="1162"/>
      <c r="G186" s="1162"/>
      <c r="H186" s="1162"/>
      <c r="I186" s="1162"/>
      <c r="J186" s="1162"/>
      <c r="K186" s="1162"/>
      <c r="L186" s="1162"/>
      <c r="M186" s="1162"/>
      <c r="N186" s="1162"/>
      <c r="O186" s="1162"/>
      <c r="P186" s="1162"/>
      <c r="Q186" s="1162"/>
      <c r="R186" s="1162"/>
      <c r="S186" s="1162"/>
      <c r="T186" s="1162"/>
      <c r="U186" s="1162"/>
      <c r="V186" s="1162"/>
      <c r="W186" s="1162"/>
      <c r="X186" s="1162"/>
      <c r="Y186" s="1163"/>
      <c r="Z186" s="1163"/>
      <c r="AA186" s="1162"/>
    </row>
    <row r="187" ht="15.75" customHeight="1">
      <c r="A187" s="425"/>
      <c r="B187" s="425"/>
      <c r="C187" s="1162"/>
      <c r="D187" s="1162"/>
      <c r="E187" s="1162"/>
      <c r="F187" s="1162"/>
      <c r="G187" s="1162"/>
      <c r="H187" s="1162"/>
      <c r="I187" s="1162"/>
      <c r="J187" s="1162"/>
      <c r="K187" s="1162"/>
      <c r="L187" s="1162"/>
      <c r="M187" s="1162"/>
      <c r="N187" s="1162"/>
      <c r="O187" s="1162"/>
      <c r="P187" s="1162"/>
      <c r="Q187" s="1162"/>
      <c r="R187" s="1162"/>
      <c r="S187" s="1162"/>
      <c r="T187" s="1162"/>
      <c r="U187" s="1162"/>
      <c r="V187" s="1162"/>
      <c r="W187" s="1162"/>
      <c r="X187" s="1162"/>
      <c r="Y187" s="1163"/>
      <c r="Z187" s="1163"/>
      <c r="AA187" s="1162"/>
    </row>
    <row r="188" ht="15.75" customHeight="1">
      <c r="A188" s="425"/>
      <c r="B188" s="425"/>
      <c r="C188" s="1162"/>
      <c r="D188" s="1162"/>
      <c r="E188" s="1162"/>
      <c r="F188" s="1162"/>
      <c r="G188" s="1162"/>
      <c r="H188" s="1162"/>
      <c r="I188" s="1162"/>
      <c r="J188" s="1162"/>
      <c r="K188" s="1162"/>
      <c r="L188" s="1162"/>
      <c r="M188" s="1162"/>
      <c r="N188" s="1162"/>
      <c r="O188" s="1162"/>
      <c r="P188" s="1162"/>
      <c r="Q188" s="1162"/>
      <c r="R188" s="1162"/>
      <c r="S188" s="1162"/>
      <c r="T188" s="1162"/>
      <c r="U188" s="1162"/>
      <c r="V188" s="1162"/>
      <c r="W188" s="1162"/>
      <c r="X188" s="1162"/>
      <c r="Y188" s="1163"/>
      <c r="Z188" s="1163"/>
      <c r="AA188" s="1162"/>
    </row>
    <row r="189" ht="15.75" customHeight="1">
      <c r="A189" s="425"/>
      <c r="B189" s="425"/>
      <c r="C189" s="1162"/>
      <c r="D189" s="1162"/>
      <c r="E189" s="1162"/>
      <c r="F189" s="1162"/>
      <c r="G189" s="1162"/>
      <c r="H189" s="1162"/>
      <c r="I189" s="1162"/>
      <c r="J189" s="1162"/>
      <c r="K189" s="1162"/>
      <c r="L189" s="1162"/>
      <c r="M189" s="1162"/>
      <c r="N189" s="1162"/>
      <c r="O189" s="1162"/>
      <c r="P189" s="1162"/>
      <c r="Q189" s="1162"/>
      <c r="R189" s="1162"/>
      <c r="S189" s="1162"/>
      <c r="T189" s="1162"/>
      <c r="U189" s="1162"/>
      <c r="V189" s="1162"/>
      <c r="W189" s="1162"/>
      <c r="X189" s="1162"/>
      <c r="Y189" s="1163"/>
      <c r="Z189" s="1163"/>
      <c r="AA189" s="1162"/>
    </row>
    <row r="190" ht="15.75" customHeight="1">
      <c r="A190" s="425"/>
      <c r="B190" s="425"/>
      <c r="C190" s="1162"/>
      <c r="D190" s="1162"/>
      <c r="E190" s="1162"/>
      <c r="F190" s="1162"/>
      <c r="G190" s="1162"/>
      <c r="H190" s="1162"/>
      <c r="I190" s="1162"/>
      <c r="J190" s="1162"/>
      <c r="K190" s="1162"/>
      <c r="L190" s="1162"/>
      <c r="M190" s="1162"/>
      <c r="N190" s="1162"/>
      <c r="O190" s="1162"/>
      <c r="P190" s="1162"/>
      <c r="Q190" s="1162"/>
      <c r="R190" s="1162"/>
      <c r="S190" s="1162"/>
      <c r="T190" s="1162"/>
      <c r="U190" s="1162"/>
      <c r="V190" s="1162"/>
      <c r="W190" s="1162"/>
      <c r="X190" s="1162"/>
      <c r="Y190" s="1163"/>
      <c r="Z190" s="1163"/>
      <c r="AA190" s="1162"/>
    </row>
    <row r="191" ht="15.75" customHeight="1">
      <c r="A191" s="425"/>
      <c r="B191" s="425"/>
      <c r="C191" s="1162"/>
      <c r="D191" s="1162"/>
      <c r="E191" s="1162"/>
      <c r="F191" s="1162"/>
      <c r="G191" s="1162"/>
      <c r="H191" s="1162"/>
      <c r="I191" s="1162"/>
      <c r="J191" s="1162"/>
      <c r="K191" s="1162"/>
      <c r="L191" s="1162"/>
      <c r="M191" s="1162"/>
      <c r="N191" s="1162"/>
      <c r="O191" s="1162"/>
      <c r="P191" s="1162"/>
      <c r="Q191" s="1162"/>
      <c r="R191" s="1162"/>
      <c r="S191" s="1162"/>
      <c r="T191" s="1162"/>
      <c r="U191" s="1162"/>
      <c r="V191" s="1162"/>
      <c r="W191" s="1162"/>
      <c r="X191" s="1162"/>
      <c r="Y191" s="1163"/>
      <c r="Z191" s="1163"/>
      <c r="AA191" s="1162"/>
    </row>
    <row r="192" ht="15.75" customHeight="1">
      <c r="A192" s="425"/>
      <c r="B192" s="425"/>
      <c r="C192" s="1162"/>
      <c r="D192" s="1162"/>
      <c r="E192" s="1162"/>
      <c r="F192" s="1162"/>
      <c r="G192" s="1162"/>
      <c r="H192" s="1162"/>
      <c r="I192" s="1162"/>
      <c r="J192" s="1162"/>
      <c r="K192" s="1162"/>
      <c r="L192" s="1162"/>
      <c r="M192" s="1162"/>
      <c r="N192" s="1162"/>
      <c r="O192" s="1162"/>
      <c r="P192" s="1162"/>
      <c r="Q192" s="1162"/>
      <c r="R192" s="1162"/>
      <c r="S192" s="1162"/>
      <c r="T192" s="1162"/>
      <c r="U192" s="1162"/>
      <c r="V192" s="1162"/>
      <c r="W192" s="1162"/>
      <c r="X192" s="1162"/>
      <c r="Y192" s="1163"/>
      <c r="Z192" s="1163"/>
      <c r="AA192" s="1162"/>
    </row>
    <row r="193" ht="15.75" customHeight="1">
      <c r="A193" s="425"/>
      <c r="B193" s="425"/>
      <c r="C193" s="1162"/>
      <c r="D193" s="1162"/>
      <c r="E193" s="1162"/>
      <c r="F193" s="1162"/>
      <c r="G193" s="1162"/>
      <c r="H193" s="1162"/>
      <c r="I193" s="1162"/>
      <c r="J193" s="1162"/>
      <c r="K193" s="1162"/>
      <c r="L193" s="1162"/>
      <c r="M193" s="1162"/>
      <c r="N193" s="1162"/>
      <c r="O193" s="1162"/>
      <c r="P193" s="1162"/>
      <c r="Q193" s="1162"/>
      <c r="R193" s="1162"/>
      <c r="S193" s="1162"/>
      <c r="T193" s="1162"/>
      <c r="U193" s="1162"/>
      <c r="V193" s="1162"/>
      <c r="W193" s="1162"/>
      <c r="X193" s="1162"/>
      <c r="Y193" s="1163"/>
      <c r="Z193" s="1163"/>
      <c r="AA193" s="1162"/>
    </row>
    <row r="194" ht="15.75" customHeight="1">
      <c r="A194" s="425"/>
      <c r="B194" s="425"/>
      <c r="C194" s="1162"/>
      <c r="D194" s="1162"/>
      <c r="E194" s="1162"/>
      <c r="F194" s="1162"/>
      <c r="G194" s="1162"/>
      <c r="H194" s="1162"/>
      <c r="I194" s="1162"/>
      <c r="J194" s="1162"/>
      <c r="K194" s="1162"/>
      <c r="L194" s="1162"/>
      <c r="M194" s="1162"/>
      <c r="N194" s="1162"/>
      <c r="O194" s="1162"/>
      <c r="P194" s="1162"/>
      <c r="Q194" s="1162"/>
      <c r="R194" s="1162"/>
      <c r="S194" s="1162"/>
      <c r="T194" s="1162"/>
      <c r="U194" s="1162"/>
      <c r="V194" s="1162"/>
      <c r="W194" s="1162"/>
      <c r="X194" s="1162"/>
      <c r="Y194" s="1163"/>
      <c r="Z194" s="1163"/>
      <c r="AA194" s="1162"/>
    </row>
    <row r="195" ht="15.75" customHeight="1">
      <c r="A195" s="425"/>
      <c r="B195" s="425"/>
      <c r="C195" s="1162"/>
      <c r="D195" s="1162"/>
      <c r="E195" s="1162"/>
      <c r="F195" s="1162"/>
      <c r="G195" s="1162"/>
      <c r="H195" s="1162"/>
      <c r="I195" s="1162"/>
      <c r="J195" s="1162"/>
      <c r="K195" s="1162"/>
      <c r="L195" s="1162"/>
      <c r="M195" s="1162"/>
      <c r="N195" s="1162"/>
      <c r="O195" s="1162"/>
      <c r="P195" s="1162"/>
      <c r="Q195" s="1162"/>
      <c r="R195" s="1162"/>
      <c r="S195" s="1162"/>
      <c r="T195" s="1162"/>
      <c r="U195" s="1162"/>
      <c r="V195" s="1162"/>
      <c r="W195" s="1162"/>
      <c r="X195" s="1162"/>
      <c r="Y195" s="1163"/>
      <c r="Z195" s="1163"/>
      <c r="AA195" s="1162"/>
    </row>
    <row r="196" ht="15.75" customHeight="1">
      <c r="A196" s="425"/>
      <c r="B196" s="425"/>
      <c r="C196" s="1162"/>
      <c r="D196" s="1162"/>
      <c r="E196" s="1162"/>
      <c r="F196" s="1162"/>
      <c r="G196" s="1162"/>
      <c r="H196" s="1162"/>
      <c r="I196" s="1162"/>
      <c r="J196" s="1162"/>
      <c r="K196" s="1162"/>
      <c r="L196" s="1162"/>
      <c r="M196" s="1162"/>
      <c r="N196" s="1162"/>
      <c r="O196" s="1162"/>
      <c r="P196" s="1162"/>
      <c r="Q196" s="1162"/>
      <c r="R196" s="1162"/>
      <c r="S196" s="1162"/>
      <c r="T196" s="1162"/>
      <c r="U196" s="1162"/>
      <c r="V196" s="1162"/>
      <c r="W196" s="1162"/>
      <c r="X196" s="1162"/>
      <c r="Y196" s="1163"/>
      <c r="Z196" s="1163"/>
      <c r="AA196" s="1162"/>
    </row>
    <row r="197" ht="15.75" customHeight="1">
      <c r="A197" s="425"/>
      <c r="B197" s="425"/>
      <c r="C197" s="1162"/>
      <c r="D197" s="1162"/>
      <c r="E197" s="1162"/>
      <c r="F197" s="1162"/>
      <c r="G197" s="1162"/>
      <c r="H197" s="1162"/>
      <c r="I197" s="1162"/>
      <c r="J197" s="1162"/>
      <c r="K197" s="1162"/>
      <c r="L197" s="1162"/>
      <c r="M197" s="1162"/>
      <c r="N197" s="1162"/>
      <c r="O197" s="1162"/>
      <c r="P197" s="1162"/>
      <c r="Q197" s="1162"/>
      <c r="R197" s="1162"/>
      <c r="S197" s="1162"/>
      <c r="T197" s="1162"/>
      <c r="U197" s="1162"/>
      <c r="V197" s="1162"/>
      <c r="W197" s="1162"/>
      <c r="X197" s="1162"/>
      <c r="Y197" s="1163"/>
      <c r="Z197" s="1163"/>
      <c r="AA197" s="1162"/>
    </row>
    <row r="198" ht="15.75" customHeight="1">
      <c r="A198" s="425"/>
      <c r="B198" s="425"/>
      <c r="C198" s="1162"/>
      <c r="D198" s="1162"/>
      <c r="E198" s="1162"/>
      <c r="F198" s="1162"/>
      <c r="G198" s="1162"/>
      <c r="H198" s="1162"/>
      <c r="I198" s="1162"/>
      <c r="J198" s="1162"/>
      <c r="K198" s="1162"/>
      <c r="L198" s="1162"/>
      <c r="M198" s="1162"/>
      <c r="N198" s="1162"/>
      <c r="O198" s="1162"/>
      <c r="P198" s="1162"/>
      <c r="Q198" s="1162"/>
      <c r="R198" s="1162"/>
      <c r="S198" s="1162"/>
      <c r="T198" s="1162"/>
      <c r="U198" s="1162"/>
      <c r="V198" s="1162"/>
      <c r="W198" s="1162"/>
      <c r="X198" s="1162"/>
      <c r="Y198" s="1163"/>
      <c r="Z198" s="1163"/>
      <c r="AA198" s="1162"/>
    </row>
    <row r="199" ht="15.75" customHeight="1">
      <c r="A199" s="425"/>
      <c r="B199" s="425"/>
      <c r="C199" s="1162"/>
      <c r="D199" s="1162"/>
      <c r="E199" s="1162"/>
      <c r="F199" s="1162"/>
      <c r="G199" s="1162"/>
      <c r="H199" s="1162"/>
      <c r="I199" s="1162"/>
      <c r="J199" s="1162"/>
      <c r="K199" s="1162"/>
      <c r="L199" s="1162"/>
      <c r="M199" s="1162"/>
      <c r="N199" s="1162"/>
      <c r="O199" s="1162"/>
      <c r="P199" s="1162"/>
      <c r="Q199" s="1162"/>
      <c r="R199" s="1162"/>
      <c r="S199" s="1162"/>
      <c r="T199" s="1162"/>
      <c r="U199" s="1162"/>
      <c r="V199" s="1162"/>
      <c r="W199" s="1162"/>
      <c r="X199" s="1162"/>
      <c r="Y199" s="1163"/>
      <c r="Z199" s="1163"/>
      <c r="AA199" s="1162"/>
    </row>
    <row r="200" ht="15.75" customHeight="1">
      <c r="A200" s="425"/>
      <c r="B200" s="425"/>
      <c r="C200" s="1162"/>
      <c r="D200" s="1162"/>
      <c r="E200" s="1162"/>
      <c r="F200" s="1162"/>
      <c r="G200" s="1162"/>
      <c r="H200" s="1162"/>
      <c r="I200" s="1162"/>
      <c r="J200" s="1162"/>
      <c r="K200" s="1162"/>
      <c r="L200" s="1162"/>
      <c r="M200" s="1162"/>
      <c r="N200" s="1162"/>
      <c r="O200" s="1162"/>
      <c r="P200" s="1162"/>
      <c r="Q200" s="1162"/>
      <c r="R200" s="1162"/>
      <c r="S200" s="1162"/>
      <c r="T200" s="1162"/>
      <c r="U200" s="1162"/>
      <c r="V200" s="1162"/>
      <c r="W200" s="1162"/>
      <c r="X200" s="1162"/>
      <c r="Y200" s="1163"/>
      <c r="Z200" s="1163"/>
      <c r="AA200" s="1162"/>
    </row>
    <row r="201" ht="15.75" customHeight="1">
      <c r="A201" s="425"/>
      <c r="B201" s="425"/>
      <c r="C201" s="1162"/>
      <c r="D201" s="1162"/>
      <c r="E201" s="1162"/>
      <c r="F201" s="1162"/>
      <c r="G201" s="1162"/>
      <c r="H201" s="1162"/>
      <c r="I201" s="1162"/>
      <c r="J201" s="1162"/>
      <c r="K201" s="1162"/>
      <c r="L201" s="1162"/>
      <c r="M201" s="1162"/>
      <c r="N201" s="1162"/>
      <c r="O201" s="1162"/>
      <c r="P201" s="1162"/>
      <c r="Q201" s="1162"/>
      <c r="R201" s="1162"/>
      <c r="S201" s="1162"/>
      <c r="T201" s="1162"/>
      <c r="U201" s="1162"/>
      <c r="V201" s="1162"/>
      <c r="W201" s="1162"/>
      <c r="X201" s="1162"/>
      <c r="Y201" s="1163"/>
      <c r="Z201" s="1163"/>
      <c r="AA201" s="1162"/>
    </row>
    <row r="202" ht="15.75" customHeight="1">
      <c r="A202" s="425"/>
      <c r="B202" s="425"/>
      <c r="C202" s="1162"/>
      <c r="D202" s="1162"/>
      <c r="E202" s="1162"/>
      <c r="F202" s="1162"/>
      <c r="G202" s="1162"/>
      <c r="H202" s="1162"/>
      <c r="I202" s="1162"/>
      <c r="J202" s="1162"/>
      <c r="K202" s="1162"/>
      <c r="L202" s="1162"/>
      <c r="M202" s="1162"/>
      <c r="N202" s="1162"/>
      <c r="O202" s="1162"/>
      <c r="P202" s="1162"/>
      <c r="Q202" s="1162"/>
      <c r="R202" s="1162"/>
      <c r="S202" s="1162"/>
      <c r="T202" s="1162"/>
      <c r="U202" s="1162"/>
      <c r="V202" s="1162"/>
      <c r="W202" s="1162"/>
      <c r="X202" s="1162"/>
      <c r="Y202" s="1163"/>
      <c r="Z202" s="1163"/>
      <c r="AA202" s="1162"/>
    </row>
    <row r="203" ht="15.75" customHeight="1">
      <c r="A203" s="425"/>
      <c r="B203" s="425"/>
      <c r="C203" s="1162"/>
      <c r="D203" s="1162"/>
      <c r="E203" s="1162"/>
      <c r="F203" s="1162"/>
      <c r="G203" s="1162"/>
      <c r="H203" s="1162"/>
      <c r="I203" s="1162"/>
      <c r="J203" s="1162"/>
      <c r="K203" s="1162"/>
      <c r="L203" s="1162"/>
      <c r="M203" s="1162"/>
      <c r="N203" s="1162"/>
      <c r="O203" s="1162"/>
      <c r="P203" s="1162"/>
      <c r="Q203" s="1162"/>
      <c r="R203" s="1162"/>
      <c r="S203" s="1162"/>
      <c r="T203" s="1162"/>
      <c r="U203" s="1162"/>
      <c r="V203" s="1162"/>
      <c r="W203" s="1162"/>
      <c r="X203" s="1162"/>
      <c r="Y203" s="1163"/>
      <c r="Z203" s="1163"/>
      <c r="AA203" s="1162"/>
    </row>
    <row r="204" ht="15.75" customHeight="1">
      <c r="A204" s="425"/>
      <c r="B204" s="425"/>
      <c r="C204" s="1162"/>
      <c r="D204" s="1162"/>
      <c r="E204" s="1162"/>
      <c r="F204" s="1162"/>
      <c r="G204" s="1162"/>
      <c r="H204" s="1162"/>
      <c r="I204" s="1162"/>
      <c r="J204" s="1162"/>
      <c r="K204" s="1162"/>
      <c r="L204" s="1162"/>
      <c r="M204" s="1162"/>
      <c r="N204" s="1162"/>
      <c r="O204" s="1162"/>
      <c r="P204" s="1162"/>
      <c r="Q204" s="1162"/>
      <c r="R204" s="1162"/>
      <c r="S204" s="1162"/>
      <c r="T204" s="1162"/>
      <c r="U204" s="1162"/>
      <c r="V204" s="1162"/>
      <c r="W204" s="1162"/>
      <c r="X204" s="1162"/>
      <c r="Y204" s="1163"/>
      <c r="Z204" s="1163"/>
      <c r="AA204" s="1162"/>
    </row>
    <row r="205" ht="15.75" customHeight="1">
      <c r="A205" s="425"/>
      <c r="B205" s="425"/>
      <c r="C205" s="1162"/>
      <c r="D205" s="1162"/>
      <c r="E205" s="1162"/>
      <c r="F205" s="1162"/>
      <c r="G205" s="1162"/>
      <c r="H205" s="1162"/>
      <c r="I205" s="1162"/>
      <c r="J205" s="1162"/>
      <c r="K205" s="1162"/>
      <c r="L205" s="1162"/>
      <c r="M205" s="1162"/>
      <c r="N205" s="1162"/>
      <c r="O205" s="1162"/>
      <c r="P205" s="1162"/>
      <c r="Q205" s="1162"/>
      <c r="R205" s="1162"/>
      <c r="S205" s="1162"/>
      <c r="T205" s="1162"/>
      <c r="U205" s="1162"/>
      <c r="V205" s="1162"/>
      <c r="W205" s="1162"/>
      <c r="X205" s="1162"/>
      <c r="Y205" s="1163"/>
      <c r="Z205" s="1163"/>
      <c r="AA205" s="1162"/>
    </row>
    <row r="206" ht="15.75" customHeight="1">
      <c r="A206" s="425"/>
      <c r="B206" s="425"/>
      <c r="C206" s="1162"/>
      <c r="D206" s="1162"/>
      <c r="E206" s="1162"/>
      <c r="F206" s="1162"/>
      <c r="G206" s="1162"/>
      <c r="H206" s="1162"/>
      <c r="I206" s="1162"/>
      <c r="J206" s="1162"/>
      <c r="K206" s="1162"/>
      <c r="L206" s="1162"/>
      <c r="M206" s="1162"/>
      <c r="N206" s="1162"/>
      <c r="O206" s="1162"/>
      <c r="P206" s="1162"/>
      <c r="Q206" s="1162"/>
      <c r="R206" s="1162"/>
      <c r="S206" s="1162"/>
      <c r="T206" s="1162"/>
      <c r="U206" s="1162"/>
      <c r="V206" s="1162"/>
      <c r="W206" s="1162"/>
      <c r="X206" s="1162"/>
      <c r="Y206" s="1163"/>
      <c r="Z206" s="1163"/>
      <c r="AA206" s="1162"/>
    </row>
    <row r="207" ht="15.75" customHeight="1">
      <c r="A207" s="425"/>
      <c r="B207" s="425"/>
      <c r="C207" s="1162"/>
      <c r="D207" s="1162"/>
      <c r="E207" s="1162"/>
      <c r="F207" s="1162"/>
      <c r="G207" s="1162"/>
      <c r="H207" s="1162"/>
      <c r="I207" s="1162"/>
      <c r="J207" s="1162"/>
      <c r="K207" s="1162"/>
      <c r="L207" s="1162"/>
      <c r="M207" s="1162"/>
      <c r="N207" s="1162"/>
      <c r="O207" s="1162"/>
      <c r="P207" s="1162"/>
      <c r="Q207" s="1162"/>
      <c r="R207" s="1162"/>
      <c r="S207" s="1162"/>
      <c r="T207" s="1162"/>
      <c r="U207" s="1162"/>
      <c r="V207" s="1162"/>
      <c r="W207" s="1162"/>
      <c r="X207" s="1162"/>
      <c r="Y207" s="1163"/>
      <c r="Z207" s="1163"/>
      <c r="AA207" s="1162"/>
    </row>
    <row r="208" ht="15.75" customHeight="1">
      <c r="A208" s="425"/>
      <c r="B208" s="425"/>
      <c r="C208" s="1162"/>
      <c r="D208" s="1162"/>
      <c r="E208" s="1162"/>
      <c r="F208" s="1162"/>
      <c r="G208" s="1162"/>
      <c r="H208" s="1162"/>
      <c r="I208" s="1162"/>
      <c r="J208" s="1162"/>
      <c r="K208" s="1162"/>
      <c r="L208" s="1162"/>
      <c r="M208" s="1162"/>
      <c r="N208" s="1162"/>
      <c r="O208" s="1162"/>
      <c r="P208" s="1162"/>
      <c r="Q208" s="1162"/>
      <c r="R208" s="1162"/>
      <c r="S208" s="1162"/>
      <c r="T208" s="1162"/>
      <c r="U208" s="1162"/>
      <c r="V208" s="1162"/>
      <c r="W208" s="1162"/>
      <c r="X208" s="1162"/>
      <c r="Y208" s="1163"/>
      <c r="Z208" s="1163"/>
      <c r="AA208" s="1162"/>
    </row>
    <row r="209" ht="15.75" customHeight="1">
      <c r="A209" s="425"/>
      <c r="B209" s="425"/>
      <c r="C209" s="1162"/>
      <c r="D209" s="1162"/>
      <c r="E209" s="1162"/>
      <c r="F209" s="1162"/>
      <c r="G209" s="1162"/>
      <c r="H209" s="1162"/>
      <c r="I209" s="1162"/>
      <c r="J209" s="1162"/>
      <c r="K209" s="1162"/>
      <c r="L209" s="1162"/>
      <c r="M209" s="1162"/>
      <c r="N209" s="1162"/>
      <c r="O209" s="1162"/>
      <c r="P209" s="1162"/>
      <c r="Q209" s="1162"/>
      <c r="R209" s="1162"/>
      <c r="S209" s="1162"/>
      <c r="T209" s="1162"/>
      <c r="U209" s="1162"/>
      <c r="V209" s="1162"/>
      <c r="W209" s="1162"/>
      <c r="X209" s="1162"/>
      <c r="Y209" s="1163"/>
      <c r="Z209" s="1163"/>
      <c r="AA209" s="1162"/>
    </row>
    <row r="210" ht="15.75" customHeight="1">
      <c r="A210" s="425"/>
      <c r="B210" s="425"/>
      <c r="C210" s="1162"/>
      <c r="D210" s="1162"/>
      <c r="E210" s="1162"/>
      <c r="F210" s="1162"/>
      <c r="G210" s="1162"/>
      <c r="H210" s="1162"/>
      <c r="I210" s="1162"/>
      <c r="J210" s="1162"/>
      <c r="K210" s="1162"/>
      <c r="L210" s="1162"/>
      <c r="M210" s="1162"/>
      <c r="N210" s="1162"/>
      <c r="O210" s="1162"/>
      <c r="P210" s="1162"/>
      <c r="Q210" s="1162"/>
      <c r="R210" s="1162"/>
      <c r="S210" s="1162"/>
      <c r="T210" s="1162"/>
      <c r="U210" s="1162"/>
      <c r="V210" s="1162"/>
      <c r="W210" s="1162"/>
      <c r="X210" s="1162"/>
      <c r="Y210" s="1163"/>
      <c r="Z210" s="1163"/>
      <c r="AA210" s="1162"/>
    </row>
    <row r="211" ht="15.75" customHeight="1">
      <c r="A211" s="425"/>
      <c r="B211" s="425"/>
      <c r="C211" s="1162"/>
      <c r="D211" s="1162"/>
      <c r="E211" s="1162"/>
      <c r="F211" s="1162"/>
      <c r="G211" s="1162"/>
      <c r="H211" s="1162"/>
      <c r="I211" s="1162"/>
      <c r="J211" s="1162"/>
      <c r="K211" s="1162"/>
      <c r="L211" s="1162"/>
      <c r="M211" s="1162"/>
      <c r="N211" s="1162"/>
      <c r="O211" s="1162"/>
      <c r="P211" s="1162"/>
      <c r="Q211" s="1162"/>
      <c r="R211" s="1162"/>
      <c r="S211" s="1162"/>
      <c r="T211" s="1162"/>
      <c r="U211" s="1162"/>
      <c r="V211" s="1162"/>
      <c r="W211" s="1162"/>
      <c r="X211" s="1162"/>
      <c r="Y211" s="1163"/>
      <c r="Z211" s="1163"/>
      <c r="AA211" s="1162"/>
    </row>
    <row r="212" ht="15.75" customHeight="1">
      <c r="A212" s="425"/>
      <c r="B212" s="425"/>
      <c r="C212" s="1162"/>
      <c r="D212" s="1162"/>
      <c r="E212" s="1162"/>
      <c r="F212" s="1162"/>
      <c r="G212" s="1162"/>
      <c r="H212" s="1162"/>
      <c r="I212" s="1162"/>
      <c r="J212" s="1162"/>
      <c r="K212" s="1162"/>
      <c r="L212" s="1162"/>
      <c r="M212" s="1162"/>
      <c r="N212" s="1162"/>
      <c r="O212" s="1162"/>
      <c r="P212" s="1162"/>
      <c r="Q212" s="1162"/>
      <c r="R212" s="1162"/>
      <c r="S212" s="1162"/>
      <c r="T212" s="1162"/>
      <c r="U212" s="1162"/>
      <c r="V212" s="1162"/>
      <c r="W212" s="1162"/>
      <c r="X212" s="1162"/>
      <c r="Y212" s="1163"/>
      <c r="Z212" s="1163"/>
      <c r="AA212" s="1162"/>
    </row>
    <row r="213" ht="15.75" customHeight="1">
      <c r="A213" s="425"/>
      <c r="B213" s="425"/>
      <c r="C213" s="1162"/>
      <c r="D213" s="1162"/>
      <c r="E213" s="1162"/>
      <c r="F213" s="1162"/>
      <c r="G213" s="1162"/>
      <c r="H213" s="1162"/>
      <c r="I213" s="1162"/>
      <c r="J213" s="1162"/>
      <c r="K213" s="1162"/>
      <c r="L213" s="1162"/>
      <c r="M213" s="1162"/>
      <c r="N213" s="1162"/>
      <c r="O213" s="1162"/>
      <c r="P213" s="1162"/>
      <c r="Q213" s="1162"/>
      <c r="R213" s="1162"/>
      <c r="S213" s="1162"/>
      <c r="T213" s="1162"/>
      <c r="U213" s="1162"/>
      <c r="V213" s="1162"/>
      <c r="W213" s="1162"/>
      <c r="X213" s="1162"/>
      <c r="Y213" s="1163"/>
      <c r="Z213" s="1163"/>
      <c r="AA213" s="1162"/>
    </row>
    <row r="214" ht="15.75" customHeight="1">
      <c r="A214" s="425"/>
      <c r="B214" s="425"/>
      <c r="C214" s="1162"/>
      <c r="D214" s="1162"/>
      <c r="E214" s="1162"/>
      <c r="F214" s="1162"/>
      <c r="G214" s="1162"/>
      <c r="H214" s="1162"/>
      <c r="I214" s="1162"/>
      <c r="J214" s="1162"/>
      <c r="K214" s="1162"/>
      <c r="L214" s="1162"/>
      <c r="M214" s="1162"/>
      <c r="N214" s="1162"/>
      <c r="O214" s="1162"/>
      <c r="P214" s="1162"/>
      <c r="Q214" s="1162"/>
      <c r="R214" s="1162"/>
      <c r="S214" s="1162"/>
      <c r="T214" s="1162"/>
      <c r="U214" s="1162"/>
      <c r="V214" s="1162"/>
      <c r="W214" s="1162"/>
      <c r="X214" s="1162"/>
      <c r="Y214" s="1163"/>
      <c r="Z214" s="1163"/>
      <c r="AA214" s="1162"/>
    </row>
    <row r="215" ht="15.75" customHeight="1">
      <c r="A215" s="425"/>
      <c r="B215" s="425"/>
      <c r="C215" s="1162"/>
      <c r="D215" s="1162"/>
      <c r="E215" s="1162"/>
      <c r="F215" s="1162"/>
      <c r="G215" s="1162"/>
      <c r="H215" s="1162"/>
      <c r="I215" s="1162"/>
      <c r="J215" s="1162"/>
      <c r="K215" s="1162"/>
      <c r="L215" s="1162"/>
      <c r="M215" s="1162"/>
      <c r="N215" s="1162"/>
      <c r="O215" s="1162"/>
      <c r="P215" s="1162"/>
      <c r="Q215" s="1162"/>
      <c r="R215" s="1162"/>
      <c r="S215" s="1162"/>
      <c r="T215" s="1162"/>
      <c r="U215" s="1162"/>
      <c r="V215" s="1162"/>
      <c r="W215" s="1162"/>
      <c r="X215" s="1162"/>
      <c r="Y215" s="1163"/>
      <c r="Z215" s="1163"/>
      <c r="AA215" s="1162"/>
    </row>
    <row r="216" ht="15.75" customHeight="1">
      <c r="A216" s="425"/>
      <c r="B216" s="425"/>
      <c r="C216" s="1162"/>
      <c r="D216" s="1162"/>
      <c r="E216" s="1162"/>
      <c r="F216" s="1162"/>
      <c r="G216" s="1162"/>
      <c r="H216" s="1162"/>
      <c r="I216" s="1162"/>
      <c r="J216" s="1162"/>
      <c r="K216" s="1162"/>
      <c r="L216" s="1162"/>
      <c r="M216" s="1162"/>
      <c r="N216" s="1162"/>
      <c r="O216" s="1162"/>
      <c r="P216" s="1162"/>
      <c r="Q216" s="1162"/>
      <c r="R216" s="1162"/>
      <c r="S216" s="1162"/>
      <c r="T216" s="1162"/>
      <c r="U216" s="1162"/>
      <c r="V216" s="1162"/>
      <c r="W216" s="1162"/>
      <c r="X216" s="1162"/>
      <c r="Y216" s="1163"/>
      <c r="Z216" s="1163"/>
      <c r="AA216" s="1162"/>
    </row>
    <row r="217" ht="15.75" customHeight="1">
      <c r="A217" s="425"/>
      <c r="B217" s="425"/>
      <c r="C217" s="1162"/>
      <c r="D217" s="1162"/>
      <c r="E217" s="1162"/>
      <c r="F217" s="1162"/>
      <c r="G217" s="1162"/>
      <c r="H217" s="1162"/>
      <c r="I217" s="1162"/>
      <c r="J217" s="1162"/>
      <c r="K217" s="1162"/>
      <c r="L217" s="1162"/>
      <c r="M217" s="1162"/>
      <c r="N217" s="1162"/>
      <c r="O217" s="1162"/>
      <c r="P217" s="1162"/>
      <c r="Q217" s="1162"/>
      <c r="R217" s="1162"/>
      <c r="S217" s="1162"/>
      <c r="T217" s="1162"/>
      <c r="U217" s="1162"/>
      <c r="V217" s="1162"/>
      <c r="W217" s="1162"/>
      <c r="X217" s="1162"/>
      <c r="Y217" s="1163"/>
      <c r="Z217" s="1163"/>
      <c r="AA217" s="1162"/>
    </row>
    <row r="218" ht="15.75" customHeight="1">
      <c r="A218" s="425"/>
      <c r="B218" s="425"/>
      <c r="C218" s="1162"/>
      <c r="D218" s="1162"/>
      <c r="E218" s="1162"/>
      <c r="F218" s="1162"/>
      <c r="G218" s="1162"/>
      <c r="H218" s="1162"/>
      <c r="I218" s="1162"/>
      <c r="J218" s="1162"/>
      <c r="K218" s="1162"/>
      <c r="L218" s="1162"/>
      <c r="M218" s="1162"/>
      <c r="N218" s="1162"/>
      <c r="O218" s="1162"/>
      <c r="P218" s="1162"/>
      <c r="Q218" s="1162"/>
      <c r="R218" s="1162"/>
      <c r="S218" s="1162"/>
      <c r="T218" s="1162"/>
      <c r="U218" s="1162"/>
      <c r="V218" s="1162"/>
      <c r="W218" s="1162"/>
      <c r="X218" s="1162"/>
      <c r="Y218" s="1163"/>
      <c r="Z218" s="1163"/>
      <c r="AA218" s="1162"/>
    </row>
    <row r="219" ht="15.75" customHeight="1">
      <c r="A219" s="425"/>
      <c r="B219" s="425"/>
      <c r="C219" s="1162"/>
      <c r="D219" s="1162"/>
      <c r="E219" s="1162"/>
      <c r="F219" s="1162"/>
      <c r="G219" s="1162"/>
      <c r="H219" s="1162"/>
      <c r="I219" s="1162"/>
      <c r="J219" s="1162"/>
      <c r="K219" s="1162"/>
      <c r="L219" s="1162"/>
      <c r="M219" s="1162"/>
      <c r="N219" s="1162"/>
      <c r="O219" s="1162"/>
      <c r="P219" s="1162"/>
      <c r="Q219" s="1162"/>
      <c r="R219" s="1162"/>
      <c r="S219" s="1162"/>
      <c r="T219" s="1162"/>
      <c r="U219" s="1162"/>
      <c r="V219" s="1162"/>
      <c r="W219" s="1162"/>
      <c r="X219" s="1162"/>
      <c r="Y219" s="1163"/>
      <c r="Z219" s="1163"/>
      <c r="AA219" s="1162"/>
    </row>
    <row r="220" ht="15.75" customHeight="1">
      <c r="A220" s="425"/>
      <c r="B220" s="425"/>
      <c r="C220" s="1162"/>
      <c r="D220" s="1162"/>
      <c r="E220" s="1162"/>
      <c r="F220" s="1162"/>
      <c r="G220" s="1162"/>
      <c r="H220" s="1162"/>
      <c r="I220" s="1162"/>
      <c r="J220" s="1162"/>
      <c r="K220" s="1162"/>
      <c r="L220" s="1162"/>
      <c r="M220" s="1162"/>
      <c r="N220" s="1162"/>
      <c r="O220" s="1162"/>
      <c r="P220" s="1162"/>
      <c r="Q220" s="1162"/>
      <c r="R220" s="1162"/>
      <c r="S220" s="1162"/>
      <c r="T220" s="1162"/>
      <c r="U220" s="1162"/>
      <c r="V220" s="1162"/>
      <c r="W220" s="1162"/>
      <c r="X220" s="1162"/>
      <c r="Y220" s="1163"/>
      <c r="Z220" s="1163"/>
      <c r="AA220" s="1162"/>
    </row>
    <row r="221" ht="15.75" customHeight="1">
      <c r="A221" s="425"/>
      <c r="B221" s="425"/>
      <c r="C221" s="1162"/>
      <c r="D221" s="1162"/>
      <c r="E221" s="1162"/>
      <c r="F221" s="1162"/>
      <c r="G221" s="1162"/>
      <c r="H221" s="1162"/>
      <c r="I221" s="1162"/>
      <c r="J221" s="1162"/>
      <c r="K221" s="1162"/>
      <c r="L221" s="1162"/>
      <c r="M221" s="1162"/>
      <c r="N221" s="1162"/>
      <c r="O221" s="1162"/>
      <c r="P221" s="1162"/>
      <c r="Q221" s="1162"/>
      <c r="R221" s="1162"/>
      <c r="S221" s="1162"/>
      <c r="T221" s="1162"/>
      <c r="U221" s="1162"/>
      <c r="V221" s="1162"/>
      <c r="W221" s="1162"/>
      <c r="X221" s="1162"/>
      <c r="Y221" s="1163"/>
      <c r="Z221" s="1163"/>
      <c r="AA221" s="1162"/>
    </row>
    <row r="222" ht="15.75" customHeight="1">
      <c r="A222" s="425"/>
      <c r="B222" s="425"/>
      <c r="C222" s="1162"/>
      <c r="D222" s="1162"/>
      <c r="E222" s="1162"/>
      <c r="F222" s="1162"/>
      <c r="G222" s="1162"/>
      <c r="H222" s="1162"/>
      <c r="I222" s="1162"/>
      <c r="J222" s="1162"/>
      <c r="K222" s="1162"/>
      <c r="L222" s="1162"/>
      <c r="M222" s="1162"/>
      <c r="N222" s="1162"/>
      <c r="O222" s="1162"/>
      <c r="P222" s="1162"/>
      <c r="Q222" s="1162"/>
      <c r="R222" s="1162"/>
      <c r="S222" s="1162"/>
      <c r="T222" s="1162"/>
      <c r="U222" s="1162"/>
      <c r="V222" s="1162"/>
      <c r="W222" s="1162"/>
      <c r="X222" s="1162"/>
      <c r="Y222" s="1163"/>
      <c r="Z222" s="1163"/>
      <c r="AA222" s="1162"/>
    </row>
    <row r="223" ht="15.75" customHeight="1">
      <c r="A223" s="425"/>
      <c r="B223" s="425"/>
      <c r="C223" s="1162"/>
      <c r="D223" s="1162"/>
      <c r="E223" s="1162"/>
      <c r="F223" s="1162"/>
      <c r="G223" s="1162"/>
      <c r="H223" s="1162"/>
      <c r="I223" s="1162"/>
      <c r="J223" s="1162"/>
      <c r="K223" s="1162"/>
      <c r="L223" s="1162"/>
      <c r="M223" s="1162"/>
      <c r="N223" s="1162"/>
      <c r="O223" s="1162"/>
      <c r="P223" s="1162"/>
      <c r="Q223" s="1162"/>
      <c r="R223" s="1162"/>
      <c r="S223" s="1162"/>
      <c r="T223" s="1162"/>
      <c r="U223" s="1162"/>
      <c r="V223" s="1162"/>
      <c r="W223" s="1162"/>
      <c r="X223" s="1162"/>
      <c r="Y223" s="1163"/>
      <c r="Z223" s="1163"/>
      <c r="AA223" s="1162"/>
    </row>
    <row r="224" ht="15.75" customHeight="1">
      <c r="A224" s="425"/>
      <c r="B224" s="425"/>
      <c r="C224" s="1162"/>
      <c r="D224" s="1162"/>
      <c r="E224" s="1162"/>
      <c r="F224" s="1162"/>
      <c r="G224" s="1162"/>
      <c r="H224" s="1162"/>
      <c r="I224" s="1162"/>
      <c r="J224" s="1162"/>
      <c r="K224" s="1162"/>
      <c r="L224" s="1162"/>
      <c r="M224" s="1162"/>
      <c r="N224" s="1162"/>
      <c r="O224" s="1162"/>
      <c r="P224" s="1162"/>
      <c r="Q224" s="1162"/>
      <c r="R224" s="1162"/>
      <c r="S224" s="1162"/>
      <c r="T224" s="1162"/>
      <c r="U224" s="1162"/>
      <c r="V224" s="1162"/>
      <c r="W224" s="1162"/>
      <c r="X224" s="1162"/>
      <c r="Y224" s="1163"/>
      <c r="Z224" s="1163"/>
      <c r="AA224" s="1162"/>
    </row>
    <row r="225" ht="15.75" customHeight="1">
      <c r="A225" s="425"/>
      <c r="B225" s="425"/>
      <c r="C225" s="1162"/>
      <c r="D225" s="1162"/>
      <c r="E225" s="1162"/>
      <c r="F225" s="1162"/>
      <c r="G225" s="1162"/>
      <c r="H225" s="1162"/>
      <c r="I225" s="1162"/>
      <c r="J225" s="1162"/>
      <c r="K225" s="1162"/>
      <c r="L225" s="1162"/>
      <c r="M225" s="1162"/>
      <c r="N225" s="1162"/>
      <c r="O225" s="1162"/>
      <c r="P225" s="1162"/>
      <c r="Q225" s="1162"/>
      <c r="R225" s="1162"/>
      <c r="S225" s="1162"/>
      <c r="T225" s="1162"/>
      <c r="U225" s="1162"/>
      <c r="V225" s="1162"/>
      <c r="W225" s="1162"/>
      <c r="X225" s="1162"/>
      <c r="Y225" s="1163"/>
      <c r="Z225" s="1163"/>
      <c r="AA225" s="1162"/>
    </row>
    <row r="226" ht="15.75" customHeight="1">
      <c r="A226" s="425"/>
      <c r="B226" s="425"/>
      <c r="C226" s="1162"/>
      <c r="D226" s="1162"/>
      <c r="E226" s="1162"/>
      <c r="F226" s="1162"/>
      <c r="G226" s="1162"/>
      <c r="H226" s="1162"/>
      <c r="I226" s="1162"/>
      <c r="J226" s="1162"/>
      <c r="K226" s="1162"/>
      <c r="L226" s="1162"/>
      <c r="M226" s="1162"/>
      <c r="N226" s="1162"/>
      <c r="O226" s="1162"/>
      <c r="P226" s="1162"/>
      <c r="Q226" s="1162"/>
      <c r="R226" s="1162"/>
      <c r="S226" s="1162"/>
      <c r="T226" s="1162"/>
      <c r="U226" s="1162"/>
      <c r="V226" s="1162"/>
      <c r="W226" s="1162"/>
      <c r="X226" s="1162"/>
      <c r="Y226" s="1163"/>
      <c r="Z226" s="1163"/>
      <c r="AA226" s="1162"/>
    </row>
    <row r="227" ht="15.75" customHeight="1">
      <c r="A227" s="425"/>
      <c r="B227" s="425"/>
      <c r="C227" s="1162"/>
      <c r="D227" s="1162"/>
      <c r="E227" s="1162"/>
      <c r="F227" s="1162"/>
      <c r="G227" s="1162"/>
      <c r="H227" s="1162"/>
      <c r="I227" s="1162"/>
      <c r="J227" s="1162"/>
      <c r="K227" s="1162"/>
      <c r="L227" s="1162"/>
      <c r="M227" s="1162"/>
      <c r="N227" s="1162"/>
      <c r="O227" s="1162"/>
      <c r="P227" s="1162"/>
      <c r="Q227" s="1162"/>
      <c r="R227" s="1162"/>
      <c r="S227" s="1162"/>
      <c r="T227" s="1162"/>
      <c r="U227" s="1162"/>
      <c r="V227" s="1162"/>
      <c r="W227" s="1162"/>
      <c r="X227" s="1162"/>
      <c r="Y227" s="1163"/>
      <c r="Z227" s="1163"/>
      <c r="AA227" s="1162"/>
    </row>
    <row r="228" ht="15.75" customHeight="1">
      <c r="A228" s="425"/>
      <c r="B228" s="425"/>
      <c r="C228" s="1162"/>
      <c r="D228" s="1162"/>
      <c r="E228" s="1162"/>
      <c r="F228" s="1162"/>
      <c r="G228" s="1162"/>
      <c r="H228" s="1162"/>
      <c r="I228" s="1162"/>
      <c r="J228" s="1162"/>
      <c r="K228" s="1162"/>
      <c r="L228" s="1162"/>
      <c r="M228" s="1162"/>
      <c r="N228" s="1162"/>
      <c r="O228" s="1162"/>
      <c r="P228" s="1162"/>
      <c r="Q228" s="1162"/>
      <c r="R228" s="1162"/>
      <c r="S228" s="1162"/>
      <c r="T228" s="1162"/>
      <c r="U228" s="1162"/>
      <c r="V228" s="1162"/>
      <c r="W228" s="1162"/>
      <c r="X228" s="1162"/>
      <c r="Y228" s="1163"/>
      <c r="Z228" s="1163"/>
      <c r="AA228" s="1162"/>
    </row>
    <row r="229" ht="15.75" customHeight="1">
      <c r="A229" s="425"/>
      <c r="B229" s="425"/>
      <c r="C229" s="1162"/>
      <c r="D229" s="1162"/>
      <c r="E229" s="1162"/>
      <c r="F229" s="1162"/>
      <c r="G229" s="1162"/>
      <c r="H229" s="1162"/>
      <c r="I229" s="1162"/>
      <c r="J229" s="1162"/>
      <c r="K229" s="1162"/>
      <c r="L229" s="1162"/>
      <c r="M229" s="1162"/>
      <c r="N229" s="1162"/>
      <c r="O229" s="1162"/>
      <c r="P229" s="1162"/>
      <c r="Q229" s="1162"/>
      <c r="R229" s="1162"/>
      <c r="S229" s="1162"/>
      <c r="T229" s="1162"/>
      <c r="U229" s="1162"/>
      <c r="V229" s="1162"/>
      <c r="W229" s="1162"/>
      <c r="X229" s="1162"/>
      <c r="Y229" s="1163"/>
      <c r="Z229" s="1163"/>
      <c r="AA229" s="1162"/>
    </row>
    <row r="230" ht="15.75" customHeight="1">
      <c r="A230" s="425"/>
      <c r="B230" s="425"/>
      <c r="C230" s="1162"/>
      <c r="D230" s="1162"/>
      <c r="E230" s="1162"/>
      <c r="F230" s="1162"/>
      <c r="G230" s="1162"/>
      <c r="H230" s="1162"/>
      <c r="I230" s="1162"/>
      <c r="J230" s="1162"/>
      <c r="K230" s="1162"/>
      <c r="L230" s="1162"/>
      <c r="M230" s="1162"/>
      <c r="N230" s="1162"/>
      <c r="O230" s="1162"/>
      <c r="P230" s="1162"/>
      <c r="Q230" s="1162"/>
      <c r="R230" s="1162"/>
      <c r="S230" s="1162"/>
      <c r="T230" s="1162"/>
      <c r="U230" s="1162"/>
      <c r="V230" s="1162"/>
      <c r="W230" s="1162"/>
      <c r="X230" s="1162"/>
      <c r="Y230" s="1163"/>
      <c r="Z230" s="1163"/>
      <c r="AA230" s="1162"/>
    </row>
    <row r="231" ht="15.75" customHeight="1">
      <c r="A231" s="425"/>
      <c r="B231" s="425"/>
      <c r="C231" s="1162"/>
      <c r="D231" s="1162"/>
      <c r="E231" s="1162"/>
      <c r="F231" s="1162"/>
      <c r="G231" s="1162"/>
      <c r="H231" s="1162"/>
      <c r="I231" s="1162"/>
      <c r="J231" s="1162"/>
      <c r="K231" s="1162"/>
      <c r="L231" s="1162"/>
      <c r="M231" s="1162"/>
      <c r="N231" s="1162"/>
      <c r="O231" s="1162"/>
      <c r="P231" s="1162"/>
      <c r="Q231" s="1162"/>
      <c r="R231" s="1162"/>
      <c r="S231" s="1162"/>
      <c r="T231" s="1162"/>
      <c r="U231" s="1162"/>
      <c r="V231" s="1162"/>
      <c r="W231" s="1162"/>
      <c r="X231" s="1162"/>
      <c r="Y231" s="1163"/>
      <c r="Z231" s="1163"/>
      <c r="AA231" s="1162"/>
    </row>
    <row r="232" ht="15.75" customHeight="1">
      <c r="A232" s="425"/>
      <c r="B232" s="425"/>
      <c r="C232" s="1162"/>
      <c r="D232" s="1162"/>
      <c r="E232" s="1162"/>
      <c r="F232" s="1162"/>
      <c r="G232" s="1162"/>
      <c r="H232" s="1162"/>
      <c r="I232" s="1162"/>
      <c r="J232" s="1162"/>
      <c r="K232" s="1162"/>
      <c r="L232" s="1162"/>
      <c r="M232" s="1162"/>
      <c r="N232" s="1162"/>
      <c r="O232" s="1162"/>
      <c r="P232" s="1162"/>
      <c r="Q232" s="1162"/>
      <c r="R232" s="1162"/>
      <c r="S232" s="1162"/>
      <c r="T232" s="1162"/>
      <c r="U232" s="1162"/>
      <c r="V232" s="1162"/>
      <c r="W232" s="1162"/>
      <c r="X232" s="1162"/>
      <c r="Y232" s="1163"/>
      <c r="Z232" s="1163"/>
      <c r="AA232" s="1162"/>
    </row>
    <row r="233" ht="15.75" customHeight="1">
      <c r="A233" s="425"/>
      <c r="B233" s="425"/>
      <c r="C233" s="1162"/>
      <c r="D233" s="1162"/>
      <c r="E233" s="1162"/>
      <c r="F233" s="1162"/>
      <c r="G233" s="1162"/>
      <c r="H233" s="1162"/>
      <c r="I233" s="1162"/>
      <c r="J233" s="1162"/>
      <c r="K233" s="1162"/>
      <c r="L233" s="1162"/>
      <c r="M233" s="1162"/>
      <c r="N233" s="1162"/>
      <c r="O233" s="1162"/>
      <c r="P233" s="1162"/>
      <c r="Q233" s="1162"/>
      <c r="R233" s="1162"/>
      <c r="S233" s="1162"/>
      <c r="T233" s="1162"/>
      <c r="U233" s="1162"/>
      <c r="V233" s="1162"/>
      <c r="W233" s="1162"/>
      <c r="X233" s="1162"/>
      <c r="Y233" s="1163"/>
      <c r="Z233" s="1163"/>
      <c r="AA233" s="1162"/>
    </row>
    <row r="234" ht="15.75" customHeight="1">
      <c r="A234" s="425"/>
      <c r="B234" s="425"/>
      <c r="C234" s="1162"/>
      <c r="D234" s="1162"/>
      <c r="E234" s="1162"/>
      <c r="F234" s="1162"/>
      <c r="G234" s="1162"/>
      <c r="H234" s="1162"/>
      <c r="I234" s="1162"/>
      <c r="J234" s="1162"/>
      <c r="K234" s="1162"/>
      <c r="L234" s="1162"/>
      <c r="M234" s="1162"/>
      <c r="N234" s="1162"/>
      <c r="O234" s="1162"/>
      <c r="P234" s="1162"/>
      <c r="Q234" s="1162"/>
      <c r="R234" s="1162"/>
      <c r="S234" s="1162"/>
      <c r="T234" s="1162"/>
      <c r="U234" s="1162"/>
      <c r="V234" s="1162"/>
      <c r="W234" s="1162"/>
      <c r="X234" s="1162"/>
      <c r="Y234" s="1163"/>
      <c r="Z234" s="1163"/>
      <c r="AA234" s="1162"/>
    </row>
    <row r="235" ht="15.75" customHeight="1">
      <c r="A235" s="425"/>
      <c r="B235" s="425"/>
      <c r="C235" s="1162"/>
      <c r="D235" s="1162"/>
      <c r="E235" s="1162"/>
      <c r="F235" s="1162"/>
      <c r="G235" s="1162"/>
      <c r="H235" s="1162"/>
      <c r="I235" s="1162"/>
      <c r="J235" s="1162"/>
      <c r="K235" s="1162"/>
      <c r="L235" s="1162"/>
      <c r="M235" s="1162"/>
      <c r="N235" s="1162"/>
      <c r="O235" s="1162"/>
      <c r="P235" s="1162"/>
      <c r="Q235" s="1162"/>
      <c r="R235" s="1162"/>
      <c r="S235" s="1162"/>
      <c r="T235" s="1162"/>
      <c r="U235" s="1162"/>
      <c r="V235" s="1162"/>
      <c r="W235" s="1162"/>
      <c r="X235" s="1162"/>
      <c r="Y235" s="1163"/>
      <c r="Z235" s="1163"/>
      <c r="AA235" s="1162"/>
    </row>
    <row r="236" ht="15.75" customHeight="1">
      <c r="A236" s="425"/>
      <c r="B236" s="425"/>
      <c r="C236" s="1162"/>
      <c r="D236" s="1162"/>
      <c r="E236" s="1162"/>
      <c r="F236" s="1162"/>
      <c r="G236" s="1162"/>
      <c r="H236" s="1162"/>
      <c r="I236" s="1162"/>
      <c r="J236" s="1162"/>
      <c r="K236" s="1162"/>
      <c r="L236" s="1162"/>
      <c r="M236" s="1162"/>
      <c r="N236" s="1162"/>
      <c r="O236" s="1162"/>
      <c r="P236" s="1162"/>
      <c r="Q236" s="1162"/>
      <c r="R236" s="1162"/>
      <c r="S236" s="1162"/>
      <c r="T236" s="1162"/>
      <c r="U236" s="1162"/>
      <c r="V236" s="1162"/>
      <c r="W236" s="1162"/>
      <c r="X236" s="1162"/>
      <c r="Y236" s="1163"/>
      <c r="Z236" s="1163"/>
      <c r="AA236" s="1162"/>
    </row>
    <row r="237" ht="15.75" customHeight="1">
      <c r="A237" s="425"/>
      <c r="B237" s="425"/>
      <c r="C237" s="1162"/>
      <c r="D237" s="1162"/>
      <c r="E237" s="1162"/>
      <c r="F237" s="1162"/>
      <c r="G237" s="1162"/>
      <c r="H237" s="1162"/>
      <c r="I237" s="1162"/>
      <c r="J237" s="1162"/>
      <c r="K237" s="1162"/>
      <c r="L237" s="1162"/>
      <c r="M237" s="1162"/>
      <c r="N237" s="1162"/>
      <c r="O237" s="1162"/>
      <c r="P237" s="1162"/>
      <c r="Q237" s="1162"/>
      <c r="R237" s="1162"/>
      <c r="S237" s="1162"/>
      <c r="T237" s="1162"/>
      <c r="U237" s="1162"/>
      <c r="V237" s="1162"/>
      <c r="W237" s="1162"/>
      <c r="X237" s="1162"/>
      <c r="Y237" s="1163"/>
      <c r="Z237" s="1163"/>
      <c r="AA237" s="1162"/>
    </row>
    <row r="238" ht="15.75" customHeight="1">
      <c r="A238" s="425"/>
      <c r="B238" s="425"/>
      <c r="C238" s="1162"/>
      <c r="D238" s="1162"/>
      <c r="E238" s="1162"/>
      <c r="F238" s="1162"/>
      <c r="G238" s="1162"/>
      <c r="H238" s="1162"/>
      <c r="I238" s="1162"/>
      <c r="J238" s="1162"/>
      <c r="K238" s="1162"/>
      <c r="L238" s="1162"/>
      <c r="M238" s="1162"/>
      <c r="N238" s="1162"/>
      <c r="O238" s="1162"/>
      <c r="P238" s="1162"/>
      <c r="Q238" s="1162"/>
      <c r="R238" s="1162"/>
      <c r="S238" s="1162"/>
      <c r="T238" s="1162"/>
      <c r="U238" s="1162"/>
      <c r="V238" s="1162"/>
      <c r="W238" s="1162"/>
      <c r="X238" s="1162"/>
      <c r="Y238" s="1163"/>
      <c r="Z238" s="1163"/>
      <c r="AA238" s="1162"/>
    </row>
    <row r="239" ht="15.75" customHeight="1">
      <c r="A239" s="425"/>
      <c r="B239" s="425"/>
      <c r="C239" s="1162"/>
      <c r="D239" s="1162"/>
      <c r="E239" s="1162"/>
      <c r="F239" s="1162"/>
      <c r="G239" s="1162"/>
      <c r="H239" s="1162"/>
      <c r="I239" s="1162"/>
      <c r="J239" s="1162"/>
      <c r="K239" s="1162"/>
      <c r="L239" s="1162"/>
      <c r="M239" s="1162"/>
      <c r="N239" s="1162"/>
      <c r="O239" s="1162"/>
      <c r="P239" s="1162"/>
      <c r="Q239" s="1162"/>
      <c r="R239" s="1162"/>
      <c r="S239" s="1162"/>
      <c r="T239" s="1162"/>
      <c r="U239" s="1162"/>
      <c r="V239" s="1162"/>
      <c r="W239" s="1162"/>
      <c r="X239" s="1162"/>
      <c r="Y239" s="1163"/>
      <c r="Z239" s="1163"/>
      <c r="AA239" s="1162"/>
    </row>
    <row r="240" ht="15.75" customHeight="1">
      <c r="A240" s="425"/>
      <c r="B240" s="425"/>
      <c r="C240" s="1162"/>
      <c r="D240" s="1162"/>
      <c r="E240" s="1162"/>
      <c r="F240" s="1162"/>
      <c r="G240" s="1162"/>
      <c r="H240" s="1162"/>
      <c r="I240" s="1162"/>
      <c r="J240" s="1162"/>
      <c r="K240" s="1162"/>
      <c r="L240" s="1162"/>
      <c r="M240" s="1162"/>
      <c r="N240" s="1162"/>
      <c r="O240" s="1162"/>
      <c r="P240" s="1162"/>
      <c r="Q240" s="1162"/>
      <c r="R240" s="1162"/>
      <c r="S240" s="1162"/>
      <c r="T240" s="1162"/>
      <c r="U240" s="1162"/>
      <c r="V240" s="1162"/>
      <c r="W240" s="1162"/>
      <c r="X240" s="1162"/>
      <c r="Y240" s="1163"/>
      <c r="Z240" s="1163"/>
      <c r="AA240" s="1162"/>
    </row>
    <row r="241" ht="15.75" customHeight="1">
      <c r="A241" s="425"/>
      <c r="B241" s="425"/>
      <c r="C241" s="1162"/>
      <c r="D241" s="1162"/>
      <c r="E241" s="1162"/>
      <c r="F241" s="1162"/>
      <c r="G241" s="1162"/>
      <c r="H241" s="1162"/>
      <c r="I241" s="1162"/>
      <c r="J241" s="1162"/>
      <c r="K241" s="1162"/>
      <c r="L241" s="1162"/>
      <c r="M241" s="1162"/>
      <c r="N241" s="1162"/>
      <c r="O241" s="1162"/>
      <c r="P241" s="1162"/>
      <c r="Q241" s="1162"/>
      <c r="R241" s="1162"/>
      <c r="S241" s="1162"/>
      <c r="T241" s="1162"/>
      <c r="U241" s="1162"/>
      <c r="V241" s="1162"/>
      <c r="W241" s="1162"/>
      <c r="X241" s="1162"/>
      <c r="Y241" s="1163"/>
      <c r="Z241" s="1163"/>
      <c r="AA241" s="1162"/>
    </row>
    <row r="242" ht="15.75" customHeight="1">
      <c r="A242" s="425"/>
      <c r="B242" s="425"/>
      <c r="C242" s="1162"/>
      <c r="D242" s="1162"/>
      <c r="E242" s="1162"/>
      <c r="F242" s="1162"/>
      <c r="G242" s="1162"/>
      <c r="H242" s="1162"/>
      <c r="I242" s="1162"/>
      <c r="J242" s="1162"/>
      <c r="K242" s="1162"/>
      <c r="L242" s="1162"/>
      <c r="M242" s="1162"/>
      <c r="N242" s="1162"/>
      <c r="O242" s="1162"/>
      <c r="P242" s="1162"/>
      <c r="Q242" s="1162"/>
      <c r="R242" s="1162"/>
      <c r="S242" s="1162"/>
      <c r="T242" s="1162"/>
      <c r="U242" s="1162"/>
      <c r="V242" s="1162"/>
      <c r="W242" s="1162"/>
      <c r="X242" s="1162"/>
      <c r="Y242" s="1163"/>
      <c r="Z242" s="1163"/>
      <c r="AA242" s="1162"/>
    </row>
    <row r="243" ht="15.75" customHeight="1">
      <c r="A243" s="425"/>
      <c r="B243" s="425"/>
      <c r="C243" s="1162"/>
      <c r="D243" s="1162"/>
      <c r="E243" s="1162"/>
      <c r="F243" s="1162"/>
      <c r="G243" s="1162"/>
      <c r="H243" s="1162"/>
      <c r="I243" s="1162"/>
      <c r="J243" s="1162"/>
      <c r="K243" s="1162"/>
      <c r="L243" s="1162"/>
      <c r="M243" s="1162"/>
      <c r="N243" s="1162"/>
      <c r="O243" s="1162"/>
      <c r="P243" s="1162"/>
      <c r="Q243" s="1162"/>
      <c r="R243" s="1162"/>
      <c r="S243" s="1162"/>
      <c r="T243" s="1162"/>
      <c r="U243" s="1162"/>
      <c r="V243" s="1162"/>
      <c r="W243" s="1162"/>
      <c r="X243" s="1162"/>
      <c r="Y243" s="1163"/>
      <c r="Z243" s="1163"/>
      <c r="AA243" s="1162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Q5:R5"/>
    <mergeCell ref="S5:T5"/>
    <mergeCell ref="U5:V5"/>
    <mergeCell ref="W5:X5"/>
    <mergeCell ref="Y5:Y6"/>
    <mergeCell ref="Z5:Z6"/>
    <mergeCell ref="AA5:AA6"/>
    <mergeCell ref="C5:D5"/>
    <mergeCell ref="E5:F5"/>
    <mergeCell ref="G5:H5"/>
    <mergeCell ref="I5:J5"/>
    <mergeCell ref="K5:L5"/>
    <mergeCell ref="M5:N5"/>
    <mergeCell ref="O5:P5"/>
  </mergeCells>
  <printOptions horizontalCentered="1"/>
  <pageMargins bottom="0.1968503937007874" footer="0.0" header="0.0" left="0.1968503937007874" right="0.1968503937007874" top="0.1968503937007874"/>
  <pageSetup paperSize="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6.0" ySplit="9.0" topLeftCell="Q10" activePane="bottomRight" state="frozen"/>
      <selection activeCell="Q1" sqref="Q1" pane="topRight"/>
      <selection activeCell="A10" sqref="A10" pane="bottomLeft"/>
      <selection activeCell="Q10" sqref="Q10" pane="bottomRight"/>
    </sheetView>
  </sheetViews>
  <sheetFormatPr customHeight="1" defaultColWidth="12.63" defaultRowHeight="15.0"/>
  <cols>
    <col customWidth="1" min="1" max="1" width="12.63"/>
    <col customWidth="1" min="2" max="2" width="26.38"/>
    <col customWidth="1" hidden="1" min="3" max="3" width="13.0"/>
    <col customWidth="1" hidden="1" min="4" max="4" width="10.63"/>
    <col customWidth="1" hidden="1" min="5" max="5" width="13.13"/>
    <col customWidth="1" hidden="1" min="6" max="6" width="10.63"/>
    <col customWidth="1" hidden="1" min="7" max="7" width="13.13"/>
    <col customWidth="1" hidden="1" min="8" max="8" width="10.63"/>
    <col customWidth="1" hidden="1" min="9" max="9" width="13.13"/>
    <col customWidth="1" hidden="1" min="10" max="10" width="11.88"/>
    <col customWidth="1" hidden="1" min="11" max="13" width="13.13"/>
    <col customWidth="1" hidden="1" min="14" max="14" width="10.63"/>
    <col customWidth="1" hidden="1" min="15" max="15" width="14.25"/>
    <col customWidth="1" hidden="1" min="16" max="16" width="10.63"/>
    <col customWidth="1" min="17" max="17" width="12.0"/>
    <col customWidth="1" hidden="1" min="18" max="18" width="11.88"/>
    <col customWidth="1" min="19" max="19" width="13.13"/>
    <col customWidth="1" hidden="1" min="20" max="20" width="11.88"/>
    <col customWidth="1" min="21" max="21" width="13.13"/>
    <col customWidth="1" hidden="1" min="22" max="22" width="11.88"/>
    <col customWidth="1" min="23" max="23" width="13.13"/>
    <col customWidth="1" hidden="1" min="24" max="24" width="11.88"/>
    <col customWidth="1" min="25" max="25" width="14.25"/>
    <col customWidth="1" hidden="1" min="26" max="26" width="13.13"/>
    <col customWidth="1" hidden="1" min="27" max="27" width="12.75"/>
  </cols>
  <sheetData>
    <row r="1" ht="15.75" customHeight="1">
      <c r="A1" s="425"/>
      <c r="B1" s="425"/>
      <c r="C1" s="1162"/>
      <c r="D1" s="1162"/>
      <c r="E1" s="1162"/>
      <c r="F1" s="1162"/>
      <c r="G1" s="1162"/>
      <c r="H1" s="1162"/>
      <c r="I1" s="1162"/>
      <c r="J1" s="1162"/>
      <c r="K1" s="1162"/>
      <c r="L1" s="1162"/>
      <c r="M1" s="1162"/>
      <c r="N1" s="1162"/>
      <c r="O1" s="1162"/>
      <c r="P1" s="1162"/>
      <c r="Q1" s="1162"/>
      <c r="R1" s="1162"/>
      <c r="S1" s="1162"/>
      <c r="T1" s="1162"/>
      <c r="U1" s="1162"/>
      <c r="V1" s="1162"/>
      <c r="W1" s="1162"/>
      <c r="X1" s="1162"/>
      <c r="Y1" s="1163"/>
      <c r="Z1" s="1163"/>
      <c r="AA1" s="1162"/>
    </row>
    <row r="2" ht="15.75" customHeight="1">
      <c r="A2" s="425"/>
      <c r="B2" s="713" t="s">
        <v>12</v>
      </c>
      <c r="C2" s="1162"/>
      <c r="D2" s="1162"/>
      <c r="E2" s="1162"/>
      <c r="F2" s="1162"/>
      <c r="G2" s="1162"/>
      <c r="H2" s="1162"/>
      <c r="I2" s="1162"/>
      <c r="J2" s="1162"/>
      <c r="K2" s="1162"/>
      <c r="L2" s="1162"/>
      <c r="M2" s="1162"/>
      <c r="N2" s="1162"/>
      <c r="O2" s="1162"/>
      <c r="P2" s="1162"/>
      <c r="Q2" s="1162"/>
      <c r="R2" s="1162"/>
      <c r="S2" s="1162"/>
      <c r="T2" s="1162"/>
      <c r="U2" s="1162"/>
      <c r="V2" s="1162"/>
      <c r="W2" s="1162"/>
      <c r="X2" s="1162"/>
      <c r="Y2" s="1163"/>
      <c r="Z2" s="1163"/>
      <c r="AA2" s="1162"/>
    </row>
    <row r="3" ht="15.75" customHeight="1">
      <c r="A3" s="425"/>
      <c r="B3" s="426" t="s">
        <v>413</v>
      </c>
      <c r="C3" s="1162"/>
      <c r="D3" s="1162"/>
      <c r="E3" s="1162"/>
      <c r="F3" s="1162"/>
      <c r="G3" s="1162"/>
      <c r="H3" s="1162"/>
      <c r="I3" s="1162"/>
      <c r="J3" s="1162"/>
      <c r="K3" s="1162"/>
      <c r="L3" s="1162"/>
      <c r="M3" s="1162"/>
      <c r="N3" s="1162"/>
      <c r="O3" s="1162"/>
      <c r="P3" s="1162"/>
      <c r="Q3" s="1162"/>
      <c r="R3" s="1162"/>
      <c r="S3" s="1162"/>
      <c r="T3" s="1162"/>
      <c r="U3" s="1162"/>
      <c r="V3" s="1162"/>
      <c r="W3" s="1162"/>
      <c r="X3" s="1162"/>
      <c r="Y3" s="1163"/>
      <c r="Z3" s="1163"/>
      <c r="AA3" s="1162"/>
    </row>
    <row r="4" ht="15.75" customHeight="1">
      <c r="A4" s="425"/>
      <c r="B4" s="426" t="s">
        <v>423</v>
      </c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  <c r="N4" s="1162"/>
      <c r="O4" s="1162"/>
      <c r="P4" s="1162"/>
      <c r="Q4" s="1162"/>
      <c r="R4" s="1162"/>
      <c r="S4" s="1162"/>
      <c r="T4" s="1162"/>
      <c r="U4" s="1162"/>
      <c r="V4" s="1162"/>
      <c r="W4" s="1162"/>
      <c r="X4" s="1162"/>
      <c r="Y4" s="1163"/>
      <c r="Z4" s="1163"/>
      <c r="AA4" s="1162"/>
    </row>
    <row r="5" ht="15.75" customHeight="1">
      <c r="A5" s="425"/>
      <c r="B5" s="1219" t="s">
        <v>424</v>
      </c>
      <c r="C5" s="1162"/>
      <c r="D5" s="1162"/>
      <c r="E5" s="1162"/>
      <c r="F5" s="1162"/>
      <c r="G5" s="1162"/>
      <c r="H5" s="1162"/>
      <c r="I5" s="1162"/>
      <c r="J5" s="1162"/>
      <c r="K5" s="1162"/>
      <c r="L5" s="1162"/>
      <c r="M5" s="1162"/>
      <c r="N5" s="1162"/>
      <c r="O5" s="1162"/>
      <c r="P5" s="1162"/>
      <c r="Q5" s="1162"/>
      <c r="R5" s="1162"/>
      <c r="S5" s="1162"/>
      <c r="T5" s="1162"/>
      <c r="U5" s="1162"/>
      <c r="V5" s="1162"/>
      <c r="W5" s="1162"/>
      <c r="X5" s="1162"/>
      <c r="Y5" s="1163"/>
      <c r="Z5" s="1163"/>
      <c r="AA5" s="1162"/>
    </row>
    <row r="6" ht="15.75" customHeight="1">
      <c r="A6" s="425"/>
      <c r="B6" s="1219" t="s">
        <v>425</v>
      </c>
      <c r="C6" s="1162"/>
      <c r="D6" s="1162"/>
      <c r="E6" s="1162"/>
      <c r="F6" s="1162"/>
      <c r="G6" s="1162"/>
      <c r="H6" s="1162"/>
      <c r="I6" s="1162"/>
      <c r="J6" s="1162"/>
      <c r="K6" s="1162"/>
      <c r="L6" s="1162"/>
      <c r="M6" s="1162"/>
      <c r="N6" s="1162"/>
      <c r="O6" s="1162"/>
      <c r="P6" s="1162"/>
      <c r="Q6" s="1162"/>
      <c r="R6" s="1162"/>
      <c r="S6" s="1162"/>
      <c r="T6" s="1162"/>
      <c r="U6" s="1162"/>
      <c r="V6" s="1162"/>
      <c r="W6" s="1162"/>
      <c r="X6" s="1162"/>
      <c r="Y6" s="1163"/>
      <c r="Z6" s="1163"/>
      <c r="AA6" s="1162"/>
    </row>
    <row r="7" ht="15.75" customHeight="1">
      <c r="A7" s="425"/>
      <c r="B7" s="425"/>
      <c r="C7" s="1164"/>
      <c r="D7" s="1164"/>
      <c r="E7" s="1164"/>
      <c r="F7" s="1164"/>
      <c r="G7" s="1164"/>
      <c r="H7" s="1164"/>
      <c r="I7" s="1164"/>
      <c r="J7" s="1164"/>
      <c r="K7" s="235"/>
      <c r="L7" s="235"/>
      <c r="M7" s="1162"/>
      <c r="N7" s="1162"/>
      <c r="O7" s="1162"/>
      <c r="P7" s="1162"/>
      <c r="Q7" s="1162"/>
      <c r="R7" s="1162"/>
      <c r="S7" s="1162"/>
      <c r="T7" s="1162"/>
      <c r="U7" s="1162"/>
      <c r="V7" s="1162"/>
      <c r="W7" s="1162"/>
      <c r="X7" s="1162"/>
      <c r="Y7" s="1163"/>
      <c r="Z7" s="1163"/>
      <c r="AA7" s="1162"/>
    </row>
    <row r="8" ht="15.75" customHeight="1">
      <c r="A8" s="425"/>
      <c r="B8" s="1165" t="s">
        <v>166</v>
      </c>
      <c r="C8" s="1166">
        <v>45748.0</v>
      </c>
      <c r="D8" s="12"/>
      <c r="E8" s="1166">
        <v>45778.0</v>
      </c>
      <c r="F8" s="12"/>
      <c r="G8" s="1166">
        <v>45809.0</v>
      </c>
      <c r="H8" s="12"/>
      <c r="I8" s="1166">
        <v>45839.0</v>
      </c>
      <c r="J8" s="11"/>
      <c r="K8" s="1166">
        <v>45870.0</v>
      </c>
      <c r="L8" s="12"/>
      <c r="M8" s="1166">
        <v>45901.0</v>
      </c>
      <c r="N8" s="12"/>
      <c r="O8" s="1166">
        <v>45931.0</v>
      </c>
      <c r="P8" s="12"/>
      <c r="Q8" s="1167" t="s">
        <v>402</v>
      </c>
      <c r="R8" s="12"/>
      <c r="S8" s="1167" t="s">
        <v>403</v>
      </c>
      <c r="T8" s="12"/>
      <c r="U8" s="1167" t="s">
        <v>414</v>
      </c>
      <c r="V8" s="12"/>
      <c r="W8" s="1167" t="s">
        <v>415</v>
      </c>
      <c r="X8" s="12"/>
      <c r="Y8" s="1168" t="s">
        <v>416</v>
      </c>
      <c r="Z8" s="1168" t="s">
        <v>19</v>
      </c>
      <c r="AA8" s="1168" t="s">
        <v>417</v>
      </c>
    </row>
    <row r="9" ht="15.75" customHeight="1">
      <c r="A9" s="425"/>
      <c r="B9" s="1169" t="s">
        <v>418</v>
      </c>
      <c r="C9" s="1170" t="s">
        <v>17</v>
      </c>
      <c r="D9" s="1171" t="s">
        <v>419</v>
      </c>
      <c r="E9" s="1170" t="s">
        <v>17</v>
      </c>
      <c r="F9" s="1171" t="s">
        <v>419</v>
      </c>
      <c r="G9" s="1170" t="s">
        <v>17</v>
      </c>
      <c r="H9" s="1171" t="s">
        <v>419</v>
      </c>
      <c r="I9" s="1170" t="s">
        <v>17</v>
      </c>
      <c r="J9" s="1172" t="s">
        <v>419</v>
      </c>
      <c r="K9" s="1170" t="s">
        <v>17</v>
      </c>
      <c r="L9" s="1171" t="s">
        <v>419</v>
      </c>
      <c r="M9" s="1170" t="s">
        <v>17</v>
      </c>
      <c r="N9" s="1171" t="s">
        <v>419</v>
      </c>
      <c r="O9" s="1170" t="s">
        <v>17</v>
      </c>
      <c r="P9" s="1171" t="s">
        <v>419</v>
      </c>
      <c r="Q9" s="1170" t="s">
        <v>17</v>
      </c>
      <c r="R9" s="1171" t="s">
        <v>419</v>
      </c>
      <c r="S9" s="1170" t="s">
        <v>17</v>
      </c>
      <c r="T9" s="1171" t="s">
        <v>419</v>
      </c>
      <c r="U9" s="1170" t="s">
        <v>17</v>
      </c>
      <c r="V9" s="1171" t="s">
        <v>419</v>
      </c>
      <c r="W9" s="1170" t="s">
        <v>17</v>
      </c>
      <c r="X9" s="1171" t="s">
        <v>419</v>
      </c>
      <c r="Y9" s="433"/>
      <c r="Z9" s="433"/>
      <c r="AA9" s="433"/>
    </row>
    <row r="10" ht="15.75" customHeight="1">
      <c r="A10" s="425"/>
      <c r="B10" s="481" t="s">
        <v>21</v>
      </c>
      <c r="C10" s="448"/>
      <c r="D10" s="1173"/>
      <c r="E10" s="676"/>
      <c r="F10" s="1173"/>
      <c r="G10" s="676"/>
      <c r="H10" s="1173"/>
      <c r="I10" s="676"/>
      <c r="J10" s="1174"/>
      <c r="K10" s="676"/>
      <c r="L10" s="1173"/>
      <c r="M10" s="676"/>
      <c r="N10" s="1173"/>
      <c r="O10" s="676"/>
      <c r="P10" s="1173"/>
      <c r="Q10" s="676" t="str">
        <f>Kaspers!#REF!</f>
        <v>#ERROR!</v>
      </c>
      <c r="R10" s="1173"/>
      <c r="S10" s="676" t="str">
        <f>Kaspers!#REF!</f>
        <v>#ERROR!</v>
      </c>
      <c r="T10" s="1173"/>
      <c r="U10" s="676" t="str">
        <f>Kaspers!#REF!</f>
        <v>#ERROR!</v>
      </c>
      <c r="V10" s="1173"/>
      <c r="W10" s="676" t="str">
        <f>Kaspers!#REF!</f>
        <v>#ERROR!</v>
      </c>
      <c r="X10" s="1174" t="str">
        <f t="shared" ref="X10:X14" si="1">W10/$W$15</f>
        <v>#ERROR!</v>
      </c>
      <c r="Y10" s="1175" t="str">
        <f t="shared" ref="Y10:Y14" si="2">C10+E10+G10+I10+K10+M10+O10+Q10+S10+U10+W10</f>
        <v>#ERROR!</v>
      </c>
      <c r="Z10" s="1175"/>
      <c r="AA10" s="1176" t="str">
        <f t="shared" ref="AA10:AA13" si="3">Y10/Z10</f>
        <v>#ERROR!</v>
      </c>
    </row>
    <row r="11" ht="15.75" customHeight="1">
      <c r="A11" s="425"/>
      <c r="B11" s="450" t="s">
        <v>22</v>
      </c>
      <c r="C11" s="452"/>
      <c r="D11" s="1177"/>
      <c r="E11" s="684"/>
      <c r="F11" s="1177"/>
      <c r="G11" s="684"/>
      <c r="H11" s="1173"/>
      <c r="I11" s="684"/>
      <c r="J11" s="1174"/>
      <c r="K11" s="684"/>
      <c r="L11" s="1173"/>
      <c r="M11" s="684"/>
      <c r="N11" s="1173"/>
      <c r="O11" s="684"/>
      <c r="P11" s="1173"/>
      <c r="Q11" s="676" t="str">
        <f>Kaspers!#REF!</f>
        <v>#ERROR!</v>
      </c>
      <c r="R11" s="1173"/>
      <c r="S11" s="676" t="str">
        <f>Kaspers!#REF!</f>
        <v>#ERROR!</v>
      </c>
      <c r="T11" s="1173"/>
      <c r="U11" s="676" t="str">
        <f>Kaspers!#REF!</f>
        <v>#ERROR!</v>
      </c>
      <c r="V11" s="1173"/>
      <c r="W11" s="676" t="str">
        <f>Kaspers!#REF!</f>
        <v>#ERROR!</v>
      </c>
      <c r="X11" s="1174" t="str">
        <f t="shared" si="1"/>
        <v>#ERROR!</v>
      </c>
      <c r="Y11" s="1175" t="str">
        <f t="shared" si="2"/>
        <v>#ERROR!</v>
      </c>
      <c r="Z11" s="1175"/>
      <c r="AA11" s="1178" t="str">
        <f t="shared" si="3"/>
        <v>#ERROR!</v>
      </c>
    </row>
    <row r="12" ht="15.75" customHeight="1">
      <c r="A12" s="425"/>
      <c r="B12" s="450" t="s">
        <v>23</v>
      </c>
      <c r="C12" s="452"/>
      <c r="D12" s="1177"/>
      <c r="E12" s="684"/>
      <c r="F12" s="1177"/>
      <c r="G12" s="684"/>
      <c r="H12" s="1173"/>
      <c r="I12" s="684"/>
      <c r="J12" s="1174"/>
      <c r="K12" s="684"/>
      <c r="L12" s="1173"/>
      <c r="M12" s="684"/>
      <c r="N12" s="1173"/>
      <c r="O12" s="684"/>
      <c r="P12" s="1173"/>
      <c r="Q12" s="676" t="str">
        <f>Kaspers!#REF!</f>
        <v>#ERROR!</v>
      </c>
      <c r="R12" s="1173"/>
      <c r="S12" s="676" t="str">
        <f>Kaspers!#REF!</f>
        <v>#ERROR!</v>
      </c>
      <c r="T12" s="1173"/>
      <c r="U12" s="676" t="str">
        <f>Kaspers!#REF!</f>
        <v>#ERROR!</v>
      </c>
      <c r="V12" s="1173"/>
      <c r="W12" s="676" t="str">
        <f>Kaspers!#REF!</f>
        <v>#ERROR!</v>
      </c>
      <c r="X12" s="1174" t="str">
        <f t="shared" si="1"/>
        <v>#ERROR!</v>
      </c>
      <c r="Y12" s="1175" t="str">
        <f t="shared" si="2"/>
        <v>#ERROR!</v>
      </c>
      <c r="Z12" s="1175"/>
      <c r="AA12" s="1178" t="str">
        <f t="shared" si="3"/>
        <v>#ERROR!</v>
      </c>
    </row>
    <row r="13" ht="15.75" customHeight="1">
      <c r="A13" s="425"/>
      <c r="B13" s="450" t="s">
        <v>24</v>
      </c>
      <c r="C13" s="452"/>
      <c r="D13" s="1177"/>
      <c r="E13" s="684"/>
      <c r="F13" s="1177"/>
      <c r="G13" s="684"/>
      <c r="H13" s="1173"/>
      <c r="I13" s="684"/>
      <c r="J13" s="1174"/>
      <c r="K13" s="684"/>
      <c r="L13" s="1173"/>
      <c r="M13" s="684"/>
      <c r="N13" s="1173"/>
      <c r="O13" s="684"/>
      <c r="P13" s="1173"/>
      <c r="Q13" s="676" t="str">
        <f>Kaspers!#REF!</f>
        <v>#ERROR!</v>
      </c>
      <c r="R13" s="1173"/>
      <c r="S13" s="684" t="str">
        <f>Kaspers!#REF!</f>
        <v>#ERROR!</v>
      </c>
      <c r="T13" s="1173"/>
      <c r="U13" s="684" t="str">
        <f>Kaspers!#REF!</f>
        <v>#ERROR!</v>
      </c>
      <c r="V13" s="1173"/>
      <c r="W13" s="684" t="str">
        <f>Kaspers!#REF!</f>
        <v>#ERROR!</v>
      </c>
      <c r="X13" s="1174" t="str">
        <f t="shared" si="1"/>
        <v>#ERROR!</v>
      </c>
      <c r="Y13" s="1175" t="str">
        <f t="shared" si="2"/>
        <v>#ERROR!</v>
      </c>
      <c r="Z13" s="1179"/>
      <c r="AA13" s="1178" t="str">
        <f t="shared" si="3"/>
        <v>#ERROR!</v>
      </c>
    </row>
    <row r="14" ht="15.75" customHeight="1">
      <c r="A14" s="425"/>
      <c r="B14" s="468" t="s">
        <v>162</v>
      </c>
      <c r="C14" s="470"/>
      <c r="D14" s="1180"/>
      <c r="E14" s="1181"/>
      <c r="F14" s="1177"/>
      <c r="G14" s="678"/>
      <c r="H14" s="1173"/>
      <c r="I14" s="678"/>
      <c r="J14" s="1174"/>
      <c r="K14" s="678"/>
      <c r="L14" s="1173"/>
      <c r="M14" s="678"/>
      <c r="N14" s="1173"/>
      <c r="O14" s="678"/>
      <c r="P14" s="1173"/>
      <c r="Q14" s="678" t="str">
        <f>Kaspers!#REF!</f>
        <v>#ERROR!</v>
      </c>
      <c r="R14" s="1173"/>
      <c r="S14" s="678" t="str">
        <f>Kaspers!#REF!</f>
        <v>#ERROR!</v>
      </c>
      <c r="T14" s="1173"/>
      <c r="U14" s="1183">
        <v>0.0</v>
      </c>
      <c r="V14" s="1173"/>
      <c r="W14" s="1183">
        <v>0.0</v>
      </c>
      <c r="X14" s="1174" t="str">
        <f t="shared" si="1"/>
        <v>#ERROR!</v>
      </c>
      <c r="Y14" s="1175" t="str">
        <f t="shared" si="2"/>
        <v>#ERROR!</v>
      </c>
      <c r="Z14" s="1184"/>
      <c r="AA14" s="1178">
        <v>0.0</v>
      </c>
    </row>
    <row r="15" ht="15.75" customHeight="1">
      <c r="A15" s="425"/>
      <c r="B15" s="1165" t="s">
        <v>420</v>
      </c>
      <c r="C15" s="1185">
        <f>SUM(C10:C14)</f>
        <v>0</v>
      </c>
      <c r="D15" s="1186" t="str">
        <f>C15/$C$15</f>
        <v>#DIV/0!</v>
      </c>
      <c r="E15" s="1185">
        <f>SUM(E10:E14)</f>
        <v>0</v>
      </c>
      <c r="F15" s="1186" t="str">
        <f>E15/E15</f>
        <v>#DIV/0!</v>
      </c>
      <c r="G15" s="1185">
        <f>SUM(G10:G14)</f>
        <v>0</v>
      </c>
      <c r="H15" s="1186" t="str">
        <f>G15/G15</f>
        <v>#DIV/0!</v>
      </c>
      <c r="I15" s="1185">
        <f>SUM(I10:I14)</f>
        <v>0</v>
      </c>
      <c r="J15" s="1187" t="str">
        <f>I15/I15</f>
        <v>#DIV/0!</v>
      </c>
      <c r="K15" s="1185">
        <f>SUM(K10:K14)</f>
        <v>0</v>
      </c>
      <c r="L15" s="1186" t="str">
        <f>K15/K15</f>
        <v>#DIV/0!</v>
      </c>
      <c r="M15" s="1185">
        <f>SUM(M10:M14)</f>
        <v>0</v>
      </c>
      <c r="N15" s="1186" t="str">
        <f>M15/M15</f>
        <v>#DIV/0!</v>
      </c>
      <c r="O15" s="1185">
        <f>SUM(O10:O14)</f>
        <v>0</v>
      </c>
      <c r="P15" s="1186" t="str">
        <f>O15/O15</f>
        <v>#DIV/0!</v>
      </c>
      <c r="Q15" s="1185" t="str">
        <f>SUM(Q10:Q14)</f>
        <v>#ERROR!</v>
      </c>
      <c r="R15" s="1186" t="str">
        <f>Q15/Q15</f>
        <v>#ERROR!</v>
      </c>
      <c r="S15" s="1185" t="str">
        <f>SUM(S10:S14)</f>
        <v>#ERROR!</v>
      </c>
      <c r="T15" s="1186" t="str">
        <f>S15/S15</f>
        <v>#ERROR!</v>
      </c>
      <c r="U15" s="1185" t="str">
        <f>SUM(U10:U14)</f>
        <v>#ERROR!</v>
      </c>
      <c r="V15" s="1186" t="str">
        <f>U15/U15</f>
        <v>#ERROR!</v>
      </c>
      <c r="W15" s="1185" t="str">
        <f>SUM(W10:W14)</f>
        <v>#ERROR!</v>
      </c>
      <c r="X15" s="1187" t="str">
        <f>W15/W15</f>
        <v>#ERROR!</v>
      </c>
      <c r="Y15" s="1188" t="str">
        <f t="shared" ref="Y15:Z15" si="4">SUM(Y10:Y14)</f>
        <v>#ERROR!</v>
      </c>
      <c r="Z15" s="1188">
        <f t="shared" si="4"/>
        <v>0</v>
      </c>
      <c r="AA15" s="1189" t="str">
        <f>Y15/Z15</f>
        <v>#ERROR!</v>
      </c>
    </row>
    <row r="16" ht="15.75" customHeight="1">
      <c r="A16" s="425"/>
      <c r="B16" s="481"/>
      <c r="C16" s="448"/>
      <c r="D16" s="1190"/>
      <c r="E16" s="1191"/>
      <c r="F16" s="1190"/>
      <c r="G16" s="1191"/>
      <c r="H16" s="1190"/>
      <c r="I16" s="1191"/>
      <c r="J16" s="1192"/>
      <c r="K16" s="1191"/>
      <c r="L16" s="1190"/>
      <c r="M16" s="1191"/>
      <c r="N16" s="1190"/>
      <c r="O16" s="1191"/>
      <c r="P16" s="1190"/>
      <c r="Q16" s="1191"/>
      <c r="R16" s="1190"/>
      <c r="S16" s="1191"/>
      <c r="T16" s="1190"/>
      <c r="U16" s="1191"/>
      <c r="V16" s="1190"/>
      <c r="W16" s="1191"/>
      <c r="X16" s="1192"/>
      <c r="Y16" s="1193"/>
      <c r="Z16" s="1193"/>
      <c r="AA16" s="1194"/>
    </row>
    <row r="17" ht="15.75" customHeight="1">
      <c r="A17" s="425"/>
      <c r="B17" s="558" t="s">
        <v>186</v>
      </c>
      <c r="C17" s="452"/>
      <c r="D17" s="1076"/>
      <c r="E17" s="1195"/>
      <c r="F17" s="1076"/>
      <c r="G17" s="1195"/>
      <c r="H17" s="1076"/>
      <c r="I17" s="1195"/>
      <c r="J17" s="1073"/>
      <c r="K17" s="1195"/>
      <c r="L17" s="1076"/>
      <c r="M17" s="1195"/>
      <c r="N17" s="1076"/>
      <c r="O17" s="1195"/>
      <c r="P17" s="1076"/>
      <c r="Q17" s="1195"/>
      <c r="R17" s="1076"/>
      <c r="S17" s="1195"/>
      <c r="T17" s="1076"/>
      <c r="U17" s="1195"/>
      <c r="V17" s="1076"/>
      <c r="W17" s="1195"/>
      <c r="X17" s="1073"/>
      <c r="Y17" s="1196"/>
      <c r="Z17" s="1196"/>
      <c r="AA17" s="465"/>
    </row>
    <row r="18" ht="15.75" customHeight="1">
      <c r="A18" s="425"/>
      <c r="B18" s="450" t="s">
        <v>28</v>
      </c>
      <c r="C18" s="452"/>
      <c r="D18" s="1177"/>
      <c r="E18" s="684"/>
      <c r="F18" s="1177"/>
      <c r="G18" s="684"/>
      <c r="H18" s="1173"/>
      <c r="I18" s="684"/>
      <c r="J18" s="1197"/>
      <c r="K18" s="684"/>
      <c r="L18" s="1173"/>
      <c r="M18" s="684"/>
      <c r="N18" s="1173"/>
      <c r="O18" s="684"/>
      <c r="P18" s="1173"/>
      <c r="Q18" s="684" t="str">
        <f>Kaspers!#REF!</f>
        <v>#ERROR!</v>
      </c>
      <c r="R18" s="1177"/>
      <c r="S18" s="684" t="str">
        <f>Kaspers!#REF!</f>
        <v>#ERROR!</v>
      </c>
      <c r="T18" s="1177"/>
      <c r="U18" s="684" t="str">
        <f>Kaspers!#REF!</f>
        <v>#ERROR!</v>
      </c>
      <c r="V18" s="1173"/>
      <c r="W18" s="684" t="str">
        <f>Kaspers!#REF!</f>
        <v>#ERROR!</v>
      </c>
      <c r="X18" s="1174" t="str">
        <f t="shared" ref="X18:X19" si="5">W18/$W$15</f>
        <v>#ERROR!</v>
      </c>
      <c r="Y18" s="1175" t="str">
        <f t="shared" ref="Y18:Y19" si="6">C18+E18+G18+I18+K18+M18+O18+Q18+S18+U18+W18</f>
        <v>#ERROR!</v>
      </c>
      <c r="Z18" s="1179"/>
      <c r="AA18" s="1178" t="str">
        <f t="shared" ref="AA18:AA19" si="7">Y18/Z18</f>
        <v>#ERROR!</v>
      </c>
    </row>
    <row r="19" ht="15.75" customHeight="1">
      <c r="A19" s="425"/>
      <c r="B19" s="450" t="s">
        <v>29</v>
      </c>
      <c r="C19" s="452"/>
      <c r="D19" s="1177"/>
      <c r="E19" s="684"/>
      <c r="F19" s="1177"/>
      <c r="G19" s="684"/>
      <c r="H19" s="1173"/>
      <c r="I19" s="684"/>
      <c r="J19" s="1197"/>
      <c r="K19" s="684"/>
      <c r="L19" s="1173"/>
      <c r="M19" s="684"/>
      <c r="N19" s="1173"/>
      <c r="O19" s="684"/>
      <c r="P19" s="1173"/>
      <c r="Q19" s="1220">
        <v>0.0</v>
      </c>
      <c r="R19" s="1177"/>
      <c r="S19" s="1220">
        <v>0.0</v>
      </c>
      <c r="T19" s="1177"/>
      <c r="U19" s="1220">
        <v>0.0</v>
      </c>
      <c r="V19" s="1173"/>
      <c r="W19" s="1220">
        <v>0.0</v>
      </c>
      <c r="X19" s="1174" t="str">
        <f t="shared" si="5"/>
        <v>#ERROR!</v>
      </c>
      <c r="Y19" s="1175">
        <f t="shared" si="6"/>
        <v>0</v>
      </c>
      <c r="Z19" s="1179"/>
      <c r="AA19" s="1178" t="str">
        <f t="shared" si="7"/>
        <v>#DIV/0!</v>
      </c>
    </row>
    <row r="20" ht="15.75" customHeight="1">
      <c r="A20" s="425"/>
      <c r="B20" s="468" t="s">
        <v>365</v>
      </c>
      <c r="C20" s="470">
        <v>0.0</v>
      </c>
      <c r="D20" s="1180" t="str">
        <f t="shared" ref="D20:D21" si="8">C20/$C$15</f>
        <v>#DIV/0!</v>
      </c>
      <c r="E20" s="678"/>
      <c r="F20" s="1177" t="str">
        <f>E20/$E$15</f>
        <v>#DIV/0!</v>
      </c>
      <c r="G20" s="678"/>
      <c r="H20" s="1173" t="str">
        <f>G20/$G$15</f>
        <v>#DIV/0!</v>
      </c>
      <c r="I20" s="678"/>
      <c r="J20" s="1197" t="str">
        <f t="shared" ref="J20:J21" si="9">I20/$I$15</f>
        <v>#DIV/0!</v>
      </c>
      <c r="K20" s="678"/>
      <c r="L20" s="1198"/>
      <c r="M20" s="678"/>
      <c r="N20" s="1198"/>
      <c r="O20" s="678"/>
      <c r="P20" s="1198"/>
      <c r="Q20" s="1220">
        <v>0.0</v>
      </c>
      <c r="R20" s="1198"/>
      <c r="S20" s="1220">
        <v>0.0</v>
      </c>
      <c r="T20" s="1198"/>
      <c r="U20" s="1220">
        <v>0.0</v>
      </c>
      <c r="V20" s="1198"/>
      <c r="W20" s="1220">
        <v>0.0</v>
      </c>
      <c r="X20" s="1199"/>
      <c r="Y20" s="1200"/>
      <c r="Z20" s="1200"/>
      <c r="AA20" s="1201"/>
    </row>
    <row r="21" ht="15.75" customHeight="1">
      <c r="A21" s="425"/>
      <c r="B21" s="1165" t="s">
        <v>30</v>
      </c>
      <c r="C21" s="1185">
        <f>SUM(C18:C20)</f>
        <v>0</v>
      </c>
      <c r="D21" s="1186" t="str">
        <f t="shared" si="8"/>
        <v>#DIV/0!</v>
      </c>
      <c r="E21" s="1202">
        <f>SUM(E18:E20)</f>
        <v>0</v>
      </c>
      <c r="F21" s="1186" t="str">
        <f>E21/E15</f>
        <v>#DIV/0!</v>
      </c>
      <c r="G21" s="1202">
        <f>SUM(G18:G20)</f>
        <v>0</v>
      </c>
      <c r="H21" s="1186" t="str">
        <f>G21/G15</f>
        <v>#DIV/0!</v>
      </c>
      <c r="I21" s="1202">
        <f>SUM(I18:I20)</f>
        <v>0</v>
      </c>
      <c r="J21" s="1187" t="str">
        <f t="shared" si="9"/>
        <v>#DIV/0!</v>
      </c>
      <c r="K21" s="1202">
        <f>SUM(K18:K20)</f>
        <v>0</v>
      </c>
      <c r="L21" s="1186" t="str">
        <f>K21/K15</f>
        <v>#DIV/0!</v>
      </c>
      <c r="M21" s="1202">
        <f>SUM(M18:M20)</f>
        <v>0</v>
      </c>
      <c r="N21" s="1186" t="str">
        <f>M21/M15</f>
        <v>#DIV/0!</v>
      </c>
      <c r="O21" s="1202">
        <f>SUM(O18:O20)</f>
        <v>0</v>
      </c>
      <c r="P21" s="1186" t="str">
        <f>+O21/O15</f>
        <v>#DIV/0!</v>
      </c>
      <c r="Q21" s="1202" t="str">
        <f>SUM(Q18:Q20)</f>
        <v>#ERROR!</v>
      </c>
      <c r="R21" s="1186" t="str">
        <f>Q21/Q15</f>
        <v>#ERROR!</v>
      </c>
      <c r="S21" s="1202" t="str">
        <f>SUM(S18:S20)</f>
        <v>#ERROR!</v>
      </c>
      <c r="T21" s="1186" t="str">
        <f>S21/S15</f>
        <v>#ERROR!</v>
      </c>
      <c r="U21" s="1202" t="str">
        <f>SUM(U18:U20)</f>
        <v>#ERROR!</v>
      </c>
      <c r="V21" s="1186" t="str">
        <f>U21/U15</f>
        <v>#ERROR!</v>
      </c>
      <c r="W21" s="1202" t="str">
        <f>SUM(W18:W20)</f>
        <v>#ERROR!</v>
      </c>
      <c r="X21" s="1187" t="str">
        <f>W21/W15</f>
        <v>#ERROR!</v>
      </c>
      <c r="Y21" s="1188" t="str">
        <f t="shared" ref="Y21:Z21" si="10">SUM(Y18:Y20)</f>
        <v>#ERROR!</v>
      </c>
      <c r="Z21" s="1188">
        <f t="shared" si="10"/>
        <v>0</v>
      </c>
      <c r="AA21" s="1189" t="str">
        <f>Y21/Z21</f>
        <v>#ERROR!</v>
      </c>
    </row>
    <row r="22" ht="15.75" customHeight="1">
      <c r="A22" s="425"/>
      <c r="B22" s="508"/>
      <c r="C22" s="494"/>
      <c r="D22" s="1203"/>
      <c r="E22" s="1204"/>
      <c r="F22" s="1203"/>
      <c r="G22" s="1205" t="str">
        <f>#REF!</f>
        <v>#REF!</v>
      </c>
      <c r="H22" s="1203"/>
      <c r="I22" s="1204"/>
      <c r="J22" s="1206"/>
      <c r="K22" s="1204"/>
      <c r="L22" s="1203"/>
      <c r="M22" s="1204"/>
      <c r="N22" s="1203"/>
      <c r="O22" s="1204"/>
      <c r="P22" s="1203"/>
      <c r="Q22" s="1204"/>
      <c r="R22" s="1203"/>
      <c r="S22" s="1204"/>
      <c r="T22" s="1203"/>
      <c r="U22" s="1204"/>
      <c r="V22" s="1203"/>
      <c r="W22" s="1204"/>
      <c r="X22" s="1206"/>
      <c r="Y22" s="1207"/>
      <c r="Z22" s="1207"/>
      <c r="AA22" s="1208"/>
    </row>
    <row r="23" ht="15.75" customHeight="1">
      <c r="A23" s="425"/>
      <c r="B23" s="1165" t="s">
        <v>32</v>
      </c>
      <c r="C23" s="1185">
        <f>C15-C21</f>
        <v>0</v>
      </c>
      <c r="D23" s="1186" t="str">
        <f>C23/$C$15</f>
        <v>#DIV/0!</v>
      </c>
      <c r="E23" s="1202">
        <f>E15-E21</f>
        <v>0</v>
      </c>
      <c r="F23" s="1186" t="str">
        <f>E23/E15</f>
        <v>#DIV/0!</v>
      </c>
      <c r="G23" s="1202">
        <f>G15-G21</f>
        <v>0</v>
      </c>
      <c r="H23" s="1209"/>
      <c r="I23" s="1202">
        <f>I15-I21</f>
        <v>0</v>
      </c>
      <c r="J23" s="1187" t="str">
        <f>I23/$I$15</f>
        <v>#DIV/0!</v>
      </c>
      <c r="K23" s="1202">
        <f>K15-K21</f>
        <v>0</v>
      </c>
      <c r="L23" s="1186" t="str">
        <f>K23/K15</f>
        <v>#DIV/0!</v>
      </c>
      <c r="M23" s="1202">
        <f>M15-M21</f>
        <v>0</v>
      </c>
      <c r="N23" s="1186" t="str">
        <f>M23/$M$15</f>
        <v>#DIV/0!</v>
      </c>
      <c r="O23" s="1202">
        <f>O15-O21</f>
        <v>0</v>
      </c>
      <c r="P23" s="1186" t="str">
        <f>O23/O15</f>
        <v>#DIV/0!</v>
      </c>
      <c r="Q23" s="1202" t="str">
        <f>Q15-Q21</f>
        <v>#ERROR!</v>
      </c>
      <c r="R23" s="1186" t="str">
        <f>Q23/Q15</f>
        <v>#ERROR!</v>
      </c>
      <c r="S23" s="1202" t="str">
        <f>S15-S21</f>
        <v>#ERROR!</v>
      </c>
      <c r="T23" s="1186" t="str">
        <f>S23/S15</f>
        <v>#ERROR!</v>
      </c>
      <c r="U23" s="1202" t="str">
        <f>U15-U21</f>
        <v>#ERROR!</v>
      </c>
      <c r="V23" s="1186" t="str">
        <f>U23/U15</f>
        <v>#ERROR!</v>
      </c>
      <c r="W23" s="1202" t="str">
        <f>W15-W21</f>
        <v>#ERROR!</v>
      </c>
      <c r="X23" s="1187" t="str">
        <f>W23/W15</f>
        <v>#ERROR!</v>
      </c>
      <c r="Y23" s="1188" t="str">
        <f t="shared" ref="Y23:Z23" si="11">Y15-Y21</f>
        <v>#ERROR!</v>
      </c>
      <c r="Z23" s="1188">
        <f t="shared" si="11"/>
        <v>0</v>
      </c>
      <c r="AA23" s="1189" t="str">
        <f>Y23/Z23</f>
        <v>#ERROR!</v>
      </c>
    </row>
    <row r="24" ht="15.75" customHeight="1">
      <c r="A24" s="425"/>
      <c r="B24" s="481"/>
      <c r="C24" s="448"/>
      <c r="D24" s="1190"/>
      <c r="E24" s="1191"/>
      <c r="F24" s="1190"/>
      <c r="G24" s="1191"/>
      <c r="H24" s="1190"/>
      <c r="I24" s="1191"/>
      <c r="J24" s="1192"/>
      <c r="K24" s="1191"/>
      <c r="L24" s="1190"/>
      <c r="M24" s="1191"/>
      <c r="N24" s="1190"/>
      <c r="O24" s="1191"/>
      <c r="P24" s="1190"/>
      <c r="Q24" s="1191"/>
      <c r="R24" s="1190"/>
      <c r="S24" s="1191"/>
      <c r="T24" s="1190"/>
      <c r="U24" s="1191"/>
      <c r="V24" s="1190"/>
      <c r="W24" s="1191"/>
      <c r="X24" s="1192"/>
      <c r="Y24" s="1193"/>
      <c r="Z24" s="1193"/>
      <c r="AA24" s="1194"/>
    </row>
    <row r="25" ht="15.75" customHeight="1">
      <c r="A25" s="425"/>
      <c r="B25" s="450" t="s">
        <v>33</v>
      </c>
      <c r="C25" s="452"/>
      <c r="D25" s="1177"/>
      <c r="E25" s="684"/>
      <c r="F25" s="1177"/>
      <c r="G25" s="684"/>
      <c r="H25" s="1177"/>
      <c r="I25" s="684"/>
      <c r="J25" s="1197"/>
      <c r="K25" s="684"/>
      <c r="L25" s="1173"/>
      <c r="M25" s="684"/>
      <c r="N25" s="1173"/>
      <c r="O25" s="684"/>
      <c r="P25" s="1173"/>
      <c r="Q25" s="1220">
        <v>0.0</v>
      </c>
      <c r="R25" s="1177"/>
      <c r="S25" s="682" t="str">
        <f>Kaspers!#REF!</f>
        <v>#ERROR!</v>
      </c>
      <c r="T25" s="1221"/>
      <c r="U25" s="682" t="str">
        <f>Kaspers!#REF!</f>
        <v>#ERROR!</v>
      </c>
      <c r="V25" s="1182"/>
      <c r="W25" s="682" t="str">
        <f>Kaspers!#REF!</f>
        <v>#ERROR!</v>
      </c>
      <c r="X25" s="1174" t="str">
        <f t="shared" ref="X25:X40" si="12">W25/$W$15</f>
        <v>#ERROR!</v>
      </c>
      <c r="Y25" s="1175" t="str">
        <f t="shared" ref="Y25:Y40" si="13">C25+E25+G25+I25+K25+M25+O25+Q25+S25+U25+W25</f>
        <v>#ERROR!</v>
      </c>
      <c r="Z25" s="1179"/>
      <c r="AA25" s="1178" t="str">
        <f t="shared" ref="AA25:AA37" si="14">Y25/Z25</f>
        <v>#ERROR!</v>
      </c>
    </row>
    <row r="26" ht="15.75" customHeight="1">
      <c r="A26" s="425"/>
      <c r="B26" s="450" t="s">
        <v>34</v>
      </c>
      <c r="C26" s="452"/>
      <c r="D26" s="1177"/>
      <c r="E26" s="684"/>
      <c r="F26" s="1177"/>
      <c r="G26" s="684"/>
      <c r="H26" s="1177"/>
      <c r="I26" s="684"/>
      <c r="J26" s="1197"/>
      <c r="K26" s="684"/>
      <c r="L26" s="1173"/>
      <c r="M26" s="684"/>
      <c r="N26" s="1173"/>
      <c r="O26" s="684"/>
      <c r="P26" s="1173"/>
      <c r="Q26" s="684" t="str">
        <f>Kaspers!#REF!</f>
        <v>#ERROR!</v>
      </c>
      <c r="R26" s="1177"/>
      <c r="S26" s="682" t="str">
        <f>Kaspers!#REF!</f>
        <v>#ERROR!</v>
      </c>
      <c r="T26" s="1221"/>
      <c r="U26" s="682" t="str">
        <f>Kaspers!#REF!</f>
        <v>#ERROR!</v>
      </c>
      <c r="V26" s="1182"/>
      <c r="W26" s="682" t="str">
        <f>Kaspers!#REF!</f>
        <v>#ERROR!</v>
      </c>
      <c r="X26" s="1174" t="str">
        <f t="shared" si="12"/>
        <v>#ERROR!</v>
      </c>
      <c r="Y26" s="1175" t="str">
        <f t="shared" si="13"/>
        <v>#ERROR!</v>
      </c>
      <c r="Z26" s="1179"/>
      <c r="AA26" s="1178" t="str">
        <f t="shared" si="14"/>
        <v>#ERROR!</v>
      </c>
    </row>
    <row r="27" ht="15.75" customHeight="1">
      <c r="A27" s="425"/>
      <c r="B27" s="450" t="s">
        <v>35</v>
      </c>
      <c r="C27" s="452"/>
      <c r="D27" s="1177"/>
      <c r="E27" s="684"/>
      <c r="F27" s="1177"/>
      <c r="G27" s="684"/>
      <c r="H27" s="1177"/>
      <c r="I27" s="684"/>
      <c r="J27" s="1197"/>
      <c r="K27" s="684"/>
      <c r="L27" s="1173"/>
      <c r="M27" s="684"/>
      <c r="N27" s="1173"/>
      <c r="O27" s="684"/>
      <c r="P27" s="1173"/>
      <c r="Q27" s="1220" t="str">
        <f>Kaspers!#REF!</f>
        <v>#ERROR!</v>
      </c>
      <c r="R27" s="1177"/>
      <c r="S27" s="682" t="str">
        <f>Kaspers!#REF!</f>
        <v>#ERROR!</v>
      </c>
      <c r="T27" s="1221"/>
      <c r="U27" s="682" t="str">
        <f>Kaspers!#REF!</f>
        <v>#ERROR!</v>
      </c>
      <c r="V27" s="1182"/>
      <c r="W27" s="682" t="str">
        <f>Kaspers!#REF!</f>
        <v>#ERROR!</v>
      </c>
      <c r="X27" s="1174" t="str">
        <f t="shared" si="12"/>
        <v>#ERROR!</v>
      </c>
      <c r="Y27" s="1175" t="str">
        <f t="shared" si="13"/>
        <v>#ERROR!</v>
      </c>
      <c r="Z27" s="1179"/>
      <c r="AA27" s="1178" t="str">
        <f t="shared" si="14"/>
        <v>#ERROR!</v>
      </c>
    </row>
    <row r="28" ht="15.75" customHeight="1">
      <c r="A28" s="425"/>
      <c r="B28" s="450" t="s">
        <v>36</v>
      </c>
      <c r="C28" s="452"/>
      <c r="D28" s="1177"/>
      <c r="E28" s="684"/>
      <c r="F28" s="1177"/>
      <c r="G28" s="684"/>
      <c r="H28" s="1177"/>
      <c r="I28" s="684"/>
      <c r="J28" s="1197"/>
      <c r="K28" s="684"/>
      <c r="L28" s="1173"/>
      <c r="M28" s="684"/>
      <c r="N28" s="1173"/>
      <c r="O28" s="684"/>
      <c r="P28" s="1173"/>
      <c r="Q28" s="682" t="str">
        <f>Kaspers!#REF!</f>
        <v>#ERROR!</v>
      </c>
      <c r="R28" s="1177"/>
      <c r="S28" s="682" t="str">
        <f>Kaspers!#REF!</f>
        <v>#ERROR!</v>
      </c>
      <c r="T28" s="1221"/>
      <c r="U28" s="682" t="str">
        <f>Kaspers!#REF!</f>
        <v>#ERROR!</v>
      </c>
      <c r="V28" s="1182"/>
      <c r="W28" s="682" t="str">
        <f>Kaspers!#REF!</f>
        <v>#ERROR!</v>
      </c>
      <c r="X28" s="1174" t="str">
        <f t="shared" si="12"/>
        <v>#ERROR!</v>
      </c>
      <c r="Y28" s="1175" t="str">
        <f t="shared" si="13"/>
        <v>#ERROR!</v>
      </c>
      <c r="Z28" s="1179"/>
      <c r="AA28" s="1178" t="str">
        <f t="shared" si="14"/>
        <v>#ERROR!</v>
      </c>
    </row>
    <row r="29" ht="15.75" customHeight="1">
      <c r="A29" s="425"/>
      <c r="B29" s="450" t="s">
        <v>37</v>
      </c>
      <c r="C29" s="452"/>
      <c r="D29" s="1177"/>
      <c r="E29" s="684"/>
      <c r="F29" s="1177"/>
      <c r="G29" s="684"/>
      <c r="H29" s="1177"/>
      <c r="I29" s="684"/>
      <c r="J29" s="1197"/>
      <c r="K29" s="684"/>
      <c r="L29" s="1173"/>
      <c r="M29" s="684"/>
      <c r="N29" s="1173"/>
      <c r="O29" s="684"/>
      <c r="P29" s="1173"/>
      <c r="Q29" s="682" t="str">
        <f>Kaspers!#REF!</f>
        <v>#ERROR!</v>
      </c>
      <c r="R29" s="1177"/>
      <c r="S29" s="682" t="str">
        <f>Kaspers!#REF!</f>
        <v>#ERROR!</v>
      </c>
      <c r="T29" s="1221"/>
      <c r="U29" s="682" t="str">
        <f>Kaspers!#REF!</f>
        <v>#ERROR!</v>
      </c>
      <c r="V29" s="1182"/>
      <c r="W29" s="682" t="str">
        <f>Kaspers!#REF!</f>
        <v>#ERROR!</v>
      </c>
      <c r="X29" s="1174" t="str">
        <f t="shared" si="12"/>
        <v>#ERROR!</v>
      </c>
      <c r="Y29" s="1175" t="str">
        <f t="shared" si="13"/>
        <v>#ERROR!</v>
      </c>
      <c r="Z29" s="1179"/>
      <c r="AA29" s="1178" t="str">
        <f t="shared" si="14"/>
        <v>#ERROR!</v>
      </c>
    </row>
    <row r="30" ht="15.75" customHeight="1">
      <c r="A30" s="425"/>
      <c r="B30" s="450" t="s">
        <v>38</v>
      </c>
      <c r="C30" s="452"/>
      <c r="D30" s="1177"/>
      <c r="E30" s="684"/>
      <c r="F30" s="1177"/>
      <c r="G30" s="684"/>
      <c r="H30" s="1177"/>
      <c r="I30" s="684"/>
      <c r="J30" s="1197"/>
      <c r="K30" s="684"/>
      <c r="L30" s="1173"/>
      <c r="M30" s="684"/>
      <c r="N30" s="1173"/>
      <c r="O30" s="684"/>
      <c r="P30" s="1173"/>
      <c r="Q30" s="682" t="str">
        <f>Kaspers!#REF!</f>
        <v>#ERROR!</v>
      </c>
      <c r="R30" s="1221"/>
      <c r="S30" s="682" t="str">
        <f>Kaspers!#REF!</f>
        <v>#ERROR!</v>
      </c>
      <c r="T30" s="1221"/>
      <c r="U30" s="682" t="str">
        <f>Kaspers!#REF!</f>
        <v>#ERROR!</v>
      </c>
      <c r="V30" s="1182"/>
      <c r="W30" s="682" t="str">
        <f>Kaspers!#REF!</f>
        <v>#ERROR!</v>
      </c>
      <c r="X30" s="1222" t="str">
        <f t="shared" si="12"/>
        <v>#ERROR!</v>
      </c>
      <c r="Y30" s="1223" t="str">
        <f t="shared" si="13"/>
        <v>#ERROR!</v>
      </c>
      <c r="Z30" s="1179"/>
      <c r="AA30" s="1178" t="str">
        <f t="shared" si="14"/>
        <v>#ERROR!</v>
      </c>
    </row>
    <row r="31" ht="15.75" customHeight="1">
      <c r="A31" s="425"/>
      <c r="B31" s="450" t="s">
        <v>39</v>
      </c>
      <c r="C31" s="452"/>
      <c r="D31" s="1177"/>
      <c r="E31" s="684"/>
      <c r="F31" s="1177"/>
      <c r="G31" s="684"/>
      <c r="H31" s="1177"/>
      <c r="I31" s="684"/>
      <c r="J31" s="1197"/>
      <c r="K31" s="684"/>
      <c r="L31" s="1173"/>
      <c r="M31" s="684"/>
      <c r="N31" s="1173"/>
      <c r="O31" s="684"/>
      <c r="P31" s="1173"/>
      <c r="Q31" s="682" t="str">
        <f>Kaspers!#REF!</f>
        <v>#ERROR!</v>
      </c>
      <c r="R31" s="1221"/>
      <c r="S31" s="682" t="str">
        <f>Kaspers!#REF!</f>
        <v>#ERROR!</v>
      </c>
      <c r="T31" s="1221"/>
      <c r="U31" s="682" t="str">
        <f>Kaspers!#REF!</f>
        <v>#ERROR!</v>
      </c>
      <c r="V31" s="1182"/>
      <c r="W31" s="682" t="str">
        <f>Kaspers!#REF!</f>
        <v>#ERROR!</v>
      </c>
      <c r="X31" s="1222" t="str">
        <f t="shared" si="12"/>
        <v>#ERROR!</v>
      </c>
      <c r="Y31" s="1223" t="str">
        <f t="shared" si="13"/>
        <v>#ERROR!</v>
      </c>
      <c r="Z31" s="1179"/>
      <c r="AA31" s="1178" t="str">
        <f t="shared" si="14"/>
        <v>#ERROR!</v>
      </c>
    </row>
    <row r="32" ht="15.75" customHeight="1">
      <c r="A32" s="425"/>
      <c r="B32" s="450" t="s">
        <v>40</v>
      </c>
      <c r="C32" s="452"/>
      <c r="D32" s="1177"/>
      <c r="E32" s="684"/>
      <c r="F32" s="1177"/>
      <c r="G32" s="684"/>
      <c r="H32" s="1177"/>
      <c r="I32" s="684"/>
      <c r="J32" s="1197"/>
      <c r="K32" s="684"/>
      <c r="L32" s="1173"/>
      <c r="M32" s="684"/>
      <c r="N32" s="1173"/>
      <c r="O32" s="684"/>
      <c r="P32" s="1173"/>
      <c r="Q32" s="682" t="str">
        <f>Kaspers!#REF!</f>
        <v>#ERROR!</v>
      </c>
      <c r="R32" s="1221"/>
      <c r="S32" s="682" t="str">
        <f>Kaspers!#REF!</f>
        <v>#ERROR!</v>
      </c>
      <c r="T32" s="1221"/>
      <c r="U32" s="682" t="str">
        <f>Kaspers!#REF!</f>
        <v>#ERROR!</v>
      </c>
      <c r="V32" s="1182"/>
      <c r="W32" s="682" t="str">
        <f>Kaspers!#REF!</f>
        <v>#ERROR!</v>
      </c>
      <c r="X32" s="1222" t="str">
        <f t="shared" si="12"/>
        <v>#ERROR!</v>
      </c>
      <c r="Y32" s="1223" t="str">
        <f t="shared" si="13"/>
        <v>#ERROR!</v>
      </c>
      <c r="Z32" s="1179"/>
      <c r="AA32" s="1178" t="str">
        <f t="shared" si="14"/>
        <v>#ERROR!</v>
      </c>
    </row>
    <row r="33" ht="15.75" customHeight="1">
      <c r="A33" s="425"/>
      <c r="B33" s="450" t="s">
        <v>421</v>
      </c>
      <c r="C33" s="452"/>
      <c r="D33" s="1177"/>
      <c r="E33" s="684"/>
      <c r="F33" s="1177"/>
      <c r="G33" s="684"/>
      <c r="H33" s="1177"/>
      <c r="I33" s="684"/>
      <c r="J33" s="1197"/>
      <c r="K33" s="684"/>
      <c r="L33" s="1173"/>
      <c r="M33" s="684"/>
      <c r="N33" s="1173"/>
      <c r="O33" s="684"/>
      <c r="P33" s="1173"/>
      <c r="Q33" s="682" t="str">
        <f>Kaspers!#REF!+Kaspers!#REF!</f>
        <v>#ERROR!</v>
      </c>
      <c r="R33" s="1221"/>
      <c r="S33" s="682" t="str">
        <f>Kaspers!#REF!+Kaspers!#REF!</f>
        <v>#ERROR!</v>
      </c>
      <c r="T33" s="1221"/>
      <c r="U33" s="682" t="str">
        <f>Kaspers!#REF!+Kaspers!#REF!</f>
        <v>#ERROR!</v>
      </c>
      <c r="V33" s="1182"/>
      <c r="W33" s="682" t="str">
        <f>Kaspers!#REF!+Kaspers!#REF!</f>
        <v>#ERROR!</v>
      </c>
      <c r="X33" s="1222" t="str">
        <f t="shared" si="12"/>
        <v>#ERROR!</v>
      </c>
      <c r="Y33" s="1223" t="str">
        <f t="shared" si="13"/>
        <v>#ERROR!</v>
      </c>
      <c r="Z33" s="1179"/>
      <c r="AA33" s="1178" t="str">
        <f t="shared" si="14"/>
        <v>#ERROR!</v>
      </c>
    </row>
    <row r="34" ht="15.75" customHeight="1">
      <c r="A34" s="425"/>
      <c r="B34" s="450" t="s">
        <v>249</v>
      </c>
      <c r="C34" s="452"/>
      <c r="D34" s="1177"/>
      <c r="E34" s="684"/>
      <c r="F34" s="1177"/>
      <c r="G34" s="684"/>
      <c r="H34" s="1177"/>
      <c r="I34" s="684"/>
      <c r="J34" s="1197"/>
      <c r="K34" s="684"/>
      <c r="L34" s="1173"/>
      <c r="M34" s="684"/>
      <c r="N34" s="1173"/>
      <c r="O34" s="684"/>
      <c r="P34" s="1173"/>
      <c r="Q34" s="682" t="str">
        <f>Kaspers!#REF!</f>
        <v>#ERROR!</v>
      </c>
      <c r="R34" s="1221"/>
      <c r="S34" s="682" t="str">
        <f>Kaspers!#REF!</f>
        <v>#ERROR!</v>
      </c>
      <c r="T34" s="1221"/>
      <c r="U34" s="682">
        <v>0.0</v>
      </c>
      <c r="V34" s="1182"/>
      <c r="W34" s="682">
        <v>0.0</v>
      </c>
      <c r="X34" s="1222" t="str">
        <f t="shared" si="12"/>
        <v>#ERROR!</v>
      </c>
      <c r="Y34" s="1223" t="str">
        <f t="shared" si="13"/>
        <v>#ERROR!</v>
      </c>
      <c r="Z34" s="1179"/>
      <c r="AA34" s="1178" t="str">
        <f t="shared" si="14"/>
        <v>#ERROR!</v>
      </c>
    </row>
    <row r="35" ht="15.75" customHeight="1">
      <c r="A35" s="425"/>
      <c r="B35" s="450" t="s">
        <v>250</v>
      </c>
      <c r="C35" s="452"/>
      <c r="D35" s="1177"/>
      <c r="E35" s="684"/>
      <c r="F35" s="1177"/>
      <c r="G35" s="684"/>
      <c r="H35" s="1177"/>
      <c r="I35" s="684"/>
      <c r="J35" s="1197"/>
      <c r="K35" s="684"/>
      <c r="L35" s="1173"/>
      <c r="M35" s="684"/>
      <c r="N35" s="1173"/>
      <c r="O35" s="684"/>
      <c r="P35" s="1173"/>
      <c r="Q35" s="682" t="str">
        <f>Kaspers!#REF!</f>
        <v>#ERROR!</v>
      </c>
      <c r="R35" s="1221"/>
      <c r="S35" s="682" t="str">
        <f>Kaspers!#REF!</f>
        <v>#ERROR!</v>
      </c>
      <c r="T35" s="1221"/>
      <c r="U35" s="682" t="str">
        <f>Kaspers!#REF!</f>
        <v>#ERROR!</v>
      </c>
      <c r="V35" s="1182"/>
      <c r="W35" s="682" t="str">
        <f>Kaspers!#REF!</f>
        <v>#ERROR!</v>
      </c>
      <c r="X35" s="1222" t="str">
        <f t="shared" si="12"/>
        <v>#ERROR!</v>
      </c>
      <c r="Y35" s="1223" t="str">
        <f t="shared" si="13"/>
        <v>#ERROR!</v>
      </c>
      <c r="Z35" s="1179"/>
      <c r="AA35" s="1178" t="str">
        <f t="shared" si="14"/>
        <v>#ERROR!</v>
      </c>
    </row>
    <row r="36" ht="15.75" customHeight="1">
      <c r="A36" s="425"/>
      <c r="B36" s="450" t="s">
        <v>252</v>
      </c>
      <c r="C36" s="452"/>
      <c r="D36" s="1177"/>
      <c r="E36" s="684"/>
      <c r="F36" s="1177"/>
      <c r="G36" s="684"/>
      <c r="H36" s="1177"/>
      <c r="I36" s="684"/>
      <c r="J36" s="1197"/>
      <c r="K36" s="684"/>
      <c r="L36" s="1173"/>
      <c r="M36" s="684"/>
      <c r="N36" s="1173"/>
      <c r="O36" s="684"/>
      <c r="P36" s="1173"/>
      <c r="Q36" s="682">
        <v>0.0</v>
      </c>
      <c r="R36" s="1221"/>
      <c r="S36" s="682">
        <v>0.0</v>
      </c>
      <c r="T36" s="1221"/>
      <c r="U36" s="682">
        <v>0.0</v>
      </c>
      <c r="V36" s="1182"/>
      <c r="W36" s="682">
        <v>0.0</v>
      </c>
      <c r="X36" s="1222" t="str">
        <f t="shared" si="12"/>
        <v>#ERROR!</v>
      </c>
      <c r="Y36" s="1223">
        <f t="shared" si="13"/>
        <v>0</v>
      </c>
      <c r="Z36" s="1179"/>
      <c r="AA36" s="1178" t="str">
        <f t="shared" si="14"/>
        <v>#DIV/0!</v>
      </c>
    </row>
    <row r="37" ht="15.75" customHeight="1">
      <c r="A37" s="425"/>
      <c r="B37" s="450" t="s">
        <v>280</v>
      </c>
      <c r="C37" s="452"/>
      <c r="D37" s="1177"/>
      <c r="E37" s="684"/>
      <c r="F37" s="1177"/>
      <c r="G37" s="684"/>
      <c r="H37" s="1177"/>
      <c r="I37" s="684"/>
      <c r="J37" s="1197"/>
      <c r="K37" s="684"/>
      <c r="L37" s="1173"/>
      <c r="M37" s="684"/>
      <c r="N37" s="1173"/>
      <c r="O37" s="684"/>
      <c r="P37" s="1173"/>
      <c r="Q37" s="682">
        <v>0.0</v>
      </c>
      <c r="R37" s="1221"/>
      <c r="S37" s="682">
        <v>0.0</v>
      </c>
      <c r="T37" s="1221"/>
      <c r="U37" s="682">
        <v>0.0</v>
      </c>
      <c r="V37" s="1182"/>
      <c r="W37" s="682">
        <v>0.0</v>
      </c>
      <c r="X37" s="1222" t="str">
        <f t="shared" si="12"/>
        <v>#ERROR!</v>
      </c>
      <c r="Y37" s="1223">
        <f t="shared" si="13"/>
        <v>0</v>
      </c>
      <c r="Z37" s="1179"/>
      <c r="AA37" s="1178" t="str">
        <f t="shared" si="14"/>
        <v>#DIV/0!</v>
      </c>
    </row>
    <row r="38" ht="15.75" customHeight="1">
      <c r="A38" s="425"/>
      <c r="B38" s="450" t="s">
        <v>422</v>
      </c>
      <c r="C38" s="452"/>
      <c r="D38" s="1177"/>
      <c r="E38" s="684"/>
      <c r="F38" s="1177"/>
      <c r="G38" s="682"/>
      <c r="H38" s="1177"/>
      <c r="I38" s="684"/>
      <c r="J38" s="1197"/>
      <c r="K38" s="684"/>
      <c r="L38" s="1173"/>
      <c r="M38" s="684"/>
      <c r="N38" s="1173"/>
      <c r="O38" s="684"/>
      <c r="P38" s="1173"/>
      <c r="Q38" s="682">
        <v>0.0</v>
      </c>
      <c r="R38" s="1221"/>
      <c r="S38" s="682">
        <v>0.0</v>
      </c>
      <c r="T38" s="1221"/>
      <c r="U38" s="682">
        <v>0.0</v>
      </c>
      <c r="V38" s="1182"/>
      <c r="W38" s="682" t="str">
        <f>Kaspers!#REF!</f>
        <v>#ERROR!</v>
      </c>
      <c r="X38" s="1222" t="str">
        <f t="shared" si="12"/>
        <v>#ERROR!</v>
      </c>
      <c r="Y38" s="1223" t="str">
        <f t="shared" si="13"/>
        <v>#ERROR!</v>
      </c>
      <c r="Z38" s="1210"/>
      <c r="AA38" s="1178">
        <v>0.0</v>
      </c>
    </row>
    <row r="39" ht="15.75" customHeight="1">
      <c r="A39" s="425"/>
      <c r="B39" s="450" t="s">
        <v>41</v>
      </c>
      <c r="C39" s="452"/>
      <c r="D39" s="1177"/>
      <c r="E39" s="682"/>
      <c r="F39" s="1177"/>
      <c r="G39" s="682"/>
      <c r="H39" s="1177"/>
      <c r="I39" s="682"/>
      <c r="J39" s="1197"/>
      <c r="K39" s="682"/>
      <c r="L39" s="1173"/>
      <c r="M39" s="682"/>
      <c r="N39" s="1173"/>
      <c r="O39" s="682"/>
      <c r="P39" s="1173"/>
      <c r="Q39" s="682">
        <v>0.0</v>
      </c>
      <c r="R39" s="1182"/>
      <c r="S39" s="682" t="str">
        <f>Kaspers!#REF!+Kaspers!#REF!</f>
        <v>#ERROR!</v>
      </c>
      <c r="T39" s="1221"/>
      <c r="U39" s="682">
        <v>0.0</v>
      </c>
      <c r="V39" s="1182"/>
      <c r="W39" s="682"/>
      <c r="X39" s="1222" t="str">
        <f t="shared" si="12"/>
        <v>#ERROR!</v>
      </c>
      <c r="Y39" s="1223" t="str">
        <f t="shared" si="13"/>
        <v>#ERROR!</v>
      </c>
      <c r="Z39" s="1210"/>
      <c r="AA39" s="1178">
        <v>0.0</v>
      </c>
    </row>
    <row r="40" ht="15.75" customHeight="1">
      <c r="A40" s="425"/>
      <c r="B40" s="468" t="s">
        <v>42</v>
      </c>
      <c r="C40" s="470"/>
      <c r="D40" s="1180"/>
      <c r="E40" s="1181"/>
      <c r="F40" s="1177"/>
      <c r="G40" s="1181"/>
      <c r="H40" s="1177"/>
      <c r="I40" s="1181"/>
      <c r="J40" s="1197"/>
      <c r="K40" s="1181"/>
      <c r="L40" s="1173"/>
      <c r="M40" s="1181"/>
      <c r="N40" s="1173"/>
      <c r="O40" s="1181"/>
      <c r="P40" s="1173"/>
      <c r="Q40" s="1181">
        <v>0.0</v>
      </c>
      <c r="R40" s="1182"/>
      <c r="S40" s="1181">
        <v>0.0</v>
      </c>
      <c r="T40" s="1221"/>
      <c r="U40" s="682">
        <v>0.0</v>
      </c>
      <c r="V40" s="1182"/>
      <c r="W40" s="1181"/>
      <c r="X40" s="1222" t="str">
        <f t="shared" si="12"/>
        <v>#ERROR!</v>
      </c>
      <c r="Y40" s="1223">
        <f t="shared" si="13"/>
        <v>0</v>
      </c>
      <c r="Z40" s="1211"/>
      <c r="AA40" s="1178">
        <v>0.0</v>
      </c>
    </row>
    <row r="41" ht="15.75" customHeight="1">
      <c r="A41" s="425"/>
      <c r="B41" s="1165" t="s">
        <v>43</v>
      </c>
      <c r="C41" s="1185">
        <f>SUM(C25:C40)</f>
        <v>0</v>
      </c>
      <c r="D41" s="1186" t="str">
        <f>C41/$C$15</f>
        <v>#DIV/0!</v>
      </c>
      <c r="E41" s="1202">
        <f>SUM(E25:E40)</f>
        <v>0</v>
      </c>
      <c r="F41" s="1186" t="str">
        <f>E41/E15</f>
        <v>#DIV/0!</v>
      </c>
      <c r="G41" s="1202">
        <f>SUM(G25:G40)</f>
        <v>0</v>
      </c>
      <c r="H41" s="1187" t="str">
        <f>G41/G15</f>
        <v>#DIV/0!</v>
      </c>
      <c r="I41" s="1202">
        <f>SUM(I25:I40)</f>
        <v>0</v>
      </c>
      <c r="J41" s="1187" t="str">
        <f>I41/I15</f>
        <v>#DIV/0!</v>
      </c>
      <c r="K41" s="1202">
        <f>SUM(K25:K40)</f>
        <v>0</v>
      </c>
      <c r="L41" s="1209"/>
      <c r="M41" s="1202">
        <f>SUM(M25:M40)</f>
        <v>0</v>
      </c>
      <c r="N41" s="1186" t="str">
        <f>M41/$M$15</f>
        <v>#DIV/0!</v>
      </c>
      <c r="O41" s="1202">
        <f>SUM(O25:O40)</f>
        <v>0</v>
      </c>
      <c r="P41" s="1186" t="str">
        <f>O41/O15</f>
        <v>#DIV/0!</v>
      </c>
      <c r="Q41" s="1202" t="str">
        <f>SUM(Q25:Q40)</f>
        <v>#ERROR!</v>
      </c>
      <c r="R41" s="1186" t="str">
        <f>Q41/Q15</f>
        <v>#ERROR!</v>
      </c>
      <c r="S41" s="1202" t="str">
        <f>SUM(S25:S40)</f>
        <v>#ERROR!</v>
      </c>
      <c r="T41" s="1186" t="str">
        <f>S41/S15</f>
        <v>#ERROR!</v>
      </c>
      <c r="U41" s="1202" t="str">
        <f>SUM(U25:U40)</f>
        <v>#ERROR!</v>
      </c>
      <c r="V41" s="1186" t="str">
        <f>U41/U15</f>
        <v>#ERROR!</v>
      </c>
      <c r="W41" s="1202" t="str">
        <f>SUM(W25:W40)</f>
        <v>#ERROR!</v>
      </c>
      <c r="X41" s="1187" t="str">
        <f>W41/W15</f>
        <v>#ERROR!</v>
      </c>
      <c r="Y41" s="1188" t="str">
        <f t="shared" ref="Y41:Z41" si="15">SUM(Y25:Y40)</f>
        <v>#ERROR!</v>
      </c>
      <c r="Z41" s="1188">
        <f t="shared" si="15"/>
        <v>0</v>
      </c>
      <c r="AA41" s="1189" t="str">
        <f>Y41/Z41</f>
        <v>#ERROR!</v>
      </c>
    </row>
    <row r="42" ht="15.75" customHeight="1">
      <c r="A42" s="425"/>
      <c r="B42" s="508"/>
      <c r="C42" s="494"/>
      <c r="D42" s="1203"/>
      <c r="E42" s="1204"/>
      <c r="F42" s="1203"/>
      <c r="G42" s="1204"/>
      <c r="H42" s="1203"/>
      <c r="I42" s="1212"/>
      <c r="J42" s="1213"/>
      <c r="K42" s="1204"/>
      <c r="L42" s="1203"/>
      <c r="M42" s="1204"/>
      <c r="N42" s="1203"/>
      <c r="O42" s="1204"/>
      <c r="P42" s="1203"/>
      <c r="Q42" s="1204"/>
      <c r="R42" s="1203"/>
      <c r="S42" s="1204"/>
      <c r="T42" s="1203"/>
      <c r="U42" s="1204"/>
      <c r="V42" s="1203"/>
      <c r="W42" s="1212"/>
      <c r="X42" s="1213"/>
      <c r="Y42" s="1207"/>
      <c r="Z42" s="1207"/>
      <c r="AA42" s="1208"/>
    </row>
    <row r="43" ht="15.75" customHeight="1">
      <c r="A43" s="425"/>
      <c r="B43" s="1165" t="s">
        <v>44</v>
      </c>
      <c r="C43" s="1185">
        <f>C23-C41</f>
        <v>0</v>
      </c>
      <c r="D43" s="1186" t="str">
        <f>C43/$C$15</f>
        <v>#DIV/0!</v>
      </c>
      <c r="E43" s="1202">
        <f>E23-E41</f>
        <v>0</v>
      </c>
      <c r="F43" s="1186" t="str">
        <f>E43/E15</f>
        <v>#DIV/0!</v>
      </c>
      <c r="G43" s="1202">
        <f>G23-G41</f>
        <v>0</v>
      </c>
      <c r="H43" s="1187" t="str">
        <f>G43/G15</f>
        <v>#DIV/0!</v>
      </c>
      <c r="I43" s="1214">
        <f>I23-I41</f>
        <v>0</v>
      </c>
      <c r="J43" s="1187" t="str">
        <f>I43/I15</f>
        <v>#DIV/0!</v>
      </c>
      <c r="K43" s="1202">
        <f>K23-K41</f>
        <v>0</v>
      </c>
      <c r="L43" s="1209"/>
      <c r="M43" s="1202">
        <f>M23-M41</f>
        <v>0</v>
      </c>
      <c r="N43" s="1186" t="str">
        <f>M43/$M$15</f>
        <v>#DIV/0!</v>
      </c>
      <c r="O43" s="1202">
        <f>O23-O41</f>
        <v>0</v>
      </c>
      <c r="P43" s="1186" t="str">
        <f>O43/O15</f>
        <v>#DIV/0!</v>
      </c>
      <c r="Q43" s="1202" t="str">
        <f>Q23-Q41</f>
        <v>#ERROR!</v>
      </c>
      <c r="R43" s="1186" t="str">
        <f>Q43/Q15</f>
        <v>#ERROR!</v>
      </c>
      <c r="S43" s="1202" t="str">
        <f>S23-S41</f>
        <v>#ERROR!</v>
      </c>
      <c r="T43" s="1186" t="str">
        <f>S43/S15</f>
        <v>#ERROR!</v>
      </c>
      <c r="U43" s="1202" t="str">
        <f>U23-U41</f>
        <v>#ERROR!</v>
      </c>
      <c r="V43" s="1186" t="str">
        <f>U43/U15</f>
        <v>#ERROR!</v>
      </c>
      <c r="W43" s="1202" t="str">
        <f>W23-W41</f>
        <v>#ERROR!</v>
      </c>
      <c r="X43" s="1186" t="str">
        <f>W43/W15</f>
        <v>#ERROR!</v>
      </c>
      <c r="Y43" s="1188" t="str">
        <f t="shared" ref="Y43:Z43" si="16">Y23-Y41</f>
        <v>#ERROR!</v>
      </c>
      <c r="Z43" s="1188">
        <f t="shared" si="16"/>
        <v>0</v>
      </c>
      <c r="AA43" s="1189" t="str">
        <f>Y43/Z43</f>
        <v>#ERROR!</v>
      </c>
    </row>
    <row r="44" ht="15.75" customHeight="1">
      <c r="A44" s="425"/>
      <c r="B44" s="425"/>
      <c r="C44" s="1162"/>
      <c r="D44" s="1162"/>
      <c r="E44" s="1162"/>
      <c r="F44" s="1162"/>
      <c r="G44" s="1162"/>
      <c r="H44" s="1162"/>
      <c r="I44" s="1162"/>
      <c r="J44" s="1162"/>
      <c r="K44" s="1162"/>
      <c r="L44" s="1162"/>
      <c r="M44" s="1162"/>
      <c r="N44" s="1162"/>
      <c r="O44" s="1162"/>
      <c r="P44" s="1162"/>
      <c r="Q44" s="1162"/>
      <c r="R44" s="1162"/>
      <c r="S44" s="1162"/>
      <c r="T44" s="1162"/>
      <c r="U44" s="1162"/>
      <c r="V44" s="1162"/>
      <c r="W44" s="1162"/>
      <c r="X44" s="1162"/>
      <c r="Y44" s="1163"/>
      <c r="Z44" s="1163"/>
      <c r="AA44" s="1162"/>
    </row>
    <row r="45" ht="15.75" customHeight="1">
      <c r="A45" s="425"/>
      <c r="B45" s="425"/>
      <c r="C45" s="1215"/>
      <c r="D45" s="1215"/>
      <c r="E45" s="1215"/>
      <c r="F45" s="1215"/>
      <c r="G45" s="1215"/>
      <c r="H45" s="1215"/>
      <c r="I45" s="1215"/>
      <c r="J45" s="1215"/>
      <c r="K45" s="1215"/>
      <c r="L45" s="1215"/>
      <c r="M45" s="1215"/>
      <c r="N45" s="1215"/>
      <c r="O45" s="1215"/>
      <c r="P45" s="1215"/>
      <c r="Q45" s="1215" t="str">
        <f>Kaspers!#REF!</f>
        <v>#ERROR!</v>
      </c>
      <c r="R45" s="1215"/>
      <c r="S45" s="1215" t="str">
        <f>Kaspers!#REF!</f>
        <v>#ERROR!</v>
      </c>
      <c r="T45" s="1215"/>
      <c r="U45" s="1215" t="str">
        <f>Kaspers!#REF!</f>
        <v>#ERROR!</v>
      </c>
      <c r="V45" s="1215"/>
      <c r="W45" s="1215" t="str">
        <f>Kaspers!#REF!</f>
        <v>#ERROR!</v>
      </c>
      <c r="X45" s="1215"/>
      <c r="Y45" s="1216"/>
      <c r="Z45" s="1216"/>
      <c r="AA45" s="1215"/>
    </row>
    <row r="46" ht="15.75" customHeight="1">
      <c r="A46" s="425"/>
      <c r="B46" s="425"/>
      <c r="C46" s="1217">
        <f>+C43-C45</f>
        <v>0</v>
      </c>
      <c r="D46" s="1162"/>
      <c r="E46" s="1217">
        <f>+E43-E45</f>
        <v>0</v>
      </c>
      <c r="F46" s="1162"/>
      <c r="G46" s="1217">
        <f>+G43-G45</f>
        <v>0</v>
      </c>
      <c r="H46" s="1162"/>
      <c r="I46" s="1217">
        <f>+I43-I45</f>
        <v>0</v>
      </c>
      <c r="J46" s="1162"/>
      <c r="K46" s="1217">
        <f>+K43-K45</f>
        <v>0</v>
      </c>
      <c r="L46" s="1162"/>
      <c r="M46" s="1215">
        <f>+M43-M45</f>
        <v>0</v>
      </c>
      <c r="N46" s="1162"/>
      <c r="O46" s="1215">
        <f>+O43-O45</f>
        <v>0</v>
      </c>
      <c r="P46" s="1162"/>
      <c r="Q46" s="1215" t="str">
        <f>+Q43-Q45</f>
        <v>#ERROR!</v>
      </c>
      <c r="R46" s="1162"/>
      <c r="S46" s="1215" t="str">
        <f>+S43-S45</f>
        <v>#ERROR!</v>
      </c>
      <c r="T46" s="1162"/>
      <c r="U46" s="1215" t="str">
        <f>+U43-U45</f>
        <v>#ERROR!</v>
      </c>
      <c r="V46" s="1162"/>
      <c r="W46" s="1215" t="str">
        <f>+W43-W45</f>
        <v>#ERROR!</v>
      </c>
      <c r="X46" s="1162"/>
      <c r="Y46" s="1218"/>
      <c r="Z46" s="1163"/>
      <c r="AA46" s="1162"/>
    </row>
    <row r="47" ht="15.75" customHeight="1">
      <c r="A47" s="425"/>
      <c r="B47" s="425"/>
      <c r="C47" s="1162"/>
      <c r="D47" s="1162"/>
      <c r="E47" s="1162"/>
      <c r="F47" s="1162"/>
      <c r="G47" s="1162"/>
      <c r="H47" s="1162"/>
      <c r="I47" s="1162"/>
      <c r="J47" s="1162"/>
      <c r="K47" s="1162"/>
      <c r="L47" s="1162"/>
      <c r="M47" s="1162"/>
      <c r="N47" s="1162"/>
      <c r="O47" s="1162"/>
      <c r="P47" s="1162"/>
      <c r="Q47" s="1162"/>
      <c r="R47" s="1162"/>
      <c r="S47" s="1162"/>
      <c r="T47" s="1162"/>
      <c r="U47" s="1162"/>
      <c r="V47" s="1162"/>
      <c r="W47" s="1162"/>
      <c r="X47" s="1162"/>
      <c r="Y47" s="1163"/>
      <c r="Z47" s="1163"/>
      <c r="AA47" s="1162"/>
    </row>
    <row r="48" ht="15.75" customHeight="1">
      <c r="A48" s="425"/>
      <c r="B48" s="425"/>
      <c r="C48" s="1162"/>
      <c r="D48" s="1162"/>
      <c r="E48" s="1162"/>
      <c r="F48" s="1162"/>
      <c r="G48" s="1162"/>
      <c r="H48" s="1162"/>
      <c r="I48" s="1162"/>
      <c r="J48" s="1162"/>
      <c r="K48" s="1162"/>
      <c r="L48" s="1162"/>
      <c r="M48" s="1162"/>
      <c r="N48" s="1162"/>
      <c r="O48" s="1162"/>
      <c r="P48" s="1162"/>
      <c r="Q48" s="1162"/>
      <c r="R48" s="1162"/>
      <c r="S48" s="1162"/>
      <c r="T48" s="1162"/>
      <c r="U48" s="1162"/>
      <c r="V48" s="1162"/>
      <c r="W48" s="1162"/>
      <c r="X48" s="1162"/>
      <c r="Y48" s="1163"/>
      <c r="Z48" s="1163"/>
      <c r="AA48" s="1162"/>
    </row>
    <row r="49" ht="15.75" customHeight="1">
      <c r="A49" s="425"/>
      <c r="B49" s="425"/>
      <c r="C49" s="1162"/>
      <c r="D49" s="1162"/>
      <c r="E49" s="1162"/>
      <c r="F49" s="1162"/>
      <c r="G49" s="1162"/>
      <c r="H49" s="1162"/>
      <c r="I49" s="1162"/>
      <c r="J49" s="1162"/>
      <c r="K49" s="1162"/>
      <c r="L49" s="1162"/>
      <c r="M49" s="1162"/>
      <c r="N49" s="1162"/>
      <c r="O49" s="1162"/>
      <c r="P49" s="1162"/>
      <c r="Q49" s="1162"/>
      <c r="R49" s="1162"/>
      <c r="S49" s="1162"/>
      <c r="T49" s="1162"/>
      <c r="U49" s="1162"/>
      <c r="V49" s="1162"/>
      <c r="W49" s="1162"/>
      <c r="X49" s="1162"/>
      <c r="Y49" s="1163"/>
      <c r="Z49" s="1163"/>
      <c r="AA49" s="1162"/>
    </row>
    <row r="50" ht="15.75" customHeight="1">
      <c r="A50" s="425"/>
      <c r="B50" s="425"/>
      <c r="C50" s="1162"/>
      <c r="D50" s="1162"/>
      <c r="E50" s="1162"/>
      <c r="F50" s="1162"/>
      <c r="G50" s="1162"/>
      <c r="H50" s="1162"/>
      <c r="I50" s="1162"/>
      <c r="J50" s="1162"/>
      <c r="K50" s="1162"/>
      <c r="L50" s="1162"/>
      <c r="M50" s="1162"/>
      <c r="N50" s="1162"/>
      <c r="O50" s="1162"/>
      <c r="P50" s="1162"/>
      <c r="Q50" s="1162"/>
      <c r="R50" s="1162"/>
      <c r="S50" s="1162"/>
      <c r="T50" s="1162"/>
      <c r="U50" s="1162"/>
      <c r="V50" s="1162"/>
      <c r="W50" s="1162"/>
      <c r="X50" s="1162"/>
      <c r="Y50" s="1163"/>
      <c r="Z50" s="1163"/>
      <c r="AA50" s="1162"/>
    </row>
    <row r="51" ht="15.75" customHeight="1">
      <c r="A51" s="425"/>
      <c r="B51" s="425"/>
      <c r="C51" s="1162"/>
      <c r="D51" s="1162"/>
      <c r="E51" s="1162"/>
      <c r="F51" s="1162"/>
      <c r="G51" s="1162"/>
      <c r="H51" s="1162"/>
      <c r="I51" s="1162"/>
      <c r="J51" s="1162"/>
      <c r="K51" s="1162"/>
      <c r="L51" s="1162"/>
      <c r="M51" s="1162"/>
      <c r="N51" s="1162"/>
      <c r="O51" s="1162"/>
      <c r="P51" s="1162"/>
      <c r="Q51" s="1162"/>
      <c r="R51" s="1162"/>
      <c r="S51" s="1162"/>
      <c r="T51" s="1162"/>
      <c r="U51" s="1162"/>
      <c r="V51" s="1162"/>
      <c r="W51" s="1162"/>
      <c r="X51" s="1162"/>
      <c r="Y51" s="1163"/>
      <c r="Z51" s="1163"/>
      <c r="AA51" s="1162"/>
    </row>
    <row r="52" ht="15.75" customHeight="1">
      <c r="A52" s="425"/>
      <c r="B52" s="425"/>
      <c r="C52" s="1162"/>
      <c r="D52" s="1162"/>
      <c r="E52" s="1162"/>
      <c r="F52" s="1162"/>
      <c r="G52" s="1162"/>
      <c r="H52" s="1162"/>
      <c r="I52" s="1162"/>
      <c r="J52" s="1162"/>
      <c r="K52" s="1162"/>
      <c r="L52" s="1162"/>
      <c r="M52" s="1162"/>
      <c r="N52" s="1162"/>
      <c r="O52" s="1162"/>
      <c r="P52" s="1162"/>
      <c r="Q52" s="1162"/>
      <c r="R52" s="1162"/>
      <c r="S52" s="1162"/>
      <c r="T52" s="1162"/>
      <c r="U52" s="1162"/>
      <c r="V52" s="1162"/>
      <c r="W52" s="1162"/>
      <c r="X52" s="1162"/>
      <c r="Y52" s="1163"/>
      <c r="Z52" s="1163"/>
      <c r="AA52" s="1162"/>
    </row>
    <row r="53" ht="15.75" customHeight="1">
      <c r="A53" s="425"/>
      <c r="B53" s="425"/>
      <c r="C53" s="1162"/>
      <c r="D53" s="1162"/>
      <c r="E53" s="1162"/>
      <c r="F53" s="1162"/>
      <c r="G53" s="1162"/>
      <c r="H53" s="1162"/>
      <c r="I53" s="1162"/>
      <c r="J53" s="1162"/>
      <c r="K53" s="1162"/>
      <c r="L53" s="1162"/>
      <c r="M53" s="1162"/>
      <c r="N53" s="1162"/>
      <c r="O53" s="1162"/>
      <c r="P53" s="1162"/>
      <c r="Q53" s="1162"/>
      <c r="R53" s="1162"/>
      <c r="S53" s="1162"/>
      <c r="T53" s="1162"/>
      <c r="U53" s="1162"/>
      <c r="V53" s="1162"/>
      <c r="W53" s="1162"/>
      <c r="X53" s="1162"/>
      <c r="Y53" s="1163"/>
      <c r="Z53" s="1163"/>
      <c r="AA53" s="1162"/>
    </row>
    <row r="54" ht="15.75" customHeight="1">
      <c r="A54" s="425"/>
      <c r="B54" s="425"/>
      <c r="C54" s="1162"/>
      <c r="D54" s="1162"/>
      <c r="E54" s="1162"/>
      <c r="F54" s="1162"/>
      <c r="G54" s="1162"/>
      <c r="H54" s="1162"/>
      <c r="I54" s="1162"/>
      <c r="J54" s="1162"/>
      <c r="K54" s="1162"/>
      <c r="L54" s="1162"/>
      <c r="M54" s="1162"/>
      <c r="N54" s="1162"/>
      <c r="O54" s="1162"/>
      <c r="P54" s="1162"/>
      <c r="Q54" s="1162"/>
      <c r="R54" s="1162"/>
      <c r="S54" s="1162"/>
      <c r="T54" s="1162"/>
      <c r="U54" s="1162"/>
      <c r="V54" s="1162"/>
      <c r="W54" s="1162"/>
      <c r="X54" s="1162"/>
      <c r="Y54" s="1163"/>
      <c r="Z54" s="1163"/>
      <c r="AA54" s="1162"/>
    </row>
    <row r="55" ht="15.75" customHeight="1">
      <c r="A55" s="425"/>
      <c r="B55" s="425"/>
      <c r="C55" s="1162"/>
      <c r="D55" s="1162"/>
      <c r="E55" s="1162"/>
      <c r="F55" s="1162"/>
      <c r="G55" s="1162"/>
      <c r="H55" s="1162"/>
      <c r="I55" s="1162"/>
      <c r="J55" s="1162"/>
      <c r="K55" s="1162"/>
      <c r="L55" s="1162"/>
      <c r="M55" s="1162"/>
      <c r="N55" s="1162"/>
      <c r="O55" s="1162"/>
      <c r="P55" s="1162"/>
      <c r="Q55" s="1162"/>
      <c r="R55" s="1162"/>
      <c r="S55" s="1162"/>
      <c r="T55" s="1162"/>
      <c r="U55" s="1162"/>
      <c r="V55" s="1162"/>
      <c r="W55" s="1162"/>
      <c r="X55" s="1162"/>
      <c r="Y55" s="1163"/>
      <c r="Z55" s="1163"/>
      <c r="AA55" s="1162"/>
    </row>
    <row r="56" ht="15.75" customHeight="1">
      <c r="A56" s="425"/>
      <c r="B56" s="425"/>
      <c r="C56" s="1162"/>
      <c r="D56" s="1162"/>
      <c r="E56" s="1162"/>
      <c r="F56" s="1162"/>
      <c r="G56" s="1162"/>
      <c r="H56" s="1162"/>
      <c r="I56" s="1162"/>
      <c r="J56" s="1162"/>
      <c r="K56" s="1162"/>
      <c r="L56" s="1162"/>
      <c r="M56" s="1162"/>
      <c r="N56" s="1162"/>
      <c r="O56" s="1162"/>
      <c r="P56" s="1162"/>
      <c r="Q56" s="1162"/>
      <c r="R56" s="1162"/>
      <c r="S56" s="1162"/>
      <c r="T56" s="1162"/>
      <c r="U56" s="1162"/>
      <c r="V56" s="1162"/>
      <c r="W56" s="1162"/>
      <c r="X56" s="1162"/>
      <c r="Y56" s="1163"/>
      <c r="Z56" s="1163"/>
      <c r="AA56" s="1162"/>
    </row>
    <row r="57" ht="15.75" customHeight="1">
      <c r="A57" s="425"/>
      <c r="B57" s="425"/>
      <c r="C57" s="1162"/>
      <c r="D57" s="1162"/>
      <c r="E57" s="1162"/>
      <c r="F57" s="1162"/>
      <c r="G57" s="1162"/>
      <c r="H57" s="1162"/>
      <c r="I57" s="1162"/>
      <c r="J57" s="1162"/>
      <c r="K57" s="1162"/>
      <c r="L57" s="1162"/>
      <c r="M57" s="1162"/>
      <c r="N57" s="1162"/>
      <c r="O57" s="1162"/>
      <c r="P57" s="1162"/>
      <c r="Q57" s="1162"/>
      <c r="R57" s="1162"/>
      <c r="S57" s="1162"/>
      <c r="T57" s="1162"/>
      <c r="U57" s="1162"/>
      <c r="V57" s="1162"/>
      <c r="W57" s="1162"/>
      <c r="X57" s="1162"/>
      <c r="Y57" s="1163"/>
      <c r="Z57" s="1163"/>
      <c r="AA57" s="1162"/>
    </row>
    <row r="58" ht="15.75" customHeight="1">
      <c r="A58" s="425"/>
      <c r="B58" s="425"/>
      <c r="C58" s="1162"/>
      <c r="D58" s="1162"/>
      <c r="E58" s="1162"/>
      <c r="F58" s="1162"/>
      <c r="G58" s="1162"/>
      <c r="H58" s="1162"/>
      <c r="I58" s="1162"/>
      <c r="J58" s="1162"/>
      <c r="K58" s="1162"/>
      <c r="L58" s="1162"/>
      <c r="M58" s="1162"/>
      <c r="N58" s="1162"/>
      <c r="O58" s="1162"/>
      <c r="P58" s="1162"/>
      <c r="Q58" s="1162"/>
      <c r="R58" s="1162"/>
      <c r="S58" s="1162"/>
      <c r="T58" s="1162"/>
      <c r="U58" s="1162"/>
      <c r="V58" s="1162"/>
      <c r="W58" s="1162"/>
      <c r="X58" s="1162"/>
      <c r="Y58" s="1163"/>
      <c r="Z58" s="1163"/>
      <c r="AA58" s="1162"/>
    </row>
    <row r="59" ht="15.75" customHeight="1">
      <c r="A59" s="425"/>
      <c r="B59" s="425"/>
      <c r="C59" s="1162"/>
      <c r="D59" s="1162"/>
      <c r="E59" s="1162"/>
      <c r="F59" s="1162"/>
      <c r="G59" s="1162"/>
      <c r="H59" s="1162"/>
      <c r="I59" s="1162"/>
      <c r="J59" s="1162"/>
      <c r="K59" s="1162"/>
      <c r="L59" s="1162"/>
      <c r="M59" s="1162"/>
      <c r="N59" s="1162"/>
      <c r="O59" s="1162"/>
      <c r="P59" s="1162"/>
      <c r="Q59" s="1162"/>
      <c r="R59" s="1162"/>
      <c r="S59" s="1162"/>
      <c r="T59" s="1162"/>
      <c r="U59" s="1162"/>
      <c r="V59" s="1162"/>
      <c r="W59" s="1162"/>
      <c r="X59" s="1162"/>
      <c r="Y59" s="1163"/>
      <c r="Z59" s="1163"/>
      <c r="AA59" s="1162"/>
    </row>
    <row r="60" ht="15.75" customHeight="1">
      <c r="A60" s="425"/>
      <c r="B60" s="425"/>
      <c r="C60" s="1162"/>
      <c r="D60" s="1162"/>
      <c r="E60" s="1162"/>
      <c r="F60" s="1162"/>
      <c r="G60" s="1162"/>
      <c r="H60" s="1162"/>
      <c r="I60" s="1162"/>
      <c r="J60" s="1162"/>
      <c r="K60" s="1162"/>
      <c r="L60" s="1162"/>
      <c r="M60" s="1162"/>
      <c r="N60" s="1162"/>
      <c r="O60" s="1162"/>
      <c r="P60" s="1162"/>
      <c r="Q60" s="1162"/>
      <c r="R60" s="1162"/>
      <c r="S60" s="1162"/>
      <c r="T60" s="1162"/>
      <c r="U60" s="1162"/>
      <c r="V60" s="1162"/>
      <c r="W60" s="1162"/>
      <c r="X60" s="1162"/>
      <c r="Y60" s="1163"/>
      <c r="Z60" s="1163"/>
      <c r="AA60" s="1162"/>
    </row>
    <row r="61" ht="15.75" customHeight="1">
      <c r="A61" s="425"/>
      <c r="B61" s="425"/>
      <c r="C61" s="1162"/>
      <c r="D61" s="1162"/>
      <c r="E61" s="1162"/>
      <c r="F61" s="1162"/>
      <c r="G61" s="1162"/>
      <c r="H61" s="1162"/>
      <c r="I61" s="1162"/>
      <c r="J61" s="1162"/>
      <c r="K61" s="1162"/>
      <c r="L61" s="1162"/>
      <c r="M61" s="1162"/>
      <c r="N61" s="1162"/>
      <c r="O61" s="1162"/>
      <c r="P61" s="1162"/>
      <c r="Q61" s="1162"/>
      <c r="R61" s="1162"/>
      <c r="S61" s="1162"/>
      <c r="T61" s="1162"/>
      <c r="U61" s="1162"/>
      <c r="V61" s="1162"/>
      <c r="W61" s="1162"/>
      <c r="X61" s="1162"/>
      <c r="Y61" s="1163"/>
      <c r="Z61" s="1163"/>
      <c r="AA61" s="1162"/>
    </row>
    <row r="62" ht="15.75" customHeight="1">
      <c r="A62" s="425"/>
      <c r="B62" s="425"/>
      <c r="C62" s="1162"/>
      <c r="D62" s="1162"/>
      <c r="E62" s="1162"/>
      <c r="F62" s="1162"/>
      <c r="G62" s="1162"/>
      <c r="H62" s="1162"/>
      <c r="I62" s="1162"/>
      <c r="J62" s="1162"/>
      <c r="K62" s="1162"/>
      <c r="L62" s="1162"/>
      <c r="M62" s="1162"/>
      <c r="N62" s="1162"/>
      <c r="O62" s="1162"/>
      <c r="P62" s="1162"/>
      <c r="Q62" s="1162"/>
      <c r="R62" s="1162"/>
      <c r="S62" s="1162"/>
      <c r="T62" s="1162"/>
      <c r="U62" s="1162"/>
      <c r="V62" s="1162"/>
      <c r="W62" s="1162"/>
      <c r="X62" s="1162"/>
      <c r="Y62" s="1163"/>
      <c r="Z62" s="1163"/>
      <c r="AA62" s="1162"/>
    </row>
    <row r="63" ht="15.75" customHeight="1">
      <c r="A63" s="425"/>
      <c r="B63" s="425"/>
      <c r="C63" s="1162"/>
      <c r="D63" s="1162"/>
      <c r="E63" s="1162"/>
      <c r="F63" s="1162"/>
      <c r="G63" s="1162"/>
      <c r="H63" s="1162"/>
      <c r="I63" s="1162"/>
      <c r="J63" s="1162"/>
      <c r="K63" s="1162"/>
      <c r="L63" s="1162"/>
      <c r="M63" s="1162"/>
      <c r="N63" s="1162"/>
      <c r="O63" s="1162"/>
      <c r="P63" s="1162"/>
      <c r="Q63" s="1162"/>
      <c r="R63" s="1162"/>
      <c r="S63" s="1162"/>
      <c r="T63" s="1162"/>
      <c r="U63" s="1162"/>
      <c r="V63" s="1162"/>
      <c r="W63" s="1162"/>
      <c r="X63" s="1162"/>
      <c r="Y63" s="1163"/>
      <c r="Z63" s="1163"/>
      <c r="AA63" s="1162"/>
    </row>
    <row r="64" ht="15.75" customHeight="1">
      <c r="A64" s="425"/>
      <c r="B64" s="425"/>
      <c r="C64" s="1162"/>
      <c r="D64" s="1162"/>
      <c r="E64" s="1162"/>
      <c r="F64" s="1162"/>
      <c r="G64" s="1162"/>
      <c r="H64" s="1162"/>
      <c r="I64" s="1162"/>
      <c r="J64" s="1162"/>
      <c r="K64" s="1162"/>
      <c r="L64" s="1162"/>
      <c r="M64" s="1162"/>
      <c r="N64" s="1162"/>
      <c r="O64" s="1162"/>
      <c r="P64" s="1162"/>
      <c r="Q64" s="1162"/>
      <c r="R64" s="1162"/>
      <c r="S64" s="1162"/>
      <c r="T64" s="1162"/>
      <c r="U64" s="1162"/>
      <c r="V64" s="1162"/>
      <c r="W64" s="1162"/>
      <c r="X64" s="1162"/>
      <c r="Y64" s="1163"/>
      <c r="Z64" s="1163"/>
      <c r="AA64" s="1162"/>
    </row>
    <row r="65" ht="15.75" customHeight="1">
      <c r="A65" s="425"/>
      <c r="B65" s="425"/>
      <c r="C65" s="1162"/>
      <c r="D65" s="1162"/>
      <c r="E65" s="1162"/>
      <c r="F65" s="1162"/>
      <c r="G65" s="1162"/>
      <c r="H65" s="1162"/>
      <c r="I65" s="1162"/>
      <c r="J65" s="1162"/>
      <c r="K65" s="1162"/>
      <c r="L65" s="1162"/>
      <c r="M65" s="1162"/>
      <c r="N65" s="1162"/>
      <c r="O65" s="1162"/>
      <c r="P65" s="1162"/>
      <c r="Q65" s="1162"/>
      <c r="R65" s="1162"/>
      <c r="S65" s="1162"/>
      <c r="T65" s="1162"/>
      <c r="U65" s="1162"/>
      <c r="V65" s="1162"/>
      <c r="W65" s="1162"/>
      <c r="X65" s="1162"/>
      <c r="Y65" s="1163"/>
      <c r="Z65" s="1163"/>
      <c r="AA65" s="1162"/>
    </row>
    <row r="66" ht="15.75" customHeight="1">
      <c r="A66" s="425"/>
      <c r="B66" s="425"/>
      <c r="C66" s="1162"/>
      <c r="D66" s="1162"/>
      <c r="E66" s="1162"/>
      <c r="F66" s="1162"/>
      <c r="G66" s="1162"/>
      <c r="H66" s="1162"/>
      <c r="I66" s="1162"/>
      <c r="J66" s="1162"/>
      <c r="K66" s="1162"/>
      <c r="L66" s="1162"/>
      <c r="M66" s="1162"/>
      <c r="N66" s="1162"/>
      <c r="O66" s="1162"/>
      <c r="P66" s="1162"/>
      <c r="Q66" s="1162"/>
      <c r="R66" s="1162"/>
      <c r="S66" s="1162"/>
      <c r="T66" s="1162"/>
      <c r="U66" s="1162"/>
      <c r="V66" s="1162"/>
      <c r="W66" s="1162"/>
      <c r="X66" s="1162"/>
      <c r="Y66" s="1163"/>
      <c r="Z66" s="1163"/>
      <c r="AA66" s="1162"/>
    </row>
    <row r="67" ht="15.75" customHeight="1">
      <c r="A67" s="425"/>
      <c r="B67" s="425"/>
      <c r="C67" s="1162"/>
      <c r="D67" s="1162"/>
      <c r="E67" s="1162"/>
      <c r="F67" s="1162"/>
      <c r="G67" s="1162"/>
      <c r="H67" s="1162"/>
      <c r="I67" s="1162"/>
      <c r="J67" s="1162"/>
      <c r="K67" s="1162"/>
      <c r="L67" s="1162"/>
      <c r="M67" s="1162"/>
      <c r="N67" s="1162"/>
      <c r="O67" s="1162"/>
      <c r="P67" s="1162"/>
      <c r="Q67" s="1162"/>
      <c r="R67" s="1162"/>
      <c r="S67" s="1162"/>
      <c r="T67" s="1162"/>
      <c r="U67" s="1162"/>
      <c r="V67" s="1162"/>
      <c r="W67" s="1162"/>
      <c r="X67" s="1162"/>
      <c r="Y67" s="1163"/>
      <c r="Z67" s="1163"/>
      <c r="AA67" s="1162"/>
    </row>
    <row r="68" ht="15.75" customHeight="1">
      <c r="A68" s="425"/>
      <c r="B68" s="425"/>
      <c r="C68" s="1162"/>
      <c r="D68" s="1162"/>
      <c r="E68" s="1162"/>
      <c r="F68" s="1162"/>
      <c r="G68" s="1162"/>
      <c r="H68" s="1162"/>
      <c r="I68" s="1162"/>
      <c r="J68" s="1162"/>
      <c r="K68" s="1162"/>
      <c r="L68" s="1162"/>
      <c r="M68" s="1162"/>
      <c r="N68" s="1162"/>
      <c r="O68" s="1162"/>
      <c r="P68" s="1162"/>
      <c r="Q68" s="1162"/>
      <c r="R68" s="1162"/>
      <c r="S68" s="1162"/>
      <c r="T68" s="1162"/>
      <c r="U68" s="1162"/>
      <c r="V68" s="1162"/>
      <c r="W68" s="1162"/>
      <c r="X68" s="1162"/>
      <c r="Y68" s="1163"/>
      <c r="Z68" s="1163"/>
      <c r="AA68" s="1162"/>
    </row>
    <row r="69" ht="15.75" customHeight="1">
      <c r="A69" s="425"/>
      <c r="B69" s="425"/>
      <c r="C69" s="1162"/>
      <c r="D69" s="1162"/>
      <c r="E69" s="1162"/>
      <c r="F69" s="1162"/>
      <c r="G69" s="1162"/>
      <c r="H69" s="1162"/>
      <c r="I69" s="1162"/>
      <c r="J69" s="1162"/>
      <c r="K69" s="1162"/>
      <c r="L69" s="1162"/>
      <c r="M69" s="1162"/>
      <c r="N69" s="1162"/>
      <c r="O69" s="1162"/>
      <c r="P69" s="1162"/>
      <c r="Q69" s="1162"/>
      <c r="R69" s="1162"/>
      <c r="S69" s="1162"/>
      <c r="T69" s="1162"/>
      <c r="U69" s="1162"/>
      <c r="V69" s="1162"/>
      <c r="W69" s="1162"/>
      <c r="X69" s="1162"/>
      <c r="Y69" s="1163"/>
      <c r="Z69" s="1163"/>
      <c r="AA69" s="1162"/>
    </row>
    <row r="70" ht="15.75" customHeight="1">
      <c r="A70" s="425"/>
      <c r="B70" s="425"/>
      <c r="C70" s="1162"/>
      <c r="D70" s="1162"/>
      <c r="E70" s="1162"/>
      <c r="F70" s="1162"/>
      <c r="G70" s="1162"/>
      <c r="H70" s="1162"/>
      <c r="I70" s="1162"/>
      <c r="J70" s="1162"/>
      <c r="K70" s="1162"/>
      <c r="L70" s="1162"/>
      <c r="M70" s="1162"/>
      <c r="N70" s="1162"/>
      <c r="O70" s="1162"/>
      <c r="P70" s="1162"/>
      <c r="Q70" s="1162"/>
      <c r="R70" s="1162"/>
      <c r="S70" s="1162"/>
      <c r="T70" s="1162"/>
      <c r="U70" s="1162"/>
      <c r="V70" s="1162"/>
      <c r="W70" s="1162"/>
      <c r="X70" s="1162"/>
      <c r="Y70" s="1163"/>
      <c r="Z70" s="1163"/>
      <c r="AA70" s="1162"/>
    </row>
    <row r="71" ht="15.75" customHeight="1">
      <c r="A71" s="425"/>
      <c r="B71" s="425"/>
      <c r="C71" s="1162"/>
      <c r="D71" s="1162"/>
      <c r="E71" s="1162"/>
      <c r="F71" s="1162"/>
      <c r="G71" s="1162"/>
      <c r="H71" s="1162"/>
      <c r="I71" s="1162"/>
      <c r="J71" s="1162"/>
      <c r="K71" s="1162"/>
      <c r="L71" s="1162"/>
      <c r="M71" s="1162"/>
      <c r="N71" s="1162"/>
      <c r="O71" s="1162"/>
      <c r="P71" s="1162"/>
      <c r="Q71" s="1162"/>
      <c r="R71" s="1162"/>
      <c r="S71" s="1162"/>
      <c r="T71" s="1162"/>
      <c r="U71" s="1162"/>
      <c r="V71" s="1162"/>
      <c r="W71" s="1162"/>
      <c r="X71" s="1162"/>
      <c r="Y71" s="1163"/>
      <c r="Z71" s="1163"/>
      <c r="AA71" s="1162"/>
    </row>
    <row r="72" ht="15.75" customHeight="1">
      <c r="A72" s="425"/>
      <c r="B72" s="425"/>
      <c r="C72" s="1162"/>
      <c r="D72" s="1162"/>
      <c r="E72" s="1162"/>
      <c r="F72" s="1162"/>
      <c r="G72" s="1162"/>
      <c r="H72" s="1162"/>
      <c r="I72" s="1162"/>
      <c r="J72" s="1162"/>
      <c r="K72" s="1162"/>
      <c r="L72" s="1162"/>
      <c r="M72" s="1162"/>
      <c r="N72" s="1162"/>
      <c r="O72" s="1162"/>
      <c r="P72" s="1162"/>
      <c r="Q72" s="1162"/>
      <c r="R72" s="1162"/>
      <c r="S72" s="1162"/>
      <c r="T72" s="1162"/>
      <c r="U72" s="1162"/>
      <c r="V72" s="1162"/>
      <c r="W72" s="1162"/>
      <c r="X72" s="1162"/>
      <c r="Y72" s="1163"/>
      <c r="Z72" s="1163"/>
      <c r="AA72" s="1162"/>
    </row>
    <row r="73" ht="15.75" customHeight="1">
      <c r="A73" s="425"/>
      <c r="B73" s="425"/>
      <c r="C73" s="1162"/>
      <c r="D73" s="1162"/>
      <c r="E73" s="1162"/>
      <c r="F73" s="1162"/>
      <c r="G73" s="1162"/>
      <c r="H73" s="1162"/>
      <c r="I73" s="1162"/>
      <c r="J73" s="1162"/>
      <c r="K73" s="1162"/>
      <c r="L73" s="1162"/>
      <c r="M73" s="1162"/>
      <c r="N73" s="1162"/>
      <c r="O73" s="1162"/>
      <c r="P73" s="1162"/>
      <c r="Q73" s="1162"/>
      <c r="R73" s="1162"/>
      <c r="S73" s="1162"/>
      <c r="T73" s="1162"/>
      <c r="U73" s="1162"/>
      <c r="V73" s="1162"/>
      <c r="W73" s="1162"/>
      <c r="X73" s="1162"/>
      <c r="Y73" s="1163"/>
      <c r="Z73" s="1163"/>
      <c r="AA73" s="1162"/>
    </row>
    <row r="74" ht="15.75" customHeight="1">
      <c r="A74" s="425"/>
      <c r="B74" s="425"/>
      <c r="C74" s="1162"/>
      <c r="D74" s="1162"/>
      <c r="E74" s="1162"/>
      <c r="F74" s="1162"/>
      <c r="G74" s="1162"/>
      <c r="H74" s="1162"/>
      <c r="I74" s="1162"/>
      <c r="J74" s="1162"/>
      <c r="K74" s="1162"/>
      <c r="L74" s="1162"/>
      <c r="M74" s="1162"/>
      <c r="N74" s="1162"/>
      <c r="O74" s="1162"/>
      <c r="P74" s="1162"/>
      <c r="Q74" s="1162"/>
      <c r="R74" s="1162"/>
      <c r="S74" s="1162"/>
      <c r="T74" s="1162"/>
      <c r="U74" s="1162"/>
      <c r="V74" s="1162"/>
      <c r="W74" s="1162"/>
      <c r="X74" s="1162"/>
      <c r="Y74" s="1163"/>
      <c r="Z74" s="1163"/>
      <c r="AA74" s="1162"/>
    </row>
    <row r="75" ht="15.75" customHeight="1">
      <c r="A75" s="425"/>
      <c r="B75" s="425"/>
      <c r="C75" s="1162"/>
      <c r="D75" s="1162"/>
      <c r="E75" s="1162"/>
      <c r="F75" s="1162"/>
      <c r="G75" s="1162"/>
      <c r="H75" s="1162"/>
      <c r="I75" s="1162"/>
      <c r="J75" s="1162"/>
      <c r="K75" s="1162"/>
      <c r="L75" s="1162"/>
      <c r="M75" s="1162"/>
      <c r="N75" s="1162"/>
      <c r="O75" s="1162"/>
      <c r="P75" s="1162"/>
      <c r="Q75" s="1162"/>
      <c r="R75" s="1162"/>
      <c r="S75" s="1162"/>
      <c r="T75" s="1162"/>
      <c r="U75" s="1162"/>
      <c r="V75" s="1162"/>
      <c r="W75" s="1162"/>
      <c r="X75" s="1162"/>
      <c r="Y75" s="1163"/>
      <c r="Z75" s="1163"/>
      <c r="AA75" s="1162"/>
    </row>
    <row r="76" ht="15.75" customHeight="1">
      <c r="A76" s="425"/>
      <c r="B76" s="425"/>
      <c r="C76" s="1162"/>
      <c r="D76" s="1162"/>
      <c r="E76" s="1162"/>
      <c r="F76" s="1162"/>
      <c r="G76" s="1162"/>
      <c r="H76" s="1162"/>
      <c r="I76" s="1162"/>
      <c r="J76" s="1162"/>
      <c r="K76" s="1162"/>
      <c r="L76" s="1162"/>
      <c r="M76" s="1162"/>
      <c r="N76" s="1162"/>
      <c r="O76" s="1162"/>
      <c r="P76" s="1162"/>
      <c r="Q76" s="1162"/>
      <c r="R76" s="1162"/>
      <c r="S76" s="1162"/>
      <c r="T76" s="1162"/>
      <c r="U76" s="1162"/>
      <c r="V76" s="1162"/>
      <c r="W76" s="1162"/>
      <c r="X76" s="1162"/>
      <c r="Y76" s="1163"/>
      <c r="Z76" s="1163"/>
      <c r="AA76" s="1162"/>
    </row>
    <row r="77" ht="15.75" customHeight="1">
      <c r="A77" s="425"/>
      <c r="B77" s="425"/>
      <c r="C77" s="1162"/>
      <c r="D77" s="1162"/>
      <c r="E77" s="1162"/>
      <c r="F77" s="1162"/>
      <c r="G77" s="1162"/>
      <c r="H77" s="1162"/>
      <c r="I77" s="1162"/>
      <c r="J77" s="1162"/>
      <c r="K77" s="1162"/>
      <c r="L77" s="1162"/>
      <c r="M77" s="1162"/>
      <c r="N77" s="1162"/>
      <c r="O77" s="1162"/>
      <c r="P77" s="1162"/>
      <c r="Q77" s="1162"/>
      <c r="R77" s="1162"/>
      <c r="S77" s="1162"/>
      <c r="T77" s="1162"/>
      <c r="U77" s="1162"/>
      <c r="V77" s="1162"/>
      <c r="W77" s="1162"/>
      <c r="X77" s="1162"/>
      <c r="Y77" s="1163"/>
      <c r="Z77" s="1163"/>
      <c r="AA77" s="1162"/>
    </row>
    <row r="78" ht="15.75" customHeight="1">
      <c r="A78" s="425"/>
      <c r="B78" s="425"/>
      <c r="C78" s="1162"/>
      <c r="D78" s="1162"/>
      <c r="E78" s="1162"/>
      <c r="F78" s="1162"/>
      <c r="G78" s="1162"/>
      <c r="H78" s="1162"/>
      <c r="I78" s="1162"/>
      <c r="J78" s="1162"/>
      <c r="K78" s="1162"/>
      <c r="L78" s="1162"/>
      <c r="M78" s="1162"/>
      <c r="N78" s="1162"/>
      <c r="O78" s="1162"/>
      <c r="P78" s="1162"/>
      <c r="Q78" s="1162"/>
      <c r="R78" s="1162"/>
      <c r="S78" s="1162"/>
      <c r="T78" s="1162"/>
      <c r="U78" s="1162"/>
      <c r="V78" s="1162"/>
      <c r="W78" s="1162"/>
      <c r="X78" s="1162"/>
      <c r="Y78" s="1163"/>
      <c r="Z78" s="1163"/>
      <c r="AA78" s="1162"/>
    </row>
    <row r="79" ht="15.75" customHeight="1">
      <c r="A79" s="425"/>
      <c r="B79" s="425"/>
      <c r="C79" s="1162"/>
      <c r="D79" s="1162"/>
      <c r="E79" s="1162"/>
      <c r="F79" s="1162"/>
      <c r="G79" s="1162"/>
      <c r="H79" s="1162"/>
      <c r="I79" s="1162"/>
      <c r="J79" s="1162"/>
      <c r="K79" s="1162"/>
      <c r="L79" s="1162"/>
      <c r="M79" s="1162"/>
      <c r="N79" s="1162"/>
      <c r="O79" s="1162"/>
      <c r="P79" s="1162"/>
      <c r="Q79" s="1162"/>
      <c r="R79" s="1162"/>
      <c r="S79" s="1162"/>
      <c r="T79" s="1162"/>
      <c r="U79" s="1162"/>
      <c r="V79" s="1162"/>
      <c r="W79" s="1162"/>
      <c r="X79" s="1162"/>
      <c r="Y79" s="1163"/>
      <c r="Z79" s="1163"/>
      <c r="AA79" s="1162"/>
    </row>
    <row r="80" ht="15.75" customHeight="1">
      <c r="A80" s="425"/>
      <c r="B80" s="425"/>
      <c r="C80" s="1162"/>
      <c r="D80" s="1162"/>
      <c r="E80" s="1162"/>
      <c r="F80" s="1162"/>
      <c r="G80" s="1162"/>
      <c r="H80" s="1162"/>
      <c r="I80" s="1162"/>
      <c r="J80" s="1162"/>
      <c r="K80" s="1162"/>
      <c r="L80" s="1162"/>
      <c r="M80" s="1162"/>
      <c r="N80" s="1162"/>
      <c r="O80" s="1162"/>
      <c r="P80" s="1162"/>
      <c r="Q80" s="1162"/>
      <c r="R80" s="1162"/>
      <c r="S80" s="1162"/>
      <c r="T80" s="1162"/>
      <c r="U80" s="1162"/>
      <c r="V80" s="1162"/>
      <c r="W80" s="1162"/>
      <c r="X80" s="1162"/>
      <c r="Y80" s="1163"/>
      <c r="Z80" s="1163"/>
      <c r="AA80" s="1162"/>
    </row>
    <row r="81" ht="15.75" customHeight="1">
      <c r="A81" s="425"/>
      <c r="B81" s="425"/>
      <c r="C81" s="1162"/>
      <c r="D81" s="1162"/>
      <c r="E81" s="1162"/>
      <c r="F81" s="1162"/>
      <c r="G81" s="1162"/>
      <c r="H81" s="1162"/>
      <c r="I81" s="1162"/>
      <c r="J81" s="1162"/>
      <c r="K81" s="1162"/>
      <c r="L81" s="1162"/>
      <c r="M81" s="1162"/>
      <c r="N81" s="1162"/>
      <c r="O81" s="1162"/>
      <c r="P81" s="1162"/>
      <c r="Q81" s="1162"/>
      <c r="R81" s="1162"/>
      <c r="S81" s="1162"/>
      <c r="T81" s="1162"/>
      <c r="U81" s="1162"/>
      <c r="V81" s="1162"/>
      <c r="W81" s="1162"/>
      <c r="X81" s="1162"/>
      <c r="Y81" s="1163"/>
      <c r="Z81" s="1163"/>
      <c r="AA81" s="1162"/>
    </row>
    <row r="82" ht="15.75" customHeight="1">
      <c r="A82" s="425"/>
      <c r="B82" s="425"/>
      <c r="C82" s="1162"/>
      <c r="D82" s="1162"/>
      <c r="E82" s="1162"/>
      <c r="F82" s="1162"/>
      <c r="G82" s="1162"/>
      <c r="H82" s="1162"/>
      <c r="I82" s="1162"/>
      <c r="J82" s="1162"/>
      <c r="K82" s="1162"/>
      <c r="L82" s="1162"/>
      <c r="M82" s="1162"/>
      <c r="N82" s="1162"/>
      <c r="O82" s="1162"/>
      <c r="P82" s="1162"/>
      <c r="Q82" s="1162"/>
      <c r="R82" s="1162"/>
      <c r="S82" s="1162"/>
      <c r="T82" s="1162"/>
      <c r="U82" s="1162"/>
      <c r="V82" s="1162"/>
      <c r="W82" s="1162"/>
      <c r="X82" s="1162"/>
      <c r="Y82" s="1163"/>
      <c r="Z82" s="1163"/>
      <c r="AA82" s="1162"/>
    </row>
    <row r="83" ht="15.75" customHeight="1">
      <c r="A83" s="425"/>
      <c r="B83" s="425"/>
      <c r="C83" s="1162"/>
      <c r="D83" s="1162"/>
      <c r="E83" s="1162"/>
      <c r="F83" s="1162"/>
      <c r="G83" s="1162"/>
      <c r="H83" s="1162"/>
      <c r="I83" s="1162"/>
      <c r="J83" s="1162"/>
      <c r="K83" s="1162"/>
      <c r="L83" s="1162"/>
      <c r="M83" s="1162"/>
      <c r="N83" s="1162"/>
      <c r="O83" s="1162"/>
      <c r="P83" s="1162"/>
      <c r="Q83" s="1162"/>
      <c r="R83" s="1162"/>
      <c r="S83" s="1162"/>
      <c r="T83" s="1162"/>
      <c r="U83" s="1162"/>
      <c r="V83" s="1162"/>
      <c r="W83" s="1162"/>
      <c r="X83" s="1162"/>
      <c r="Y83" s="1163"/>
      <c r="Z83" s="1163"/>
      <c r="AA83" s="1162"/>
    </row>
    <row r="84" ht="15.75" customHeight="1">
      <c r="A84" s="425"/>
      <c r="B84" s="425"/>
      <c r="C84" s="1162"/>
      <c r="D84" s="1162"/>
      <c r="E84" s="1162"/>
      <c r="F84" s="1162"/>
      <c r="G84" s="1162"/>
      <c r="H84" s="1162"/>
      <c r="I84" s="1162"/>
      <c r="J84" s="1162"/>
      <c r="K84" s="1162"/>
      <c r="L84" s="1162"/>
      <c r="M84" s="1162"/>
      <c r="N84" s="1162"/>
      <c r="O84" s="1162"/>
      <c r="P84" s="1162"/>
      <c r="Q84" s="1162"/>
      <c r="R84" s="1162"/>
      <c r="S84" s="1162"/>
      <c r="T84" s="1162"/>
      <c r="U84" s="1162"/>
      <c r="V84" s="1162"/>
      <c r="W84" s="1162"/>
      <c r="X84" s="1162"/>
      <c r="Y84" s="1163"/>
      <c r="Z84" s="1163"/>
      <c r="AA84" s="1162"/>
    </row>
    <row r="85" ht="15.75" customHeight="1">
      <c r="A85" s="425"/>
      <c r="B85" s="425"/>
      <c r="C85" s="1162"/>
      <c r="D85" s="1162"/>
      <c r="E85" s="1162"/>
      <c r="F85" s="1162"/>
      <c r="G85" s="1162"/>
      <c r="H85" s="1162"/>
      <c r="I85" s="1162"/>
      <c r="J85" s="1162"/>
      <c r="K85" s="1162"/>
      <c r="L85" s="1162"/>
      <c r="M85" s="1162"/>
      <c r="N85" s="1162"/>
      <c r="O85" s="1162"/>
      <c r="P85" s="1162"/>
      <c r="Q85" s="1162"/>
      <c r="R85" s="1162"/>
      <c r="S85" s="1162"/>
      <c r="T85" s="1162"/>
      <c r="U85" s="1162"/>
      <c r="V85" s="1162"/>
      <c r="W85" s="1162"/>
      <c r="X85" s="1162"/>
      <c r="Y85" s="1163"/>
      <c r="Z85" s="1163"/>
      <c r="AA85" s="1162"/>
    </row>
    <row r="86" ht="15.75" customHeight="1">
      <c r="A86" s="425"/>
      <c r="B86" s="425"/>
      <c r="C86" s="1162"/>
      <c r="D86" s="1162"/>
      <c r="E86" s="1162"/>
      <c r="F86" s="1162"/>
      <c r="G86" s="1162"/>
      <c r="H86" s="1162"/>
      <c r="I86" s="1162"/>
      <c r="J86" s="1162"/>
      <c r="K86" s="1162"/>
      <c r="L86" s="1162"/>
      <c r="M86" s="1162"/>
      <c r="N86" s="1162"/>
      <c r="O86" s="1162"/>
      <c r="P86" s="1162"/>
      <c r="Q86" s="1162"/>
      <c r="R86" s="1162"/>
      <c r="S86" s="1162"/>
      <c r="T86" s="1162"/>
      <c r="U86" s="1162"/>
      <c r="V86" s="1162"/>
      <c r="W86" s="1162"/>
      <c r="X86" s="1162"/>
      <c r="Y86" s="1163"/>
      <c r="Z86" s="1163"/>
      <c r="AA86" s="1162"/>
    </row>
    <row r="87" ht="15.75" customHeight="1">
      <c r="A87" s="425"/>
      <c r="B87" s="425"/>
      <c r="C87" s="1162"/>
      <c r="D87" s="1162"/>
      <c r="E87" s="1162"/>
      <c r="F87" s="1162"/>
      <c r="G87" s="1162"/>
      <c r="H87" s="1162"/>
      <c r="I87" s="1162"/>
      <c r="J87" s="1162"/>
      <c r="K87" s="1162"/>
      <c r="L87" s="1162"/>
      <c r="M87" s="1162"/>
      <c r="N87" s="1162"/>
      <c r="O87" s="1162"/>
      <c r="P87" s="1162"/>
      <c r="Q87" s="1162"/>
      <c r="R87" s="1162"/>
      <c r="S87" s="1162"/>
      <c r="T87" s="1162"/>
      <c r="U87" s="1162"/>
      <c r="V87" s="1162"/>
      <c r="W87" s="1162"/>
      <c r="X87" s="1162"/>
      <c r="Y87" s="1163"/>
      <c r="Z87" s="1163"/>
      <c r="AA87" s="1162"/>
    </row>
    <row r="88" ht="15.75" customHeight="1">
      <c r="A88" s="425"/>
      <c r="B88" s="425"/>
      <c r="C88" s="1162"/>
      <c r="D88" s="1162"/>
      <c r="E88" s="1162"/>
      <c r="F88" s="1162"/>
      <c r="G88" s="1162"/>
      <c r="H88" s="1162"/>
      <c r="I88" s="1162"/>
      <c r="J88" s="1162"/>
      <c r="K88" s="1162"/>
      <c r="L88" s="1162"/>
      <c r="M88" s="1162"/>
      <c r="N88" s="1162"/>
      <c r="O88" s="1162"/>
      <c r="P88" s="1162"/>
      <c r="Q88" s="1162"/>
      <c r="R88" s="1162"/>
      <c r="S88" s="1162"/>
      <c r="T88" s="1162"/>
      <c r="U88" s="1162"/>
      <c r="V88" s="1162"/>
      <c r="W88" s="1162"/>
      <c r="X88" s="1162"/>
      <c r="Y88" s="1163"/>
      <c r="Z88" s="1163"/>
      <c r="AA88" s="1162"/>
    </row>
    <row r="89" ht="15.75" customHeight="1">
      <c r="A89" s="425"/>
      <c r="B89" s="425"/>
      <c r="C89" s="1162"/>
      <c r="D89" s="1162"/>
      <c r="E89" s="1162"/>
      <c r="F89" s="1162"/>
      <c r="G89" s="1162"/>
      <c r="H89" s="1162"/>
      <c r="I89" s="1162"/>
      <c r="J89" s="1162"/>
      <c r="K89" s="1162"/>
      <c r="L89" s="1162"/>
      <c r="M89" s="1162"/>
      <c r="N89" s="1162"/>
      <c r="O89" s="1162"/>
      <c r="P89" s="1162"/>
      <c r="Q89" s="1162"/>
      <c r="R89" s="1162"/>
      <c r="S89" s="1162"/>
      <c r="T89" s="1162"/>
      <c r="U89" s="1162"/>
      <c r="V89" s="1162"/>
      <c r="W89" s="1162"/>
      <c r="X89" s="1162"/>
      <c r="Y89" s="1163"/>
      <c r="Z89" s="1163"/>
      <c r="AA89" s="1162"/>
    </row>
    <row r="90" ht="15.75" customHeight="1">
      <c r="A90" s="425"/>
      <c r="B90" s="425"/>
      <c r="C90" s="1162"/>
      <c r="D90" s="1162"/>
      <c r="E90" s="1162"/>
      <c r="F90" s="1162"/>
      <c r="G90" s="1162"/>
      <c r="H90" s="1162"/>
      <c r="I90" s="1162"/>
      <c r="J90" s="1162"/>
      <c r="K90" s="1162"/>
      <c r="L90" s="1162"/>
      <c r="M90" s="1162"/>
      <c r="N90" s="1162"/>
      <c r="O90" s="1162"/>
      <c r="P90" s="1162"/>
      <c r="Q90" s="1162"/>
      <c r="R90" s="1162"/>
      <c r="S90" s="1162"/>
      <c r="T90" s="1162"/>
      <c r="U90" s="1162"/>
      <c r="V90" s="1162"/>
      <c r="W90" s="1162"/>
      <c r="X90" s="1162"/>
      <c r="Y90" s="1163"/>
      <c r="Z90" s="1163"/>
      <c r="AA90" s="1162"/>
    </row>
    <row r="91" ht="15.75" customHeight="1">
      <c r="A91" s="425"/>
      <c r="B91" s="425"/>
      <c r="C91" s="1162"/>
      <c r="D91" s="1162"/>
      <c r="E91" s="1162"/>
      <c r="F91" s="1162"/>
      <c r="G91" s="1162"/>
      <c r="H91" s="1162"/>
      <c r="I91" s="1162"/>
      <c r="J91" s="1162"/>
      <c r="K91" s="1162"/>
      <c r="L91" s="1162"/>
      <c r="M91" s="1162"/>
      <c r="N91" s="1162"/>
      <c r="O91" s="1162"/>
      <c r="P91" s="1162"/>
      <c r="Q91" s="1162"/>
      <c r="R91" s="1162"/>
      <c r="S91" s="1162"/>
      <c r="T91" s="1162"/>
      <c r="U91" s="1162"/>
      <c r="V91" s="1162"/>
      <c r="W91" s="1162"/>
      <c r="X91" s="1162"/>
      <c r="Y91" s="1163"/>
      <c r="Z91" s="1163"/>
      <c r="AA91" s="1162"/>
    </row>
    <row r="92" ht="15.75" customHeight="1">
      <c r="A92" s="425"/>
      <c r="B92" s="425"/>
      <c r="C92" s="1162"/>
      <c r="D92" s="1162"/>
      <c r="E92" s="1162"/>
      <c r="F92" s="1162"/>
      <c r="G92" s="1162"/>
      <c r="H92" s="1162"/>
      <c r="I92" s="1162"/>
      <c r="J92" s="1162"/>
      <c r="K92" s="1162"/>
      <c r="L92" s="1162"/>
      <c r="M92" s="1162"/>
      <c r="N92" s="1162"/>
      <c r="O92" s="1162"/>
      <c r="P92" s="1162"/>
      <c r="Q92" s="1162"/>
      <c r="R92" s="1162"/>
      <c r="S92" s="1162"/>
      <c r="T92" s="1162"/>
      <c r="U92" s="1162"/>
      <c r="V92" s="1162"/>
      <c r="W92" s="1162"/>
      <c r="X92" s="1162"/>
      <c r="Y92" s="1163"/>
      <c r="Z92" s="1163"/>
      <c r="AA92" s="1162"/>
    </row>
    <row r="93" ht="15.75" customHeight="1">
      <c r="A93" s="425"/>
      <c r="B93" s="425"/>
      <c r="C93" s="1162"/>
      <c r="D93" s="1162"/>
      <c r="E93" s="1162"/>
      <c r="F93" s="1162"/>
      <c r="G93" s="1162"/>
      <c r="H93" s="1162"/>
      <c r="I93" s="1162"/>
      <c r="J93" s="1162"/>
      <c r="K93" s="1162"/>
      <c r="L93" s="1162"/>
      <c r="M93" s="1162"/>
      <c r="N93" s="1162"/>
      <c r="O93" s="1162"/>
      <c r="P93" s="1162"/>
      <c r="Q93" s="1162"/>
      <c r="R93" s="1162"/>
      <c r="S93" s="1162"/>
      <c r="T93" s="1162"/>
      <c r="U93" s="1162"/>
      <c r="V93" s="1162"/>
      <c r="W93" s="1162"/>
      <c r="X93" s="1162"/>
      <c r="Y93" s="1163"/>
      <c r="Z93" s="1163"/>
      <c r="AA93" s="1162"/>
    </row>
    <row r="94" ht="15.75" customHeight="1">
      <c r="A94" s="425"/>
      <c r="B94" s="425"/>
      <c r="C94" s="1162"/>
      <c r="D94" s="1162"/>
      <c r="E94" s="1162"/>
      <c r="F94" s="1162"/>
      <c r="G94" s="1162"/>
      <c r="H94" s="1162"/>
      <c r="I94" s="1162"/>
      <c r="J94" s="1162"/>
      <c r="K94" s="1162"/>
      <c r="L94" s="1162"/>
      <c r="M94" s="1162"/>
      <c r="N94" s="1162"/>
      <c r="O94" s="1162"/>
      <c r="P94" s="1162"/>
      <c r="Q94" s="1162"/>
      <c r="R94" s="1162"/>
      <c r="S94" s="1162"/>
      <c r="T94" s="1162"/>
      <c r="U94" s="1162"/>
      <c r="V94" s="1162"/>
      <c r="W94" s="1162"/>
      <c r="X94" s="1162"/>
      <c r="Y94" s="1163"/>
      <c r="Z94" s="1163"/>
      <c r="AA94" s="1162"/>
    </row>
    <row r="95" ht="15.75" customHeight="1">
      <c r="A95" s="425"/>
      <c r="B95" s="425"/>
      <c r="C95" s="1162"/>
      <c r="D95" s="1162"/>
      <c r="E95" s="1162"/>
      <c r="F95" s="1162"/>
      <c r="G95" s="1162"/>
      <c r="H95" s="1162"/>
      <c r="I95" s="1162"/>
      <c r="J95" s="1162"/>
      <c r="K95" s="1162"/>
      <c r="L95" s="1162"/>
      <c r="M95" s="1162"/>
      <c r="N95" s="1162"/>
      <c r="O95" s="1162"/>
      <c r="P95" s="1162"/>
      <c r="Q95" s="1162"/>
      <c r="R95" s="1162"/>
      <c r="S95" s="1162"/>
      <c r="T95" s="1162"/>
      <c r="U95" s="1162"/>
      <c r="V95" s="1162"/>
      <c r="W95" s="1162"/>
      <c r="X95" s="1162"/>
      <c r="Y95" s="1163"/>
      <c r="Z95" s="1163"/>
      <c r="AA95" s="1162"/>
    </row>
    <row r="96" ht="15.75" customHeight="1">
      <c r="A96" s="425"/>
      <c r="B96" s="425"/>
      <c r="C96" s="1162"/>
      <c r="D96" s="1162"/>
      <c r="E96" s="1162"/>
      <c r="F96" s="1162"/>
      <c r="G96" s="1162"/>
      <c r="H96" s="1162"/>
      <c r="I96" s="1162"/>
      <c r="J96" s="1162"/>
      <c r="K96" s="1162"/>
      <c r="L96" s="1162"/>
      <c r="M96" s="1162"/>
      <c r="N96" s="1162"/>
      <c r="O96" s="1162"/>
      <c r="P96" s="1162"/>
      <c r="Q96" s="1162"/>
      <c r="R96" s="1162"/>
      <c r="S96" s="1162"/>
      <c r="T96" s="1162"/>
      <c r="U96" s="1162"/>
      <c r="V96" s="1162"/>
      <c r="W96" s="1162"/>
      <c r="X96" s="1162"/>
      <c r="Y96" s="1163"/>
      <c r="Z96" s="1163"/>
      <c r="AA96" s="1162"/>
    </row>
    <row r="97" ht="15.75" customHeight="1">
      <c r="A97" s="425"/>
      <c r="B97" s="425"/>
      <c r="C97" s="1162"/>
      <c r="D97" s="1162"/>
      <c r="E97" s="1162"/>
      <c r="F97" s="1162"/>
      <c r="G97" s="1162"/>
      <c r="H97" s="1162"/>
      <c r="I97" s="1162"/>
      <c r="J97" s="1162"/>
      <c r="K97" s="1162"/>
      <c r="L97" s="1162"/>
      <c r="M97" s="1162"/>
      <c r="N97" s="1162"/>
      <c r="O97" s="1162"/>
      <c r="P97" s="1162"/>
      <c r="Q97" s="1162"/>
      <c r="R97" s="1162"/>
      <c r="S97" s="1162"/>
      <c r="T97" s="1162"/>
      <c r="U97" s="1162"/>
      <c r="V97" s="1162"/>
      <c r="W97" s="1162"/>
      <c r="X97" s="1162"/>
      <c r="Y97" s="1163"/>
      <c r="Z97" s="1163"/>
      <c r="AA97" s="1162"/>
    </row>
    <row r="98" ht="15.75" customHeight="1">
      <c r="A98" s="425"/>
      <c r="B98" s="425"/>
      <c r="C98" s="1162"/>
      <c r="D98" s="1162"/>
      <c r="E98" s="1162"/>
      <c r="F98" s="1162"/>
      <c r="G98" s="1162"/>
      <c r="H98" s="1162"/>
      <c r="I98" s="1162"/>
      <c r="J98" s="1162"/>
      <c r="K98" s="1162"/>
      <c r="L98" s="1162"/>
      <c r="M98" s="1162"/>
      <c r="N98" s="1162"/>
      <c r="O98" s="1162"/>
      <c r="P98" s="1162"/>
      <c r="Q98" s="1162"/>
      <c r="R98" s="1162"/>
      <c r="S98" s="1162"/>
      <c r="T98" s="1162"/>
      <c r="U98" s="1162"/>
      <c r="V98" s="1162"/>
      <c r="W98" s="1162"/>
      <c r="X98" s="1162"/>
      <c r="Y98" s="1163"/>
      <c r="Z98" s="1163"/>
      <c r="AA98" s="1162"/>
    </row>
    <row r="99" ht="15.75" customHeight="1">
      <c r="A99" s="425"/>
      <c r="B99" s="425"/>
      <c r="C99" s="1162"/>
      <c r="D99" s="1162"/>
      <c r="E99" s="1162"/>
      <c r="F99" s="1162"/>
      <c r="G99" s="1162"/>
      <c r="H99" s="1162"/>
      <c r="I99" s="1162"/>
      <c r="J99" s="1162"/>
      <c r="K99" s="1162"/>
      <c r="L99" s="1162"/>
      <c r="M99" s="1162"/>
      <c r="N99" s="1162"/>
      <c r="O99" s="1162"/>
      <c r="P99" s="1162"/>
      <c r="Q99" s="1162"/>
      <c r="R99" s="1162"/>
      <c r="S99" s="1162"/>
      <c r="T99" s="1162"/>
      <c r="U99" s="1162"/>
      <c r="V99" s="1162"/>
      <c r="W99" s="1162"/>
      <c r="X99" s="1162"/>
      <c r="Y99" s="1163"/>
      <c r="Z99" s="1163"/>
      <c r="AA99" s="1162"/>
    </row>
    <row r="100" ht="15.75" customHeight="1">
      <c r="A100" s="425"/>
      <c r="B100" s="425"/>
      <c r="C100" s="1162"/>
      <c r="D100" s="1162"/>
      <c r="E100" s="1162"/>
      <c r="F100" s="1162"/>
      <c r="G100" s="1162"/>
      <c r="H100" s="1162"/>
      <c r="I100" s="1162"/>
      <c r="J100" s="1162"/>
      <c r="K100" s="1162"/>
      <c r="L100" s="1162"/>
      <c r="M100" s="1162"/>
      <c r="N100" s="1162"/>
      <c r="O100" s="1162"/>
      <c r="P100" s="1162"/>
      <c r="Q100" s="1162"/>
      <c r="R100" s="1162"/>
      <c r="S100" s="1162"/>
      <c r="T100" s="1162"/>
      <c r="U100" s="1162"/>
      <c r="V100" s="1162"/>
      <c r="W100" s="1162"/>
      <c r="X100" s="1162"/>
      <c r="Y100" s="1163"/>
      <c r="Z100" s="1163"/>
      <c r="AA100" s="1162"/>
    </row>
    <row r="101" ht="15.75" customHeight="1">
      <c r="A101" s="425"/>
      <c r="B101" s="425"/>
      <c r="C101" s="1162"/>
      <c r="D101" s="1162"/>
      <c r="E101" s="1162"/>
      <c r="F101" s="1162"/>
      <c r="G101" s="1162"/>
      <c r="H101" s="1162"/>
      <c r="I101" s="1162"/>
      <c r="J101" s="1162"/>
      <c r="K101" s="1162"/>
      <c r="L101" s="1162"/>
      <c r="M101" s="1162"/>
      <c r="N101" s="1162"/>
      <c r="O101" s="1162"/>
      <c r="P101" s="1162"/>
      <c r="Q101" s="1162"/>
      <c r="R101" s="1162"/>
      <c r="S101" s="1162"/>
      <c r="T101" s="1162"/>
      <c r="U101" s="1162"/>
      <c r="V101" s="1162"/>
      <c r="W101" s="1162"/>
      <c r="X101" s="1162"/>
      <c r="Y101" s="1163"/>
      <c r="Z101" s="1163"/>
      <c r="AA101" s="1162"/>
    </row>
    <row r="102" ht="15.75" customHeight="1">
      <c r="A102" s="425"/>
      <c r="B102" s="425"/>
      <c r="C102" s="1162"/>
      <c r="D102" s="1162"/>
      <c r="E102" s="1162"/>
      <c r="F102" s="1162"/>
      <c r="G102" s="1162"/>
      <c r="H102" s="1162"/>
      <c r="I102" s="1162"/>
      <c r="J102" s="1162"/>
      <c r="K102" s="1162"/>
      <c r="L102" s="1162"/>
      <c r="M102" s="1162"/>
      <c r="N102" s="1162"/>
      <c r="O102" s="1162"/>
      <c r="P102" s="1162"/>
      <c r="Q102" s="1162"/>
      <c r="R102" s="1162"/>
      <c r="S102" s="1162"/>
      <c r="T102" s="1162"/>
      <c r="U102" s="1162"/>
      <c r="V102" s="1162"/>
      <c r="W102" s="1162"/>
      <c r="X102" s="1162"/>
      <c r="Y102" s="1163"/>
      <c r="Z102" s="1163"/>
      <c r="AA102" s="1162"/>
    </row>
    <row r="103" ht="15.75" customHeight="1">
      <c r="A103" s="425"/>
      <c r="B103" s="425"/>
      <c r="C103" s="1162"/>
      <c r="D103" s="1162"/>
      <c r="E103" s="1162"/>
      <c r="F103" s="1162"/>
      <c r="G103" s="1162"/>
      <c r="H103" s="1162"/>
      <c r="I103" s="1162"/>
      <c r="J103" s="1162"/>
      <c r="K103" s="1162"/>
      <c r="L103" s="1162"/>
      <c r="M103" s="1162"/>
      <c r="N103" s="1162"/>
      <c r="O103" s="1162"/>
      <c r="P103" s="1162"/>
      <c r="Q103" s="1162"/>
      <c r="R103" s="1162"/>
      <c r="S103" s="1162"/>
      <c r="T103" s="1162"/>
      <c r="U103" s="1162"/>
      <c r="V103" s="1162"/>
      <c r="W103" s="1162"/>
      <c r="X103" s="1162"/>
      <c r="Y103" s="1163"/>
      <c r="Z103" s="1163"/>
      <c r="AA103" s="1162"/>
    </row>
    <row r="104" ht="15.75" customHeight="1">
      <c r="A104" s="425"/>
      <c r="B104" s="425"/>
      <c r="C104" s="1162"/>
      <c r="D104" s="1162"/>
      <c r="E104" s="1162"/>
      <c r="F104" s="1162"/>
      <c r="G104" s="1162"/>
      <c r="H104" s="1162"/>
      <c r="I104" s="1162"/>
      <c r="J104" s="1162"/>
      <c r="K104" s="1162"/>
      <c r="L104" s="1162"/>
      <c r="M104" s="1162"/>
      <c r="N104" s="1162"/>
      <c r="O104" s="1162"/>
      <c r="P104" s="1162"/>
      <c r="Q104" s="1162"/>
      <c r="R104" s="1162"/>
      <c r="S104" s="1162"/>
      <c r="T104" s="1162"/>
      <c r="U104" s="1162"/>
      <c r="V104" s="1162"/>
      <c r="W104" s="1162"/>
      <c r="X104" s="1162"/>
      <c r="Y104" s="1163"/>
      <c r="Z104" s="1163"/>
      <c r="AA104" s="1162"/>
    </row>
    <row r="105" ht="15.75" customHeight="1">
      <c r="A105" s="425"/>
      <c r="B105" s="425"/>
      <c r="C105" s="1162"/>
      <c r="D105" s="1162"/>
      <c r="E105" s="1162"/>
      <c r="F105" s="1162"/>
      <c r="G105" s="1162"/>
      <c r="H105" s="1162"/>
      <c r="I105" s="1162"/>
      <c r="J105" s="1162"/>
      <c r="K105" s="1162"/>
      <c r="L105" s="1162"/>
      <c r="M105" s="1162"/>
      <c r="N105" s="1162"/>
      <c r="O105" s="1162"/>
      <c r="P105" s="1162"/>
      <c r="Q105" s="1162"/>
      <c r="R105" s="1162"/>
      <c r="S105" s="1162"/>
      <c r="T105" s="1162"/>
      <c r="U105" s="1162"/>
      <c r="V105" s="1162"/>
      <c r="W105" s="1162"/>
      <c r="X105" s="1162"/>
      <c r="Y105" s="1163"/>
      <c r="Z105" s="1163"/>
      <c r="AA105" s="1162"/>
    </row>
    <row r="106" ht="15.75" customHeight="1">
      <c r="A106" s="425"/>
      <c r="B106" s="425"/>
      <c r="C106" s="1162"/>
      <c r="D106" s="1162"/>
      <c r="E106" s="1162"/>
      <c r="F106" s="1162"/>
      <c r="G106" s="1162"/>
      <c r="H106" s="1162"/>
      <c r="I106" s="1162"/>
      <c r="J106" s="1162"/>
      <c r="K106" s="1162"/>
      <c r="L106" s="1162"/>
      <c r="M106" s="1162"/>
      <c r="N106" s="1162"/>
      <c r="O106" s="1162"/>
      <c r="P106" s="1162"/>
      <c r="Q106" s="1162"/>
      <c r="R106" s="1162"/>
      <c r="S106" s="1162"/>
      <c r="T106" s="1162"/>
      <c r="U106" s="1162"/>
      <c r="V106" s="1162"/>
      <c r="W106" s="1162"/>
      <c r="X106" s="1162"/>
      <c r="Y106" s="1163"/>
      <c r="Z106" s="1163"/>
      <c r="AA106" s="1162"/>
    </row>
    <row r="107" ht="15.75" customHeight="1">
      <c r="A107" s="425"/>
      <c r="B107" s="425"/>
      <c r="C107" s="1162"/>
      <c r="D107" s="1162"/>
      <c r="E107" s="1162"/>
      <c r="F107" s="1162"/>
      <c r="G107" s="1162"/>
      <c r="H107" s="1162"/>
      <c r="I107" s="1162"/>
      <c r="J107" s="1162"/>
      <c r="K107" s="1162"/>
      <c r="L107" s="1162"/>
      <c r="M107" s="1162"/>
      <c r="N107" s="1162"/>
      <c r="O107" s="1162"/>
      <c r="P107" s="1162"/>
      <c r="Q107" s="1162"/>
      <c r="R107" s="1162"/>
      <c r="S107" s="1162"/>
      <c r="T107" s="1162"/>
      <c r="U107" s="1162"/>
      <c r="V107" s="1162"/>
      <c r="W107" s="1162"/>
      <c r="X107" s="1162"/>
      <c r="Y107" s="1163"/>
      <c r="Z107" s="1163"/>
      <c r="AA107" s="1162"/>
    </row>
    <row r="108" ht="15.75" customHeight="1">
      <c r="A108" s="425"/>
      <c r="B108" s="425"/>
      <c r="C108" s="1162"/>
      <c r="D108" s="1162"/>
      <c r="E108" s="1162"/>
      <c r="F108" s="1162"/>
      <c r="G108" s="1162"/>
      <c r="H108" s="1162"/>
      <c r="I108" s="1162"/>
      <c r="J108" s="1162"/>
      <c r="K108" s="1162"/>
      <c r="L108" s="1162"/>
      <c r="M108" s="1162"/>
      <c r="N108" s="1162"/>
      <c r="O108" s="1162"/>
      <c r="P108" s="1162"/>
      <c r="Q108" s="1162"/>
      <c r="R108" s="1162"/>
      <c r="S108" s="1162"/>
      <c r="T108" s="1162"/>
      <c r="U108" s="1162"/>
      <c r="V108" s="1162"/>
      <c r="W108" s="1162"/>
      <c r="X108" s="1162"/>
      <c r="Y108" s="1163"/>
      <c r="Z108" s="1163"/>
      <c r="AA108" s="1162"/>
    </row>
    <row r="109" ht="15.75" customHeight="1">
      <c r="A109" s="425"/>
      <c r="B109" s="425"/>
      <c r="C109" s="1162"/>
      <c r="D109" s="1162"/>
      <c r="E109" s="1162"/>
      <c r="F109" s="1162"/>
      <c r="G109" s="1162"/>
      <c r="H109" s="1162"/>
      <c r="I109" s="1162"/>
      <c r="J109" s="1162"/>
      <c r="K109" s="1162"/>
      <c r="L109" s="1162"/>
      <c r="M109" s="1162"/>
      <c r="N109" s="1162"/>
      <c r="O109" s="1162"/>
      <c r="P109" s="1162"/>
      <c r="Q109" s="1162"/>
      <c r="R109" s="1162"/>
      <c r="S109" s="1162"/>
      <c r="T109" s="1162"/>
      <c r="U109" s="1162"/>
      <c r="V109" s="1162"/>
      <c r="W109" s="1162"/>
      <c r="X109" s="1162"/>
      <c r="Y109" s="1163"/>
      <c r="Z109" s="1163"/>
      <c r="AA109" s="1162"/>
    </row>
    <row r="110" ht="15.75" customHeight="1">
      <c r="A110" s="425"/>
      <c r="B110" s="425"/>
      <c r="C110" s="1162"/>
      <c r="D110" s="1162"/>
      <c r="E110" s="1162"/>
      <c r="F110" s="1162"/>
      <c r="G110" s="1162"/>
      <c r="H110" s="1162"/>
      <c r="I110" s="1162"/>
      <c r="J110" s="1162"/>
      <c r="K110" s="1162"/>
      <c r="L110" s="1162"/>
      <c r="M110" s="1162"/>
      <c r="N110" s="1162"/>
      <c r="O110" s="1162"/>
      <c r="P110" s="1162"/>
      <c r="Q110" s="1162"/>
      <c r="R110" s="1162"/>
      <c r="S110" s="1162"/>
      <c r="T110" s="1162"/>
      <c r="U110" s="1162"/>
      <c r="V110" s="1162"/>
      <c r="W110" s="1162"/>
      <c r="X110" s="1162"/>
      <c r="Y110" s="1163"/>
      <c r="Z110" s="1163"/>
      <c r="AA110" s="1162"/>
    </row>
    <row r="111" ht="15.75" customHeight="1">
      <c r="A111" s="425"/>
      <c r="B111" s="425"/>
      <c r="C111" s="1162"/>
      <c r="D111" s="1162"/>
      <c r="E111" s="1162"/>
      <c r="F111" s="1162"/>
      <c r="G111" s="1162"/>
      <c r="H111" s="1162"/>
      <c r="I111" s="1162"/>
      <c r="J111" s="1162"/>
      <c r="K111" s="1162"/>
      <c r="L111" s="1162"/>
      <c r="M111" s="1162"/>
      <c r="N111" s="1162"/>
      <c r="O111" s="1162"/>
      <c r="P111" s="1162"/>
      <c r="Q111" s="1162"/>
      <c r="R111" s="1162"/>
      <c r="S111" s="1162"/>
      <c r="T111" s="1162"/>
      <c r="U111" s="1162"/>
      <c r="V111" s="1162"/>
      <c r="W111" s="1162"/>
      <c r="X111" s="1162"/>
      <c r="Y111" s="1163"/>
      <c r="Z111" s="1163"/>
      <c r="AA111" s="1162"/>
    </row>
    <row r="112" ht="15.75" customHeight="1">
      <c r="A112" s="425"/>
      <c r="B112" s="425"/>
      <c r="C112" s="1162"/>
      <c r="D112" s="1162"/>
      <c r="E112" s="1162"/>
      <c r="F112" s="1162"/>
      <c r="G112" s="1162"/>
      <c r="H112" s="1162"/>
      <c r="I112" s="1162"/>
      <c r="J112" s="1162"/>
      <c r="K112" s="1162"/>
      <c r="L112" s="1162"/>
      <c r="M112" s="1162"/>
      <c r="N112" s="1162"/>
      <c r="O112" s="1162"/>
      <c r="P112" s="1162"/>
      <c r="Q112" s="1162"/>
      <c r="R112" s="1162"/>
      <c r="S112" s="1162"/>
      <c r="T112" s="1162"/>
      <c r="U112" s="1162"/>
      <c r="V112" s="1162"/>
      <c r="W112" s="1162"/>
      <c r="X112" s="1162"/>
      <c r="Y112" s="1163"/>
      <c r="Z112" s="1163"/>
      <c r="AA112" s="1162"/>
    </row>
    <row r="113" ht="15.75" customHeight="1">
      <c r="A113" s="425"/>
      <c r="B113" s="425"/>
      <c r="C113" s="1162"/>
      <c r="D113" s="1162"/>
      <c r="E113" s="1162"/>
      <c r="F113" s="1162"/>
      <c r="G113" s="1162"/>
      <c r="H113" s="1162"/>
      <c r="I113" s="1162"/>
      <c r="J113" s="1162"/>
      <c r="K113" s="1162"/>
      <c r="L113" s="1162"/>
      <c r="M113" s="1162"/>
      <c r="N113" s="1162"/>
      <c r="O113" s="1162"/>
      <c r="P113" s="1162"/>
      <c r="Q113" s="1162"/>
      <c r="R113" s="1162"/>
      <c r="S113" s="1162"/>
      <c r="T113" s="1162"/>
      <c r="U113" s="1162"/>
      <c r="V113" s="1162"/>
      <c r="W113" s="1162"/>
      <c r="X113" s="1162"/>
      <c r="Y113" s="1163"/>
      <c r="Z113" s="1163"/>
      <c r="AA113" s="1162"/>
    </row>
    <row r="114" ht="15.75" customHeight="1">
      <c r="A114" s="425"/>
      <c r="B114" s="425"/>
      <c r="C114" s="1162"/>
      <c r="D114" s="1162"/>
      <c r="E114" s="1162"/>
      <c r="F114" s="1162"/>
      <c r="G114" s="1162"/>
      <c r="H114" s="1162"/>
      <c r="I114" s="1162"/>
      <c r="J114" s="1162"/>
      <c r="K114" s="1162"/>
      <c r="L114" s="1162"/>
      <c r="M114" s="1162"/>
      <c r="N114" s="1162"/>
      <c r="O114" s="1162"/>
      <c r="P114" s="1162"/>
      <c r="Q114" s="1162"/>
      <c r="R114" s="1162"/>
      <c r="S114" s="1162"/>
      <c r="T114" s="1162"/>
      <c r="U114" s="1162"/>
      <c r="V114" s="1162"/>
      <c r="W114" s="1162"/>
      <c r="X114" s="1162"/>
      <c r="Y114" s="1163"/>
      <c r="Z114" s="1163"/>
      <c r="AA114" s="1162"/>
    </row>
    <row r="115" ht="15.75" customHeight="1">
      <c r="A115" s="425"/>
      <c r="B115" s="425"/>
      <c r="C115" s="1162"/>
      <c r="D115" s="1162"/>
      <c r="E115" s="1162"/>
      <c r="F115" s="1162"/>
      <c r="G115" s="1162"/>
      <c r="H115" s="1162"/>
      <c r="I115" s="1162"/>
      <c r="J115" s="1162"/>
      <c r="K115" s="1162"/>
      <c r="L115" s="1162"/>
      <c r="M115" s="1162"/>
      <c r="N115" s="1162"/>
      <c r="O115" s="1162"/>
      <c r="P115" s="1162"/>
      <c r="Q115" s="1162"/>
      <c r="R115" s="1162"/>
      <c r="S115" s="1162"/>
      <c r="T115" s="1162"/>
      <c r="U115" s="1162"/>
      <c r="V115" s="1162"/>
      <c r="W115" s="1162"/>
      <c r="X115" s="1162"/>
      <c r="Y115" s="1163"/>
      <c r="Z115" s="1163"/>
      <c r="AA115" s="1162"/>
    </row>
    <row r="116" ht="15.75" customHeight="1">
      <c r="A116" s="425"/>
      <c r="B116" s="425"/>
      <c r="C116" s="1162"/>
      <c r="D116" s="1162"/>
      <c r="E116" s="1162"/>
      <c r="F116" s="1162"/>
      <c r="G116" s="1162"/>
      <c r="H116" s="1162"/>
      <c r="I116" s="1162"/>
      <c r="J116" s="1162"/>
      <c r="K116" s="1162"/>
      <c r="L116" s="1162"/>
      <c r="M116" s="1162"/>
      <c r="N116" s="1162"/>
      <c r="O116" s="1162"/>
      <c r="P116" s="1162"/>
      <c r="Q116" s="1162"/>
      <c r="R116" s="1162"/>
      <c r="S116" s="1162"/>
      <c r="T116" s="1162"/>
      <c r="U116" s="1162"/>
      <c r="V116" s="1162"/>
      <c r="W116" s="1162"/>
      <c r="X116" s="1162"/>
      <c r="Y116" s="1163"/>
      <c r="Z116" s="1163"/>
      <c r="AA116" s="1162"/>
    </row>
    <row r="117" ht="15.75" customHeight="1">
      <c r="A117" s="425"/>
      <c r="B117" s="425"/>
      <c r="C117" s="1162"/>
      <c r="D117" s="1162"/>
      <c r="E117" s="1162"/>
      <c r="F117" s="1162"/>
      <c r="G117" s="1162"/>
      <c r="H117" s="1162"/>
      <c r="I117" s="1162"/>
      <c r="J117" s="1162"/>
      <c r="K117" s="1162"/>
      <c r="L117" s="1162"/>
      <c r="M117" s="1162"/>
      <c r="N117" s="1162"/>
      <c r="O117" s="1162"/>
      <c r="P117" s="1162"/>
      <c r="Q117" s="1162"/>
      <c r="R117" s="1162"/>
      <c r="S117" s="1162"/>
      <c r="T117" s="1162"/>
      <c r="U117" s="1162"/>
      <c r="V117" s="1162"/>
      <c r="W117" s="1162"/>
      <c r="X117" s="1162"/>
      <c r="Y117" s="1163"/>
      <c r="Z117" s="1163"/>
      <c r="AA117" s="1162"/>
    </row>
    <row r="118" ht="15.75" customHeight="1">
      <c r="A118" s="425"/>
      <c r="B118" s="425"/>
      <c r="C118" s="1162"/>
      <c r="D118" s="1162"/>
      <c r="E118" s="1162"/>
      <c r="F118" s="1162"/>
      <c r="G118" s="1162"/>
      <c r="H118" s="1162"/>
      <c r="I118" s="1162"/>
      <c r="J118" s="1162"/>
      <c r="K118" s="1162"/>
      <c r="L118" s="1162"/>
      <c r="M118" s="1162"/>
      <c r="N118" s="1162"/>
      <c r="O118" s="1162"/>
      <c r="P118" s="1162"/>
      <c r="Q118" s="1162"/>
      <c r="R118" s="1162"/>
      <c r="S118" s="1162"/>
      <c r="T118" s="1162"/>
      <c r="U118" s="1162"/>
      <c r="V118" s="1162"/>
      <c r="W118" s="1162"/>
      <c r="X118" s="1162"/>
      <c r="Y118" s="1163"/>
      <c r="Z118" s="1163"/>
      <c r="AA118" s="1162"/>
    </row>
    <row r="119" ht="15.75" customHeight="1">
      <c r="A119" s="425"/>
      <c r="B119" s="425"/>
      <c r="C119" s="1162"/>
      <c r="D119" s="1162"/>
      <c r="E119" s="1162"/>
      <c r="F119" s="1162"/>
      <c r="G119" s="1162"/>
      <c r="H119" s="1162"/>
      <c r="I119" s="1162"/>
      <c r="J119" s="1162"/>
      <c r="K119" s="1162"/>
      <c r="L119" s="1162"/>
      <c r="M119" s="1162"/>
      <c r="N119" s="1162"/>
      <c r="O119" s="1162"/>
      <c r="P119" s="1162"/>
      <c r="Q119" s="1162"/>
      <c r="R119" s="1162"/>
      <c r="S119" s="1162"/>
      <c r="T119" s="1162"/>
      <c r="U119" s="1162"/>
      <c r="V119" s="1162"/>
      <c r="W119" s="1162"/>
      <c r="X119" s="1162"/>
      <c r="Y119" s="1163"/>
      <c r="Z119" s="1163"/>
      <c r="AA119" s="1162"/>
    </row>
    <row r="120" ht="15.75" customHeight="1">
      <c r="A120" s="425"/>
      <c r="B120" s="425"/>
      <c r="C120" s="1162"/>
      <c r="D120" s="1162"/>
      <c r="E120" s="1162"/>
      <c r="F120" s="1162"/>
      <c r="G120" s="1162"/>
      <c r="H120" s="1162"/>
      <c r="I120" s="1162"/>
      <c r="J120" s="1162"/>
      <c r="K120" s="1162"/>
      <c r="L120" s="1162"/>
      <c r="M120" s="1162"/>
      <c r="N120" s="1162"/>
      <c r="O120" s="1162"/>
      <c r="P120" s="1162"/>
      <c r="Q120" s="1162"/>
      <c r="R120" s="1162"/>
      <c r="S120" s="1162"/>
      <c r="T120" s="1162"/>
      <c r="U120" s="1162"/>
      <c r="V120" s="1162"/>
      <c r="W120" s="1162"/>
      <c r="X120" s="1162"/>
      <c r="Y120" s="1163"/>
      <c r="Z120" s="1163"/>
      <c r="AA120" s="1162"/>
    </row>
    <row r="121" ht="15.75" customHeight="1">
      <c r="A121" s="425"/>
      <c r="B121" s="425"/>
      <c r="C121" s="1162"/>
      <c r="D121" s="1162"/>
      <c r="E121" s="1162"/>
      <c r="F121" s="1162"/>
      <c r="G121" s="1162"/>
      <c r="H121" s="1162"/>
      <c r="I121" s="1162"/>
      <c r="J121" s="1162"/>
      <c r="K121" s="1162"/>
      <c r="L121" s="1162"/>
      <c r="M121" s="1162"/>
      <c r="N121" s="1162"/>
      <c r="O121" s="1162"/>
      <c r="P121" s="1162"/>
      <c r="Q121" s="1162"/>
      <c r="R121" s="1162"/>
      <c r="S121" s="1162"/>
      <c r="T121" s="1162"/>
      <c r="U121" s="1162"/>
      <c r="V121" s="1162"/>
      <c r="W121" s="1162"/>
      <c r="X121" s="1162"/>
      <c r="Y121" s="1163"/>
      <c r="Z121" s="1163"/>
      <c r="AA121" s="1162"/>
    </row>
    <row r="122" ht="15.75" customHeight="1">
      <c r="A122" s="425"/>
      <c r="B122" s="425"/>
      <c r="C122" s="1162"/>
      <c r="D122" s="1162"/>
      <c r="E122" s="1162"/>
      <c r="F122" s="1162"/>
      <c r="G122" s="1162"/>
      <c r="H122" s="1162"/>
      <c r="I122" s="1162"/>
      <c r="J122" s="1162"/>
      <c r="K122" s="1162"/>
      <c r="L122" s="1162"/>
      <c r="M122" s="1162"/>
      <c r="N122" s="1162"/>
      <c r="O122" s="1162"/>
      <c r="P122" s="1162"/>
      <c r="Q122" s="1162"/>
      <c r="R122" s="1162"/>
      <c r="S122" s="1162"/>
      <c r="T122" s="1162"/>
      <c r="U122" s="1162"/>
      <c r="V122" s="1162"/>
      <c r="W122" s="1162"/>
      <c r="X122" s="1162"/>
      <c r="Y122" s="1163"/>
      <c r="Z122" s="1163"/>
      <c r="AA122" s="1162"/>
    </row>
    <row r="123" ht="15.75" customHeight="1">
      <c r="A123" s="425"/>
      <c r="B123" s="425"/>
      <c r="C123" s="1162"/>
      <c r="D123" s="1162"/>
      <c r="E123" s="1162"/>
      <c r="F123" s="1162"/>
      <c r="G123" s="1162"/>
      <c r="H123" s="1162"/>
      <c r="I123" s="1162"/>
      <c r="J123" s="1162"/>
      <c r="K123" s="1162"/>
      <c r="L123" s="1162"/>
      <c r="M123" s="1162"/>
      <c r="N123" s="1162"/>
      <c r="O123" s="1162"/>
      <c r="P123" s="1162"/>
      <c r="Q123" s="1162"/>
      <c r="R123" s="1162"/>
      <c r="S123" s="1162"/>
      <c r="T123" s="1162"/>
      <c r="U123" s="1162"/>
      <c r="V123" s="1162"/>
      <c r="W123" s="1162"/>
      <c r="X123" s="1162"/>
      <c r="Y123" s="1163"/>
      <c r="Z123" s="1163"/>
      <c r="AA123" s="1162"/>
    </row>
    <row r="124" ht="15.75" customHeight="1">
      <c r="A124" s="425"/>
      <c r="B124" s="425"/>
      <c r="C124" s="1162"/>
      <c r="D124" s="1162"/>
      <c r="E124" s="1162"/>
      <c r="F124" s="1162"/>
      <c r="G124" s="1162"/>
      <c r="H124" s="1162"/>
      <c r="I124" s="1162"/>
      <c r="J124" s="1162"/>
      <c r="K124" s="1162"/>
      <c r="L124" s="1162"/>
      <c r="M124" s="1162"/>
      <c r="N124" s="1162"/>
      <c r="O124" s="1162"/>
      <c r="P124" s="1162"/>
      <c r="Q124" s="1162"/>
      <c r="R124" s="1162"/>
      <c r="S124" s="1162"/>
      <c r="T124" s="1162"/>
      <c r="U124" s="1162"/>
      <c r="V124" s="1162"/>
      <c r="W124" s="1162"/>
      <c r="X124" s="1162"/>
      <c r="Y124" s="1163"/>
      <c r="Z124" s="1163"/>
      <c r="AA124" s="1162"/>
    </row>
    <row r="125" ht="15.75" customHeight="1">
      <c r="A125" s="425"/>
      <c r="B125" s="425"/>
      <c r="C125" s="1162"/>
      <c r="D125" s="1162"/>
      <c r="E125" s="1162"/>
      <c r="F125" s="1162"/>
      <c r="G125" s="1162"/>
      <c r="H125" s="1162"/>
      <c r="I125" s="1162"/>
      <c r="J125" s="1162"/>
      <c r="K125" s="1162"/>
      <c r="L125" s="1162"/>
      <c r="M125" s="1162"/>
      <c r="N125" s="1162"/>
      <c r="O125" s="1162"/>
      <c r="P125" s="1162"/>
      <c r="Q125" s="1162"/>
      <c r="R125" s="1162"/>
      <c r="S125" s="1162"/>
      <c r="T125" s="1162"/>
      <c r="U125" s="1162"/>
      <c r="V125" s="1162"/>
      <c r="W125" s="1162"/>
      <c r="X125" s="1162"/>
      <c r="Y125" s="1163"/>
      <c r="Z125" s="1163"/>
      <c r="AA125" s="1162"/>
    </row>
    <row r="126" ht="15.75" customHeight="1">
      <c r="A126" s="425"/>
      <c r="B126" s="425"/>
      <c r="C126" s="1162"/>
      <c r="D126" s="1162"/>
      <c r="E126" s="1162"/>
      <c r="F126" s="1162"/>
      <c r="G126" s="1162"/>
      <c r="H126" s="1162"/>
      <c r="I126" s="1162"/>
      <c r="J126" s="1162"/>
      <c r="K126" s="1162"/>
      <c r="L126" s="1162"/>
      <c r="M126" s="1162"/>
      <c r="N126" s="1162"/>
      <c r="O126" s="1162"/>
      <c r="P126" s="1162"/>
      <c r="Q126" s="1162"/>
      <c r="R126" s="1162"/>
      <c r="S126" s="1162"/>
      <c r="T126" s="1162"/>
      <c r="U126" s="1162"/>
      <c r="V126" s="1162"/>
      <c r="W126" s="1162"/>
      <c r="X126" s="1162"/>
      <c r="Y126" s="1163"/>
      <c r="Z126" s="1163"/>
      <c r="AA126" s="1162"/>
    </row>
    <row r="127" ht="15.75" customHeight="1">
      <c r="A127" s="425"/>
      <c r="B127" s="425"/>
      <c r="C127" s="1162"/>
      <c r="D127" s="1162"/>
      <c r="E127" s="1162"/>
      <c r="F127" s="1162"/>
      <c r="G127" s="1162"/>
      <c r="H127" s="1162"/>
      <c r="I127" s="1162"/>
      <c r="J127" s="1162"/>
      <c r="K127" s="1162"/>
      <c r="L127" s="1162"/>
      <c r="M127" s="1162"/>
      <c r="N127" s="1162"/>
      <c r="O127" s="1162"/>
      <c r="P127" s="1162"/>
      <c r="Q127" s="1162"/>
      <c r="R127" s="1162"/>
      <c r="S127" s="1162"/>
      <c r="T127" s="1162"/>
      <c r="U127" s="1162"/>
      <c r="V127" s="1162"/>
      <c r="W127" s="1162"/>
      <c r="X127" s="1162"/>
      <c r="Y127" s="1163"/>
      <c r="Z127" s="1163"/>
      <c r="AA127" s="1162"/>
    </row>
    <row r="128" ht="15.75" customHeight="1">
      <c r="A128" s="425"/>
      <c r="B128" s="425"/>
      <c r="C128" s="1162"/>
      <c r="D128" s="1162"/>
      <c r="E128" s="1162"/>
      <c r="F128" s="1162"/>
      <c r="G128" s="1162"/>
      <c r="H128" s="1162"/>
      <c r="I128" s="1162"/>
      <c r="J128" s="1162"/>
      <c r="K128" s="1162"/>
      <c r="L128" s="1162"/>
      <c r="M128" s="1162"/>
      <c r="N128" s="1162"/>
      <c r="O128" s="1162"/>
      <c r="P128" s="1162"/>
      <c r="Q128" s="1162"/>
      <c r="R128" s="1162"/>
      <c r="S128" s="1162"/>
      <c r="T128" s="1162"/>
      <c r="U128" s="1162"/>
      <c r="V128" s="1162"/>
      <c r="W128" s="1162"/>
      <c r="X128" s="1162"/>
      <c r="Y128" s="1163"/>
      <c r="Z128" s="1163"/>
      <c r="AA128" s="1162"/>
    </row>
    <row r="129" ht="15.75" customHeight="1">
      <c r="A129" s="425"/>
      <c r="B129" s="425"/>
      <c r="C129" s="1162"/>
      <c r="D129" s="1162"/>
      <c r="E129" s="1162"/>
      <c r="F129" s="1162"/>
      <c r="G129" s="1162"/>
      <c r="H129" s="1162"/>
      <c r="I129" s="1162"/>
      <c r="J129" s="1162"/>
      <c r="K129" s="1162"/>
      <c r="L129" s="1162"/>
      <c r="M129" s="1162"/>
      <c r="N129" s="1162"/>
      <c r="O129" s="1162"/>
      <c r="P129" s="1162"/>
      <c r="Q129" s="1162"/>
      <c r="R129" s="1162"/>
      <c r="S129" s="1162"/>
      <c r="T129" s="1162"/>
      <c r="U129" s="1162"/>
      <c r="V129" s="1162"/>
      <c r="W129" s="1162"/>
      <c r="X129" s="1162"/>
      <c r="Y129" s="1163"/>
      <c r="Z129" s="1163"/>
      <c r="AA129" s="1162"/>
    </row>
    <row r="130" ht="15.75" customHeight="1">
      <c r="A130" s="425"/>
      <c r="B130" s="425"/>
      <c r="C130" s="1162"/>
      <c r="D130" s="1162"/>
      <c r="E130" s="1162"/>
      <c r="F130" s="1162"/>
      <c r="G130" s="1162"/>
      <c r="H130" s="1162"/>
      <c r="I130" s="1162"/>
      <c r="J130" s="1162"/>
      <c r="K130" s="1162"/>
      <c r="L130" s="1162"/>
      <c r="M130" s="1162"/>
      <c r="N130" s="1162"/>
      <c r="O130" s="1162"/>
      <c r="P130" s="1162"/>
      <c r="Q130" s="1162"/>
      <c r="R130" s="1162"/>
      <c r="S130" s="1162"/>
      <c r="T130" s="1162"/>
      <c r="U130" s="1162"/>
      <c r="V130" s="1162"/>
      <c r="W130" s="1162"/>
      <c r="X130" s="1162"/>
      <c r="Y130" s="1163"/>
      <c r="Z130" s="1163"/>
      <c r="AA130" s="1162"/>
    </row>
    <row r="131" ht="15.75" customHeight="1">
      <c r="A131" s="425"/>
      <c r="B131" s="425"/>
      <c r="C131" s="1162"/>
      <c r="D131" s="1162"/>
      <c r="E131" s="1162"/>
      <c r="F131" s="1162"/>
      <c r="G131" s="1162"/>
      <c r="H131" s="1162"/>
      <c r="I131" s="1162"/>
      <c r="J131" s="1162"/>
      <c r="K131" s="1162"/>
      <c r="L131" s="1162"/>
      <c r="M131" s="1162"/>
      <c r="N131" s="1162"/>
      <c r="O131" s="1162"/>
      <c r="P131" s="1162"/>
      <c r="Q131" s="1162"/>
      <c r="R131" s="1162"/>
      <c r="S131" s="1162"/>
      <c r="T131" s="1162"/>
      <c r="U131" s="1162"/>
      <c r="V131" s="1162"/>
      <c r="W131" s="1162"/>
      <c r="X131" s="1162"/>
      <c r="Y131" s="1163"/>
      <c r="Z131" s="1163"/>
      <c r="AA131" s="1162"/>
    </row>
    <row r="132" ht="15.75" customHeight="1">
      <c r="A132" s="425"/>
      <c r="B132" s="425"/>
      <c r="C132" s="1162"/>
      <c r="D132" s="1162"/>
      <c r="E132" s="1162"/>
      <c r="F132" s="1162"/>
      <c r="G132" s="1162"/>
      <c r="H132" s="1162"/>
      <c r="I132" s="1162"/>
      <c r="J132" s="1162"/>
      <c r="K132" s="1162"/>
      <c r="L132" s="1162"/>
      <c r="M132" s="1162"/>
      <c r="N132" s="1162"/>
      <c r="O132" s="1162"/>
      <c r="P132" s="1162"/>
      <c r="Q132" s="1162"/>
      <c r="R132" s="1162"/>
      <c r="S132" s="1162"/>
      <c r="T132" s="1162"/>
      <c r="U132" s="1162"/>
      <c r="V132" s="1162"/>
      <c r="W132" s="1162"/>
      <c r="X132" s="1162"/>
      <c r="Y132" s="1163"/>
      <c r="Z132" s="1163"/>
      <c r="AA132" s="1162"/>
    </row>
    <row r="133" ht="15.75" customHeight="1">
      <c r="A133" s="425"/>
      <c r="B133" s="425"/>
      <c r="C133" s="1162"/>
      <c r="D133" s="1162"/>
      <c r="E133" s="1162"/>
      <c r="F133" s="1162"/>
      <c r="G133" s="1162"/>
      <c r="H133" s="1162"/>
      <c r="I133" s="1162"/>
      <c r="J133" s="1162"/>
      <c r="K133" s="1162"/>
      <c r="L133" s="1162"/>
      <c r="M133" s="1162"/>
      <c r="N133" s="1162"/>
      <c r="O133" s="1162"/>
      <c r="P133" s="1162"/>
      <c r="Q133" s="1162"/>
      <c r="R133" s="1162"/>
      <c r="S133" s="1162"/>
      <c r="T133" s="1162"/>
      <c r="U133" s="1162"/>
      <c r="V133" s="1162"/>
      <c r="W133" s="1162"/>
      <c r="X133" s="1162"/>
      <c r="Y133" s="1163"/>
      <c r="Z133" s="1163"/>
      <c r="AA133" s="1162"/>
    </row>
    <row r="134" ht="15.75" customHeight="1">
      <c r="A134" s="425"/>
      <c r="B134" s="425"/>
      <c r="C134" s="1162"/>
      <c r="D134" s="1162"/>
      <c r="E134" s="1162"/>
      <c r="F134" s="1162"/>
      <c r="G134" s="1162"/>
      <c r="H134" s="1162"/>
      <c r="I134" s="1162"/>
      <c r="J134" s="1162"/>
      <c r="K134" s="1162"/>
      <c r="L134" s="1162"/>
      <c r="M134" s="1162"/>
      <c r="N134" s="1162"/>
      <c r="O134" s="1162"/>
      <c r="P134" s="1162"/>
      <c r="Q134" s="1162"/>
      <c r="R134" s="1162"/>
      <c r="S134" s="1162"/>
      <c r="T134" s="1162"/>
      <c r="U134" s="1162"/>
      <c r="V134" s="1162"/>
      <c r="W134" s="1162"/>
      <c r="X134" s="1162"/>
      <c r="Y134" s="1163"/>
      <c r="Z134" s="1163"/>
      <c r="AA134" s="1162"/>
    </row>
    <row r="135" ht="15.75" customHeight="1">
      <c r="A135" s="425"/>
      <c r="B135" s="425"/>
      <c r="C135" s="1162"/>
      <c r="D135" s="1162"/>
      <c r="E135" s="1162"/>
      <c r="F135" s="1162"/>
      <c r="G135" s="1162"/>
      <c r="H135" s="1162"/>
      <c r="I135" s="1162"/>
      <c r="J135" s="1162"/>
      <c r="K135" s="1162"/>
      <c r="L135" s="1162"/>
      <c r="M135" s="1162"/>
      <c r="N135" s="1162"/>
      <c r="O135" s="1162"/>
      <c r="P135" s="1162"/>
      <c r="Q135" s="1162"/>
      <c r="R135" s="1162"/>
      <c r="S135" s="1162"/>
      <c r="T135" s="1162"/>
      <c r="U135" s="1162"/>
      <c r="V135" s="1162"/>
      <c r="W135" s="1162"/>
      <c r="X135" s="1162"/>
      <c r="Y135" s="1163"/>
      <c r="Z135" s="1163"/>
      <c r="AA135" s="1162"/>
    </row>
    <row r="136" ht="15.75" customHeight="1">
      <c r="A136" s="425"/>
      <c r="B136" s="425"/>
      <c r="C136" s="1162"/>
      <c r="D136" s="1162"/>
      <c r="E136" s="1162"/>
      <c r="F136" s="1162"/>
      <c r="G136" s="1162"/>
      <c r="H136" s="1162"/>
      <c r="I136" s="1162"/>
      <c r="J136" s="1162"/>
      <c r="K136" s="1162"/>
      <c r="L136" s="1162"/>
      <c r="M136" s="1162"/>
      <c r="N136" s="1162"/>
      <c r="O136" s="1162"/>
      <c r="P136" s="1162"/>
      <c r="Q136" s="1162"/>
      <c r="R136" s="1162"/>
      <c r="S136" s="1162"/>
      <c r="T136" s="1162"/>
      <c r="U136" s="1162"/>
      <c r="V136" s="1162"/>
      <c r="W136" s="1162"/>
      <c r="X136" s="1162"/>
      <c r="Y136" s="1163"/>
      <c r="Z136" s="1163"/>
      <c r="AA136" s="1162"/>
    </row>
    <row r="137" ht="15.75" customHeight="1">
      <c r="A137" s="425"/>
      <c r="B137" s="425"/>
      <c r="C137" s="1162"/>
      <c r="D137" s="1162"/>
      <c r="E137" s="1162"/>
      <c r="F137" s="1162"/>
      <c r="G137" s="1162"/>
      <c r="H137" s="1162"/>
      <c r="I137" s="1162"/>
      <c r="J137" s="1162"/>
      <c r="K137" s="1162"/>
      <c r="L137" s="1162"/>
      <c r="M137" s="1162"/>
      <c r="N137" s="1162"/>
      <c r="O137" s="1162"/>
      <c r="P137" s="1162"/>
      <c r="Q137" s="1162"/>
      <c r="R137" s="1162"/>
      <c r="S137" s="1162"/>
      <c r="T137" s="1162"/>
      <c r="U137" s="1162"/>
      <c r="V137" s="1162"/>
      <c r="W137" s="1162"/>
      <c r="X137" s="1162"/>
      <c r="Y137" s="1163"/>
      <c r="Z137" s="1163"/>
      <c r="AA137" s="1162"/>
    </row>
    <row r="138" ht="15.75" customHeight="1">
      <c r="A138" s="425"/>
      <c r="B138" s="425"/>
      <c r="C138" s="1162"/>
      <c r="D138" s="1162"/>
      <c r="E138" s="1162"/>
      <c r="F138" s="1162"/>
      <c r="G138" s="1162"/>
      <c r="H138" s="1162"/>
      <c r="I138" s="1162"/>
      <c r="J138" s="1162"/>
      <c r="K138" s="1162"/>
      <c r="L138" s="1162"/>
      <c r="M138" s="1162"/>
      <c r="N138" s="1162"/>
      <c r="O138" s="1162"/>
      <c r="P138" s="1162"/>
      <c r="Q138" s="1162"/>
      <c r="R138" s="1162"/>
      <c r="S138" s="1162"/>
      <c r="T138" s="1162"/>
      <c r="U138" s="1162"/>
      <c r="V138" s="1162"/>
      <c r="W138" s="1162"/>
      <c r="X138" s="1162"/>
      <c r="Y138" s="1163"/>
      <c r="Z138" s="1163"/>
      <c r="AA138" s="1162"/>
    </row>
    <row r="139" ht="15.75" customHeight="1">
      <c r="A139" s="425"/>
      <c r="B139" s="425"/>
      <c r="C139" s="1162"/>
      <c r="D139" s="1162"/>
      <c r="E139" s="1162"/>
      <c r="F139" s="1162"/>
      <c r="G139" s="1162"/>
      <c r="H139" s="1162"/>
      <c r="I139" s="1162"/>
      <c r="J139" s="1162"/>
      <c r="K139" s="1162"/>
      <c r="L139" s="1162"/>
      <c r="M139" s="1162"/>
      <c r="N139" s="1162"/>
      <c r="O139" s="1162"/>
      <c r="P139" s="1162"/>
      <c r="Q139" s="1162"/>
      <c r="R139" s="1162"/>
      <c r="S139" s="1162"/>
      <c r="T139" s="1162"/>
      <c r="U139" s="1162"/>
      <c r="V139" s="1162"/>
      <c r="W139" s="1162"/>
      <c r="X139" s="1162"/>
      <c r="Y139" s="1163"/>
      <c r="Z139" s="1163"/>
      <c r="AA139" s="1162"/>
    </row>
    <row r="140" ht="15.75" customHeight="1">
      <c r="A140" s="425"/>
      <c r="B140" s="425"/>
      <c r="C140" s="1162"/>
      <c r="D140" s="1162"/>
      <c r="E140" s="1162"/>
      <c r="F140" s="1162"/>
      <c r="G140" s="1162"/>
      <c r="H140" s="1162"/>
      <c r="I140" s="1162"/>
      <c r="J140" s="1162"/>
      <c r="K140" s="1162"/>
      <c r="L140" s="1162"/>
      <c r="M140" s="1162"/>
      <c r="N140" s="1162"/>
      <c r="O140" s="1162"/>
      <c r="P140" s="1162"/>
      <c r="Q140" s="1162"/>
      <c r="R140" s="1162"/>
      <c r="S140" s="1162"/>
      <c r="T140" s="1162"/>
      <c r="U140" s="1162"/>
      <c r="V140" s="1162"/>
      <c r="W140" s="1162"/>
      <c r="X140" s="1162"/>
      <c r="Y140" s="1163"/>
      <c r="Z140" s="1163"/>
      <c r="AA140" s="1162"/>
    </row>
    <row r="141" ht="15.75" customHeight="1">
      <c r="A141" s="425"/>
      <c r="B141" s="425"/>
      <c r="C141" s="1162"/>
      <c r="D141" s="1162"/>
      <c r="E141" s="1162"/>
      <c r="F141" s="1162"/>
      <c r="G141" s="1162"/>
      <c r="H141" s="1162"/>
      <c r="I141" s="1162"/>
      <c r="J141" s="1162"/>
      <c r="K141" s="1162"/>
      <c r="L141" s="1162"/>
      <c r="M141" s="1162"/>
      <c r="N141" s="1162"/>
      <c r="O141" s="1162"/>
      <c r="P141" s="1162"/>
      <c r="Q141" s="1162"/>
      <c r="R141" s="1162"/>
      <c r="S141" s="1162"/>
      <c r="T141" s="1162"/>
      <c r="U141" s="1162"/>
      <c r="V141" s="1162"/>
      <c r="W141" s="1162"/>
      <c r="X141" s="1162"/>
      <c r="Y141" s="1163"/>
      <c r="Z141" s="1163"/>
      <c r="AA141" s="1162"/>
    </row>
    <row r="142" ht="15.75" customHeight="1">
      <c r="A142" s="425"/>
      <c r="B142" s="425"/>
      <c r="C142" s="1162"/>
      <c r="D142" s="1162"/>
      <c r="E142" s="1162"/>
      <c r="F142" s="1162"/>
      <c r="G142" s="1162"/>
      <c r="H142" s="1162"/>
      <c r="I142" s="1162"/>
      <c r="J142" s="1162"/>
      <c r="K142" s="1162"/>
      <c r="L142" s="1162"/>
      <c r="M142" s="1162"/>
      <c r="N142" s="1162"/>
      <c r="O142" s="1162"/>
      <c r="P142" s="1162"/>
      <c r="Q142" s="1162"/>
      <c r="R142" s="1162"/>
      <c r="S142" s="1162"/>
      <c r="T142" s="1162"/>
      <c r="U142" s="1162"/>
      <c r="V142" s="1162"/>
      <c r="W142" s="1162"/>
      <c r="X142" s="1162"/>
      <c r="Y142" s="1163"/>
      <c r="Z142" s="1163"/>
      <c r="AA142" s="1162"/>
    </row>
    <row r="143" ht="15.75" customHeight="1">
      <c r="A143" s="425"/>
      <c r="B143" s="425"/>
      <c r="C143" s="1162"/>
      <c r="D143" s="1162"/>
      <c r="E143" s="1162"/>
      <c r="F143" s="1162"/>
      <c r="G143" s="1162"/>
      <c r="H143" s="1162"/>
      <c r="I143" s="1162"/>
      <c r="J143" s="1162"/>
      <c r="K143" s="1162"/>
      <c r="L143" s="1162"/>
      <c r="M143" s="1162"/>
      <c r="N143" s="1162"/>
      <c r="O143" s="1162"/>
      <c r="P143" s="1162"/>
      <c r="Q143" s="1162"/>
      <c r="R143" s="1162"/>
      <c r="S143" s="1162"/>
      <c r="T143" s="1162"/>
      <c r="U143" s="1162"/>
      <c r="V143" s="1162"/>
      <c r="W143" s="1162"/>
      <c r="X143" s="1162"/>
      <c r="Y143" s="1163"/>
      <c r="Z143" s="1163"/>
      <c r="AA143" s="1162"/>
    </row>
    <row r="144" ht="15.75" customHeight="1">
      <c r="A144" s="425"/>
      <c r="B144" s="425"/>
      <c r="C144" s="1162"/>
      <c r="D144" s="1162"/>
      <c r="E144" s="1162"/>
      <c r="F144" s="1162"/>
      <c r="G144" s="1162"/>
      <c r="H144" s="1162"/>
      <c r="I144" s="1162"/>
      <c r="J144" s="1162"/>
      <c r="K144" s="1162"/>
      <c r="L144" s="1162"/>
      <c r="M144" s="1162"/>
      <c r="N144" s="1162"/>
      <c r="O144" s="1162"/>
      <c r="P144" s="1162"/>
      <c r="Q144" s="1162"/>
      <c r="R144" s="1162"/>
      <c r="S144" s="1162"/>
      <c r="T144" s="1162"/>
      <c r="U144" s="1162"/>
      <c r="V144" s="1162"/>
      <c r="W144" s="1162"/>
      <c r="X144" s="1162"/>
      <c r="Y144" s="1163"/>
      <c r="Z144" s="1163"/>
      <c r="AA144" s="1162"/>
    </row>
    <row r="145" ht="15.75" customHeight="1">
      <c r="A145" s="425"/>
      <c r="B145" s="425"/>
      <c r="C145" s="1162"/>
      <c r="D145" s="1162"/>
      <c r="E145" s="1162"/>
      <c r="F145" s="1162"/>
      <c r="G145" s="1162"/>
      <c r="H145" s="1162"/>
      <c r="I145" s="1162"/>
      <c r="J145" s="1162"/>
      <c r="K145" s="1162"/>
      <c r="L145" s="1162"/>
      <c r="M145" s="1162"/>
      <c r="N145" s="1162"/>
      <c r="O145" s="1162"/>
      <c r="P145" s="1162"/>
      <c r="Q145" s="1162"/>
      <c r="R145" s="1162"/>
      <c r="S145" s="1162"/>
      <c r="T145" s="1162"/>
      <c r="U145" s="1162"/>
      <c r="V145" s="1162"/>
      <c r="W145" s="1162"/>
      <c r="X145" s="1162"/>
      <c r="Y145" s="1163"/>
      <c r="Z145" s="1163"/>
      <c r="AA145" s="1162"/>
    </row>
    <row r="146" ht="15.75" customHeight="1">
      <c r="A146" s="425"/>
      <c r="B146" s="425"/>
      <c r="C146" s="1162"/>
      <c r="D146" s="1162"/>
      <c r="E146" s="1162"/>
      <c r="F146" s="1162"/>
      <c r="G146" s="1162"/>
      <c r="H146" s="1162"/>
      <c r="I146" s="1162"/>
      <c r="J146" s="1162"/>
      <c r="K146" s="1162"/>
      <c r="L146" s="1162"/>
      <c r="M146" s="1162"/>
      <c r="N146" s="1162"/>
      <c r="O146" s="1162"/>
      <c r="P146" s="1162"/>
      <c r="Q146" s="1162"/>
      <c r="R146" s="1162"/>
      <c r="S146" s="1162"/>
      <c r="T146" s="1162"/>
      <c r="U146" s="1162"/>
      <c r="V146" s="1162"/>
      <c r="W146" s="1162"/>
      <c r="X146" s="1162"/>
      <c r="Y146" s="1163"/>
      <c r="Z146" s="1163"/>
      <c r="AA146" s="1162"/>
    </row>
    <row r="147" ht="15.75" customHeight="1">
      <c r="A147" s="425"/>
      <c r="B147" s="425"/>
      <c r="C147" s="1162"/>
      <c r="D147" s="1162"/>
      <c r="E147" s="1162"/>
      <c r="F147" s="1162"/>
      <c r="G147" s="1162"/>
      <c r="H147" s="1162"/>
      <c r="I147" s="1162"/>
      <c r="J147" s="1162"/>
      <c r="K147" s="1162"/>
      <c r="L147" s="1162"/>
      <c r="M147" s="1162"/>
      <c r="N147" s="1162"/>
      <c r="O147" s="1162"/>
      <c r="P147" s="1162"/>
      <c r="Q147" s="1162"/>
      <c r="R147" s="1162"/>
      <c r="S147" s="1162"/>
      <c r="T147" s="1162"/>
      <c r="U147" s="1162"/>
      <c r="V147" s="1162"/>
      <c r="W147" s="1162"/>
      <c r="X147" s="1162"/>
      <c r="Y147" s="1163"/>
      <c r="Z147" s="1163"/>
      <c r="AA147" s="1162"/>
    </row>
    <row r="148" ht="15.75" customHeight="1">
      <c r="A148" s="425"/>
      <c r="B148" s="425"/>
      <c r="C148" s="1162"/>
      <c r="D148" s="1162"/>
      <c r="E148" s="1162"/>
      <c r="F148" s="1162"/>
      <c r="G148" s="1162"/>
      <c r="H148" s="1162"/>
      <c r="I148" s="1162"/>
      <c r="J148" s="1162"/>
      <c r="K148" s="1162"/>
      <c r="L148" s="1162"/>
      <c r="M148" s="1162"/>
      <c r="N148" s="1162"/>
      <c r="O148" s="1162"/>
      <c r="P148" s="1162"/>
      <c r="Q148" s="1162"/>
      <c r="R148" s="1162"/>
      <c r="S148" s="1162"/>
      <c r="T148" s="1162"/>
      <c r="U148" s="1162"/>
      <c r="V148" s="1162"/>
      <c r="W148" s="1162"/>
      <c r="X148" s="1162"/>
      <c r="Y148" s="1163"/>
      <c r="Z148" s="1163"/>
      <c r="AA148" s="1162"/>
    </row>
    <row r="149" ht="15.75" customHeight="1">
      <c r="A149" s="425"/>
      <c r="B149" s="425"/>
      <c r="C149" s="1162"/>
      <c r="D149" s="1162"/>
      <c r="E149" s="1162"/>
      <c r="F149" s="1162"/>
      <c r="G149" s="1162"/>
      <c r="H149" s="1162"/>
      <c r="I149" s="1162"/>
      <c r="J149" s="1162"/>
      <c r="K149" s="1162"/>
      <c r="L149" s="1162"/>
      <c r="M149" s="1162"/>
      <c r="N149" s="1162"/>
      <c r="O149" s="1162"/>
      <c r="P149" s="1162"/>
      <c r="Q149" s="1162"/>
      <c r="R149" s="1162"/>
      <c r="S149" s="1162"/>
      <c r="T149" s="1162"/>
      <c r="U149" s="1162"/>
      <c r="V149" s="1162"/>
      <c r="W149" s="1162"/>
      <c r="X149" s="1162"/>
      <c r="Y149" s="1163"/>
      <c r="Z149" s="1163"/>
      <c r="AA149" s="1162"/>
    </row>
    <row r="150" ht="15.75" customHeight="1">
      <c r="A150" s="425"/>
      <c r="B150" s="425"/>
      <c r="C150" s="1162"/>
      <c r="D150" s="1162"/>
      <c r="E150" s="1162"/>
      <c r="F150" s="1162"/>
      <c r="G150" s="1162"/>
      <c r="H150" s="1162"/>
      <c r="I150" s="1162"/>
      <c r="J150" s="1162"/>
      <c r="K150" s="1162"/>
      <c r="L150" s="1162"/>
      <c r="M150" s="1162"/>
      <c r="N150" s="1162"/>
      <c r="O150" s="1162"/>
      <c r="P150" s="1162"/>
      <c r="Q150" s="1162"/>
      <c r="R150" s="1162"/>
      <c r="S150" s="1162"/>
      <c r="T150" s="1162"/>
      <c r="U150" s="1162"/>
      <c r="V150" s="1162"/>
      <c r="W150" s="1162"/>
      <c r="X150" s="1162"/>
      <c r="Y150" s="1163"/>
      <c r="Z150" s="1163"/>
      <c r="AA150" s="1162"/>
    </row>
    <row r="151" ht="15.75" customHeight="1">
      <c r="A151" s="425"/>
      <c r="B151" s="425"/>
      <c r="C151" s="1162"/>
      <c r="D151" s="1162"/>
      <c r="E151" s="1162"/>
      <c r="F151" s="1162"/>
      <c r="G151" s="1162"/>
      <c r="H151" s="1162"/>
      <c r="I151" s="1162"/>
      <c r="J151" s="1162"/>
      <c r="K151" s="1162"/>
      <c r="L151" s="1162"/>
      <c r="M151" s="1162"/>
      <c r="N151" s="1162"/>
      <c r="O151" s="1162"/>
      <c r="P151" s="1162"/>
      <c r="Q151" s="1162"/>
      <c r="R151" s="1162"/>
      <c r="S151" s="1162"/>
      <c r="T151" s="1162"/>
      <c r="U151" s="1162"/>
      <c r="V151" s="1162"/>
      <c r="W151" s="1162"/>
      <c r="X151" s="1162"/>
      <c r="Y151" s="1163"/>
      <c r="Z151" s="1163"/>
      <c r="AA151" s="1162"/>
    </row>
    <row r="152" ht="15.75" customHeight="1">
      <c r="A152" s="425"/>
      <c r="B152" s="425"/>
      <c r="C152" s="1162"/>
      <c r="D152" s="1162"/>
      <c r="E152" s="1162"/>
      <c r="F152" s="1162"/>
      <c r="G152" s="1162"/>
      <c r="H152" s="1162"/>
      <c r="I152" s="1162"/>
      <c r="J152" s="1162"/>
      <c r="K152" s="1162"/>
      <c r="L152" s="1162"/>
      <c r="M152" s="1162"/>
      <c r="N152" s="1162"/>
      <c r="O152" s="1162"/>
      <c r="P152" s="1162"/>
      <c r="Q152" s="1162"/>
      <c r="R152" s="1162"/>
      <c r="S152" s="1162"/>
      <c r="T152" s="1162"/>
      <c r="U152" s="1162"/>
      <c r="V152" s="1162"/>
      <c r="W152" s="1162"/>
      <c r="X152" s="1162"/>
      <c r="Y152" s="1163"/>
      <c r="Z152" s="1163"/>
      <c r="AA152" s="1162"/>
    </row>
    <row r="153" ht="15.75" customHeight="1">
      <c r="A153" s="425"/>
      <c r="B153" s="425"/>
      <c r="C153" s="1162"/>
      <c r="D153" s="1162"/>
      <c r="E153" s="1162"/>
      <c r="F153" s="1162"/>
      <c r="G153" s="1162"/>
      <c r="H153" s="1162"/>
      <c r="I153" s="1162"/>
      <c r="J153" s="1162"/>
      <c r="K153" s="1162"/>
      <c r="L153" s="1162"/>
      <c r="M153" s="1162"/>
      <c r="N153" s="1162"/>
      <c r="O153" s="1162"/>
      <c r="P153" s="1162"/>
      <c r="Q153" s="1162"/>
      <c r="R153" s="1162"/>
      <c r="S153" s="1162"/>
      <c r="T153" s="1162"/>
      <c r="U153" s="1162"/>
      <c r="V153" s="1162"/>
      <c r="W153" s="1162"/>
      <c r="X153" s="1162"/>
      <c r="Y153" s="1163"/>
      <c r="Z153" s="1163"/>
      <c r="AA153" s="1162"/>
    </row>
    <row r="154" ht="15.75" customHeight="1">
      <c r="A154" s="425"/>
      <c r="B154" s="425"/>
      <c r="C154" s="1162"/>
      <c r="D154" s="1162"/>
      <c r="E154" s="1162"/>
      <c r="F154" s="1162"/>
      <c r="G154" s="1162"/>
      <c r="H154" s="1162"/>
      <c r="I154" s="1162"/>
      <c r="J154" s="1162"/>
      <c r="K154" s="1162"/>
      <c r="L154" s="1162"/>
      <c r="M154" s="1162"/>
      <c r="N154" s="1162"/>
      <c r="O154" s="1162"/>
      <c r="P154" s="1162"/>
      <c r="Q154" s="1162"/>
      <c r="R154" s="1162"/>
      <c r="S154" s="1162"/>
      <c r="T154" s="1162"/>
      <c r="U154" s="1162"/>
      <c r="V154" s="1162"/>
      <c r="W154" s="1162"/>
      <c r="X154" s="1162"/>
      <c r="Y154" s="1163"/>
      <c r="Z154" s="1163"/>
      <c r="AA154" s="1162"/>
    </row>
    <row r="155" ht="15.75" customHeight="1">
      <c r="A155" s="425"/>
      <c r="B155" s="425"/>
      <c r="C155" s="1162"/>
      <c r="D155" s="1162"/>
      <c r="E155" s="1162"/>
      <c r="F155" s="1162"/>
      <c r="G155" s="1162"/>
      <c r="H155" s="1162"/>
      <c r="I155" s="1162"/>
      <c r="J155" s="1162"/>
      <c r="K155" s="1162"/>
      <c r="L155" s="1162"/>
      <c r="M155" s="1162"/>
      <c r="N155" s="1162"/>
      <c r="O155" s="1162"/>
      <c r="P155" s="1162"/>
      <c r="Q155" s="1162"/>
      <c r="R155" s="1162"/>
      <c r="S155" s="1162"/>
      <c r="T155" s="1162"/>
      <c r="U155" s="1162"/>
      <c r="V155" s="1162"/>
      <c r="W155" s="1162"/>
      <c r="X155" s="1162"/>
      <c r="Y155" s="1163"/>
      <c r="Z155" s="1163"/>
      <c r="AA155" s="1162"/>
    </row>
    <row r="156" ht="15.75" customHeight="1">
      <c r="A156" s="425"/>
      <c r="B156" s="425"/>
      <c r="C156" s="1162"/>
      <c r="D156" s="1162"/>
      <c r="E156" s="1162"/>
      <c r="F156" s="1162"/>
      <c r="G156" s="1162"/>
      <c r="H156" s="1162"/>
      <c r="I156" s="1162"/>
      <c r="J156" s="1162"/>
      <c r="K156" s="1162"/>
      <c r="L156" s="1162"/>
      <c r="M156" s="1162"/>
      <c r="N156" s="1162"/>
      <c r="O156" s="1162"/>
      <c r="P156" s="1162"/>
      <c r="Q156" s="1162"/>
      <c r="R156" s="1162"/>
      <c r="S156" s="1162"/>
      <c r="T156" s="1162"/>
      <c r="U156" s="1162"/>
      <c r="V156" s="1162"/>
      <c r="W156" s="1162"/>
      <c r="X156" s="1162"/>
      <c r="Y156" s="1163"/>
      <c r="Z156" s="1163"/>
      <c r="AA156" s="1162"/>
    </row>
    <row r="157" ht="15.75" customHeight="1">
      <c r="A157" s="425"/>
      <c r="B157" s="425"/>
      <c r="C157" s="1162"/>
      <c r="D157" s="1162"/>
      <c r="E157" s="1162"/>
      <c r="F157" s="1162"/>
      <c r="G157" s="1162"/>
      <c r="H157" s="1162"/>
      <c r="I157" s="1162"/>
      <c r="J157" s="1162"/>
      <c r="K157" s="1162"/>
      <c r="L157" s="1162"/>
      <c r="M157" s="1162"/>
      <c r="N157" s="1162"/>
      <c r="O157" s="1162"/>
      <c r="P157" s="1162"/>
      <c r="Q157" s="1162"/>
      <c r="R157" s="1162"/>
      <c r="S157" s="1162"/>
      <c r="T157" s="1162"/>
      <c r="U157" s="1162"/>
      <c r="V157" s="1162"/>
      <c r="W157" s="1162"/>
      <c r="X157" s="1162"/>
      <c r="Y157" s="1163"/>
      <c r="Z157" s="1163"/>
      <c r="AA157" s="1162"/>
    </row>
    <row r="158" ht="15.75" customHeight="1">
      <c r="A158" s="425"/>
      <c r="B158" s="425"/>
      <c r="C158" s="1162"/>
      <c r="D158" s="1162"/>
      <c r="E158" s="1162"/>
      <c r="F158" s="1162"/>
      <c r="G158" s="1162"/>
      <c r="H158" s="1162"/>
      <c r="I158" s="1162"/>
      <c r="J158" s="1162"/>
      <c r="K158" s="1162"/>
      <c r="L158" s="1162"/>
      <c r="M158" s="1162"/>
      <c r="N158" s="1162"/>
      <c r="O158" s="1162"/>
      <c r="P158" s="1162"/>
      <c r="Q158" s="1162"/>
      <c r="R158" s="1162"/>
      <c r="S158" s="1162"/>
      <c r="T158" s="1162"/>
      <c r="U158" s="1162"/>
      <c r="V158" s="1162"/>
      <c r="W158" s="1162"/>
      <c r="X158" s="1162"/>
      <c r="Y158" s="1163"/>
      <c r="Z158" s="1163"/>
      <c r="AA158" s="1162"/>
    </row>
    <row r="159" ht="15.75" customHeight="1">
      <c r="A159" s="425"/>
      <c r="B159" s="425"/>
      <c r="C159" s="1162"/>
      <c r="D159" s="1162"/>
      <c r="E159" s="1162"/>
      <c r="F159" s="1162"/>
      <c r="G159" s="1162"/>
      <c r="H159" s="1162"/>
      <c r="I159" s="1162"/>
      <c r="J159" s="1162"/>
      <c r="K159" s="1162"/>
      <c r="L159" s="1162"/>
      <c r="M159" s="1162"/>
      <c r="N159" s="1162"/>
      <c r="O159" s="1162"/>
      <c r="P159" s="1162"/>
      <c r="Q159" s="1162"/>
      <c r="R159" s="1162"/>
      <c r="S159" s="1162"/>
      <c r="T159" s="1162"/>
      <c r="U159" s="1162"/>
      <c r="V159" s="1162"/>
      <c r="W159" s="1162"/>
      <c r="X159" s="1162"/>
      <c r="Y159" s="1163"/>
      <c r="Z159" s="1163"/>
      <c r="AA159" s="1162"/>
    </row>
    <row r="160" ht="15.75" customHeight="1">
      <c r="A160" s="425"/>
      <c r="B160" s="425"/>
      <c r="C160" s="1162"/>
      <c r="D160" s="1162"/>
      <c r="E160" s="1162"/>
      <c r="F160" s="1162"/>
      <c r="G160" s="1162"/>
      <c r="H160" s="1162"/>
      <c r="I160" s="1162"/>
      <c r="J160" s="1162"/>
      <c r="K160" s="1162"/>
      <c r="L160" s="1162"/>
      <c r="M160" s="1162"/>
      <c r="N160" s="1162"/>
      <c r="O160" s="1162"/>
      <c r="P160" s="1162"/>
      <c r="Q160" s="1162"/>
      <c r="R160" s="1162"/>
      <c r="S160" s="1162"/>
      <c r="T160" s="1162"/>
      <c r="U160" s="1162"/>
      <c r="V160" s="1162"/>
      <c r="W160" s="1162"/>
      <c r="X160" s="1162"/>
      <c r="Y160" s="1163"/>
      <c r="Z160" s="1163"/>
      <c r="AA160" s="1162"/>
    </row>
    <row r="161" ht="15.75" customHeight="1">
      <c r="A161" s="425"/>
      <c r="B161" s="425"/>
      <c r="C161" s="1162"/>
      <c r="D161" s="1162"/>
      <c r="E161" s="1162"/>
      <c r="F161" s="1162"/>
      <c r="G161" s="1162"/>
      <c r="H161" s="1162"/>
      <c r="I161" s="1162"/>
      <c r="J161" s="1162"/>
      <c r="K161" s="1162"/>
      <c r="L161" s="1162"/>
      <c r="M161" s="1162"/>
      <c r="N161" s="1162"/>
      <c r="O161" s="1162"/>
      <c r="P161" s="1162"/>
      <c r="Q161" s="1162"/>
      <c r="R161" s="1162"/>
      <c r="S161" s="1162"/>
      <c r="T161" s="1162"/>
      <c r="U161" s="1162"/>
      <c r="V161" s="1162"/>
      <c r="W161" s="1162"/>
      <c r="X161" s="1162"/>
      <c r="Y161" s="1163"/>
      <c r="Z161" s="1163"/>
      <c r="AA161" s="1162"/>
    </row>
    <row r="162" ht="15.75" customHeight="1">
      <c r="A162" s="425"/>
      <c r="B162" s="425"/>
      <c r="C162" s="1162"/>
      <c r="D162" s="1162"/>
      <c r="E162" s="1162"/>
      <c r="F162" s="1162"/>
      <c r="G162" s="1162"/>
      <c r="H162" s="1162"/>
      <c r="I162" s="1162"/>
      <c r="J162" s="1162"/>
      <c r="K162" s="1162"/>
      <c r="L162" s="1162"/>
      <c r="M162" s="1162"/>
      <c r="N162" s="1162"/>
      <c r="O162" s="1162"/>
      <c r="P162" s="1162"/>
      <c r="Q162" s="1162"/>
      <c r="R162" s="1162"/>
      <c r="S162" s="1162"/>
      <c r="T162" s="1162"/>
      <c r="U162" s="1162"/>
      <c r="V162" s="1162"/>
      <c r="W162" s="1162"/>
      <c r="X162" s="1162"/>
      <c r="Y162" s="1163"/>
      <c r="Z162" s="1163"/>
      <c r="AA162" s="1162"/>
    </row>
    <row r="163" ht="15.75" customHeight="1">
      <c r="A163" s="425"/>
      <c r="B163" s="425"/>
      <c r="C163" s="1162"/>
      <c r="D163" s="1162"/>
      <c r="E163" s="1162"/>
      <c r="F163" s="1162"/>
      <c r="G163" s="1162"/>
      <c r="H163" s="1162"/>
      <c r="I163" s="1162"/>
      <c r="J163" s="1162"/>
      <c r="K163" s="1162"/>
      <c r="L163" s="1162"/>
      <c r="M163" s="1162"/>
      <c r="N163" s="1162"/>
      <c r="O163" s="1162"/>
      <c r="P163" s="1162"/>
      <c r="Q163" s="1162"/>
      <c r="R163" s="1162"/>
      <c r="S163" s="1162"/>
      <c r="T163" s="1162"/>
      <c r="U163" s="1162"/>
      <c r="V163" s="1162"/>
      <c r="W163" s="1162"/>
      <c r="X163" s="1162"/>
      <c r="Y163" s="1163"/>
      <c r="Z163" s="1163"/>
      <c r="AA163" s="1162"/>
    </row>
    <row r="164" ht="15.75" customHeight="1">
      <c r="A164" s="425"/>
      <c r="B164" s="425"/>
      <c r="C164" s="1162"/>
      <c r="D164" s="1162"/>
      <c r="E164" s="1162"/>
      <c r="F164" s="1162"/>
      <c r="G164" s="1162"/>
      <c r="H164" s="1162"/>
      <c r="I164" s="1162"/>
      <c r="J164" s="1162"/>
      <c r="K164" s="1162"/>
      <c r="L164" s="1162"/>
      <c r="M164" s="1162"/>
      <c r="N164" s="1162"/>
      <c r="O164" s="1162"/>
      <c r="P164" s="1162"/>
      <c r="Q164" s="1162"/>
      <c r="R164" s="1162"/>
      <c r="S164" s="1162"/>
      <c r="T164" s="1162"/>
      <c r="U164" s="1162"/>
      <c r="V164" s="1162"/>
      <c r="W164" s="1162"/>
      <c r="X164" s="1162"/>
      <c r="Y164" s="1163"/>
      <c r="Z164" s="1163"/>
      <c r="AA164" s="1162"/>
    </row>
    <row r="165" ht="15.75" customHeight="1">
      <c r="A165" s="425"/>
      <c r="B165" s="425"/>
      <c r="C165" s="1162"/>
      <c r="D165" s="1162"/>
      <c r="E165" s="1162"/>
      <c r="F165" s="1162"/>
      <c r="G165" s="1162"/>
      <c r="H165" s="1162"/>
      <c r="I165" s="1162"/>
      <c r="J165" s="1162"/>
      <c r="K165" s="1162"/>
      <c r="L165" s="1162"/>
      <c r="M165" s="1162"/>
      <c r="N165" s="1162"/>
      <c r="O165" s="1162"/>
      <c r="P165" s="1162"/>
      <c r="Q165" s="1162"/>
      <c r="R165" s="1162"/>
      <c r="S165" s="1162"/>
      <c r="T165" s="1162"/>
      <c r="U165" s="1162"/>
      <c r="V165" s="1162"/>
      <c r="W165" s="1162"/>
      <c r="X165" s="1162"/>
      <c r="Y165" s="1163"/>
      <c r="Z165" s="1163"/>
      <c r="AA165" s="1162"/>
    </row>
    <row r="166" ht="15.75" customHeight="1">
      <c r="A166" s="425"/>
      <c r="B166" s="425"/>
      <c r="C166" s="1162"/>
      <c r="D166" s="1162"/>
      <c r="E166" s="1162"/>
      <c r="F166" s="1162"/>
      <c r="G166" s="1162"/>
      <c r="H166" s="1162"/>
      <c r="I166" s="1162"/>
      <c r="J166" s="1162"/>
      <c r="K166" s="1162"/>
      <c r="L166" s="1162"/>
      <c r="M166" s="1162"/>
      <c r="N166" s="1162"/>
      <c r="O166" s="1162"/>
      <c r="P166" s="1162"/>
      <c r="Q166" s="1162"/>
      <c r="R166" s="1162"/>
      <c r="S166" s="1162"/>
      <c r="T166" s="1162"/>
      <c r="U166" s="1162"/>
      <c r="V166" s="1162"/>
      <c r="W166" s="1162"/>
      <c r="X166" s="1162"/>
      <c r="Y166" s="1163"/>
      <c r="Z166" s="1163"/>
      <c r="AA166" s="1162"/>
    </row>
    <row r="167" ht="15.75" customHeight="1">
      <c r="A167" s="425"/>
      <c r="B167" s="425"/>
      <c r="C167" s="1162"/>
      <c r="D167" s="1162"/>
      <c r="E167" s="1162"/>
      <c r="F167" s="1162"/>
      <c r="G167" s="1162"/>
      <c r="H167" s="1162"/>
      <c r="I167" s="1162"/>
      <c r="J167" s="1162"/>
      <c r="K167" s="1162"/>
      <c r="L167" s="1162"/>
      <c r="M167" s="1162"/>
      <c r="N167" s="1162"/>
      <c r="O167" s="1162"/>
      <c r="P167" s="1162"/>
      <c r="Q167" s="1162"/>
      <c r="R167" s="1162"/>
      <c r="S167" s="1162"/>
      <c r="T167" s="1162"/>
      <c r="U167" s="1162"/>
      <c r="V167" s="1162"/>
      <c r="W167" s="1162"/>
      <c r="X167" s="1162"/>
      <c r="Y167" s="1163"/>
      <c r="Z167" s="1163"/>
      <c r="AA167" s="1162"/>
    </row>
    <row r="168" ht="15.75" customHeight="1">
      <c r="A168" s="425"/>
      <c r="B168" s="425"/>
      <c r="C168" s="1162"/>
      <c r="D168" s="1162"/>
      <c r="E168" s="1162"/>
      <c r="F168" s="1162"/>
      <c r="G168" s="1162"/>
      <c r="H168" s="1162"/>
      <c r="I168" s="1162"/>
      <c r="J168" s="1162"/>
      <c r="K168" s="1162"/>
      <c r="L168" s="1162"/>
      <c r="M168" s="1162"/>
      <c r="N168" s="1162"/>
      <c r="O168" s="1162"/>
      <c r="P168" s="1162"/>
      <c r="Q168" s="1162"/>
      <c r="R168" s="1162"/>
      <c r="S168" s="1162"/>
      <c r="T168" s="1162"/>
      <c r="U168" s="1162"/>
      <c r="V168" s="1162"/>
      <c r="W168" s="1162"/>
      <c r="X168" s="1162"/>
      <c r="Y168" s="1163"/>
      <c r="Z168" s="1163"/>
      <c r="AA168" s="1162"/>
    </row>
    <row r="169" ht="15.75" customHeight="1">
      <c r="A169" s="425"/>
      <c r="B169" s="425"/>
      <c r="C169" s="1162"/>
      <c r="D169" s="1162"/>
      <c r="E169" s="1162"/>
      <c r="F169" s="1162"/>
      <c r="G169" s="1162"/>
      <c r="H169" s="1162"/>
      <c r="I169" s="1162"/>
      <c r="J169" s="1162"/>
      <c r="K169" s="1162"/>
      <c r="L169" s="1162"/>
      <c r="M169" s="1162"/>
      <c r="N169" s="1162"/>
      <c r="O169" s="1162"/>
      <c r="P169" s="1162"/>
      <c r="Q169" s="1162"/>
      <c r="R169" s="1162"/>
      <c r="S169" s="1162"/>
      <c r="T169" s="1162"/>
      <c r="U169" s="1162"/>
      <c r="V169" s="1162"/>
      <c r="W169" s="1162"/>
      <c r="X169" s="1162"/>
      <c r="Y169" s="1163"/>
      <c r="Z169" s="1163"/>
      <c r="AA169" s="1162"/>
    </row>
    <row r="170" ht="15.75" customHeight="1">
      <c r="A170" s="425"/>
      <c r="B170" s="425"/>
      <c r="C170" s="1162"/>
      <c r="D170" s="1162"/>
      <c r="E170" s="1162"/>
      <c r="F170" s="1162"/>
      <c r="G170" s="1162"/>
      <c r="H170" s="1162"/>
      <c r="I170" s="1162"/>
      <c r="J170" s="1162"/>
      <c r="K170" s="1162"/>
      <c r="L170" s="1162"/>
      <c r="M170" s="1162"/>
      <c r="N170" s="1162"/>
      <c r="O170" s="1162"/>
      <c r="P170" s="1162"/>
      <c r="Q170" s="1162"/>
      <c r="R170" s="1162"/>
      <c r="S170" s="1162"/>
      <c r="T170" s="1162"/>
      <c r="U170" s="1162"/>
      <c r="V170" s="1162"/>
      <c r="W170" s="1162"/>
      <c r="X170" s="1162"/>
      <c r="Y170" s="1163"/>
      <c r="Z170" s="1163"/>
      <c r="AA170" s="1162"/>
    </row>
    <row r="171" ht="15.75" customHeight="1">
      <c r="A171" s="425"/>
      <c r="B171" s="425"/>
      <c r="C171" s="1162"/>
      <c r="D171" s="1162"/>
      <c r="E171" s="1162"/>
      <c r="F171" s="1162"/>
      <c r="G171" s="1162"/>
      <c r="H171" s="1162"/>
      <c r="I171" s="1162"/>
      <c r="J171" s="1162"/>
      <c r="K171" s="1162"/>
      <c r="L171" s="1162"/>
      <c r="M171" s="1162"/>
      <c r="N171" s="1162"/>
      <c r="O171" s="1162"/>
      <c r="P171" s="1162"/>
      <c r="Q171" s="1162"/>
      <c r="R171" s="1162"/>
      <c r="S171" s="1162"/>
      <c r="T171" s="1162"/>
      <c r="U171" s="1162"/>
      <c r="V171" s="1162"/>
      <c r="W171" s="1162"/>
      <c r="X171" s="1162"/>
      <c r="Y171" s="1163"/>
      <c r="Z171" s="1163"/>
      <c r="AA171" s="1162"/>
    </row>
    <row r="172" ht="15.75" customHeight="1">
      <c r="A172" s="425"/>
      <c r="B172" s="425"/>
      <c r="C172" s="1162"/>
      <c r="D172" s="1162"/>
      <c r="E172" s="1162"/>
      <c r="F172" s="1162"/>
      <c r="G172" s="1162"/>
      <c r="H172" s="1162"/>
      <c r="I172" s="1162"/>
      <c r="J172" s="1162"/>
      <c r="K172" s="1162"/>
      <c r="L172" s="1162"/>
      <c r="M172" s="1162"/>
      <c r="N172" s="1162"/>
      <c r="O172" s="1162"/>
      <c r="P172" s="1162"/>
      <c r="Q172" s="1162"/>
      <c r="R172" s="1162"/>
      <c r="S172" s="1162"/>
      <c r="T172" s="1162"/>
      <c r="U172" s="1162"/>
      <c r="V172" s="1162"/>
      <c r="W172" s="1162"/>
      <c r="X172" s="1162"/>
      <c r="Y172" s="1163"/>
      <c r="Z172" s="1163"/>
      <c r="AA172" s="1162"/>
    </row>
    <row r="173" ht="15.75" customHeight="1">
      <c r="A173" s="425"/>
      <c r="B173" s="425"/>
      <c r="C173" s="1162"/>
      <c r="D173" s="1162"/>
      <c r="E173" s="1162"/>
      <c r="F173" s="1162"/>
      <c r="G173" s="1162"/>
      <c r="H173" s="1162"/>
      <c r="I173" s="1162"/>
      <c r="J173" s="1162"/>
      <c r="K173" s="1162"/>
      <c r="L173" s="1162"/>
      <c r="M173" s="1162"/>
      <c r="N173" s="1162"/>
      <c r="O173" s="1162"/>
      <c r="P173" s="1162"/>
      <c r="Q173" s="1162"/>
      <c r="R173" s="1162"/>
      <c r="S173" s="1162"/>
      <c r="T173" s="1162"/>
      <c r="U173" s="1162"/>
      <c r="V173" s="1162"/>
      <c r="W173" s="1162"/>
      <c r="X173" s="1162"/>
      <c r="Y173" s="1163"/>
      <c r="Z173" s="1163"/>
      <c r="AA173" s="1162"/>
    </row>
    <row r="174" ht="15.75" customHeight="1">
      <c r="A174" s="425"/>
      <c r="B174" s="425"/>
      <c r="C174" s="1162"/>
      <c r="D174" s="1162"/>
      <c r="E174" s="1162"/>
      <c r="F174" s="1162"/>
      <c r="G174" s="1162"/>
      <c r="H174" s="1162"/>
      <c r="I174" s="1162"/>
      <c r="J174" s="1162"/>
      <c r="K174" s="1162"/>
      <c r="L174" s="1162"/>
      <c r="M174" s="1162"/>
      <c r="N174" s="1162"/>
      <c r="O174" s="1162"/>
      <c r="P174" s="1162"/>
      <c r="Q174" s="1162"/>
      <c r="R174" s="1162"/>
      <c r="S174" s="1162"/>
      <c r="T174" s="1162"/>
      <c r="U174" s="1162"/>
      <c r="V174" s="1162"/>
      <c r="W174" s="1162"/>
      <c r="X174" s="1162"/>
      <c r="Y174" s="1163"/>
      <c r="Z174" s="1163"/>
      <c r="AA174" s="1162"/>
    </row>
    <row r="175" ht="15.75" customHeight="1">
      <c r="A175" s="425"/>
      <c r="B175" s="425"/>
      <c r="C175" s="1162"/>
      <c r="D175" s="1162"/>
      <c r="E175" s="1162"/>
      <c r="F175" s="1162"/>
      <c r="G175" s="1162"/>
      <c r="H175" s="1162"/>
      <c r="I175" s="1162"/>
      <c r="J175" s="1162"/>
      <c r="K175" s="1162"/>
      <c r="L175" s="1162"/>
      <c r="M175" s="1162"/>
      <c r="N175" s="1162"/>
      <c r="O175" s="1162"/>
      <c r="P175" s="1162"/>
      <c r="Q175" s="1162"/>
      <c r="R175" s="1162"/>
      <c r="S175" s="1162"/>
      <c r="T175" s="1162"/>
      <c r="U175" s="1162"/>
      <c r="V175" s="1162"/>
      <c r="W175" s="1162"/>
      <c r="X175" s="1162"/>
      <c r="Y175" s="1163"/>
      <c r="Z175" s="1163"/>
      <c r="AA175" s="1162"/>
    </row>
    <row r="176" ht="15.75" customHeight="1">
      <c r="A176" s="425"/>
      <c r="B176" s="425"/>
      <c r="C176" s="1162"/>
      <c r="D176" s="1162"/>
      <c r="E176" s="1162"/>
      <c r="F176" s="1162"/>
      <c r="G176" s="1162"/>
      <c r="H176" s="1162"/>
      <c r="I176" s="1162"/>
      <c r="J176" s="1162"/>
      <c r="K176" s="1162"/>
      <c r="L176" s="1162"/>
      <c r="M176" s="1162"/>
      <c r="N176" s="1162"/>
      <c r="O176" s="1162"/>
      <c r="P176" s="1162"/>
      <c r="Q176" s="1162"/>
      <c r="R176" s="1162"/>
      <c r="S176" s="1162"/>
      <c r="T176" s="1162"/>
      <c r="U176" s="1162"/>
      <c r="V176" s="1162"/>
      <c r="W176" s="1162"/>
      <c r="X176" s="1162"/>
      <c r="Y176" s="1163"/>
      <c r="Z176" s="1163"/>
      <c r="AA176" s="1162"/>
    </row>
    <row r="177" ht="15.75" customHeight="1">
      <c r="A177" s="425"/>
      <c r="B177" s="425"/>
      <c r="C177" s="1162"/>
      <c r="D177" s="1162"/>
      <c r="E177" s="1162"/>
      <c r="F177" s="1162"/>
      <c r="G177" s="1162"/>
      <c r="H177" s="1162"/>
      <c r="I177" s="1162"/>
      <c r="J177" s="1162"/>
      <c r="K177" s="1162"/>
      <c r="L177" s="1162"/>
      <c r="M177" s="1162"/>
      <c r="N177" s="1162"/>
      <c r="O177" s="1162"/>
      <c r="P177" s="1162"/>
      <c r="Q177" s="1162"/>
      <c r="R177" s="1162"/>
      <c r="S177" s="1162"/>
      <c r="T177" s="1162"/>
      <c r="U177" s="1162"/>
      <c r="V177" s="1162"/>
      <c r="W177" s="1162"/>
      <c r="X177" s="1162"/>
      <c r="Y177" s="1163"/>
      <c r="Z177" s="1163"/>
      <c r="AA177" s="1162"/>
    </row>
    <row r="178" ht="15.75" customHeight="1">
      <c r="A178" s="425"/>
      <c r="B178" s="425"/>
      <c r="C178" s="1162"/>
      <c r="D178" s="1162"/>
      <c r="E178" s="1162"/>
      <c r="F178" s="1162"/>
      <c r="G178" s="1162"/>
      <c r="H178" s="1162"/>
      <c r="I178" s="1162"/>
      <c r="J178" s="1162"/>
      <c r="K178" s="1162"/>
      <c r="L178" s="1162"/>
      <c r="M178" s="1162"/>
      <c r="N178" s="1162"/>
      <c r="O178" s="1162"/>
      <c r="P178" s="1162"/>
      <c r="Q178" s="1162"/>
      <c r="R178" s="1162"/>
      <c r="S178" s="1162"/>
      <c r="T178" s="1162"/>
      <c r="U178" s="1162"/>
      <c r="V178" s="1162"/>
      <c r="W178" s="1162"/>
      <c r="X178" s="1162"/>
      <c r="Y178" s="1163"/>
      <c r="Z178" s="1163"/>
      <c r="AA178" s="1162"/>
    </row>
    <row r="179" ht="15.75" customHeight="1">
      <c r="A179" s="425"/>
      <c r="B179" s="425"/>
      <c r="C179" s="1162"/>
      <c r="D179" s="1162"/>
      <c r="E179" s="1162"/>
      <c r="F179" s="1162"/>
      <c r="G179" s="1162"/>
      <c r="H179" s="1162"/>
      <c r="I179" s="1162"/>
      <c r="J179" s="1162"/>
      <c r="K179" s="1162"/>
      <c r="L179" s="1162"/>
      <c r="M179" s="1162"/>
      <c r="N179" s="1162"/>
      <c r="O179" s="1162"/>
      <c r="P179" s="1162"/>
      <c r="Q179" s="1162"/>
      <c r="R179" s="1162"/>
      <c r="S179" s="1162"/>
      <c r="T179" s="1162"/>
      <c r="U179" s="1162"/>
      <c r="V179" s="1162"/>
      <c r="W179" s="1162"/>
      <c r="X179" s="1162"/>
      <c r="Y179" s="1163"/>
      <c r="Z179" s="1163"/>
      <c r="AA179" s="1162"/>
    </row>
    <row r="180" ht="15.75" customHeight="1">
      <c r="A180" s="425"/>
      <c r="B180" s="425"/>
      <c r="C180" s="1162"/>
      <c r="D180" s="1162"/>
      <c r="E180" s="1162"/>
      <c r="F180" s="1162"/>
      <c r="G180" s="1162"/>
      <c r="H180" s="1162"/>
      <c r="I180" s="1162"/>
      <c r="J180" s="1162"/>
      <c r="K180" s="1162"/>
      <c r="L180" s="1162"/>
      <c r="M180" s="1162"/>
      <c r="N180" s="1162"/>
      <c r="O180" s="1162"/>
      <c r="P180" s="1162"/>
      <c r="Q180" s="1162"/>
      <c r="R180" s="1162"/>
      <c r="S180" s="1162"/>
      <c r="T180" s="1162"/>
      <c r="U180" s="1162"/>
      <c r="V180" s="1162"/>
      <c r="W180" s="1162"/>
      <c r="X180" s="1162"/>
      <c r="Y180" s="1163"/>
      <c r="Z180" s="1163"/>
      <c r="AA180" s="1162"/>
    </row>
    <row r="181" ht="15.75" customHeight="1">
      <c r="A181" s="425"/>
      <c r="B181" s="425"/>
      <c r="C181" s="1162"/>
      <c r="D181" s="1162"/>
      <c r="E181" s="1162"/>
      <c r="F181" s="1162"/>
      <c r="G181" s="1162"/>
      <c r="H181" s="1162"/>
      <c r="I181" s="1162"/>
      <c r="J181" s="1162"/>
      <c r="K181" s="1162"/>
      <c r="L181" s="1162"/>
      <c r="M181" s="1162"/>
      <c r="N181" s="1162"/>
      <c r="O181" s="1162"/>
      <c r="P181" s="1162"/>
      <c r="Q181" s="1162"/>
      <c r="R181" s="1162"/>
      <c r="S181" s="1162"/>
      <c r="T181" s="1162"/>
      <c r="U181" s="1162"/>
      <c r="V181" s="1162"/>
      <c r="W181" s="1162"/>
      <c r="X181" s="1162"/>
      <c r="Y181" s="1163"/>
      <c r="Z181" s="1163"/>
      <c r="AA181" s="1162"/>
    </row>
    <row r="182" ht="15.75" customHeight="1">
      <c r="A182" s="425"/>
      <c r="B182" s="425"/>
      <c r="C182" s="1162"/>
      <c r="D182" s="1162"/>
      <c r="E182" s="1162"/>
      <c r="F182" s="1162"/>
      <c r="G182" s="1162"/>
      <c r="H182" s="1162"/>
      <c r="I182" s="1162"/>
      <c r="J182" s="1162"/>
      <c r="K182" s="1162"/>
      <c r="L182" s="1162"/>
      <c r="M182" s="1162"/>
      <c r="N182" s="1162"/>
      <c r="O182" s="1162"/>
      <c r="P182" s="1162"/>
      <c r="Q182" s="1162"/>
      <c r="R182" s="1162"/>
      <c r="S182" s="1162"/>
      <c r="T182" s="1162"/>
      <c r="U182" s="1162"/>
      <c r="V182" s="1162"/>
      <c r="W182" s="1162"/>
      <c r="X182" s="1162"/>
      <c r="Y182" s="1163"/>
      <c r="Z182" s="1163"/>
      <c r="AA182" s="1162"/>
    </row>
    <row r="183" ht="15.75" customHeight="1">
      <c r="A183" s="425"/>
      <c r="B183" s="425"/>
      <c r="C183" s="1162"/>
      <c r="D183" s="1162"/>
      <c r="E183" s="1162"/>
      <c r="F183" s="1162"/>
      <c r="G183" s="1162"/>
      <c r="H183" s="1162"/>
      <c r="I183" s="1162"/>
      <c r="J183" s="1162"/>
      <c r="K183" s="1162"/>
      <c r="L183" s="1162"/>
      <c r="M183" s="1162"/>
      <c r="N183" s="1162"/>
      <c r="O183" s="1162"/>
      <c r="P183" s="1162"/>
      <c r="Q183" s="1162"/>
      <c r="R183" s="1162"/>
      <c r="S183" s="1162"/>
      <c r="T183" s="1162"/>
      <c r="U183" s="1162"/>
      <c r="V183" s="1162"/>
      <c r="W183" s="1162"/>
      <c r="X183" s="1162"/>
      <c r="Y183" s="1163"/>
      <c r="Z183" s="1163"/>
      <c r="AA183" s="1162"/>
    </row>
    <row r="184" ht="15.75" customHeight="1">
      <c r="A184" s="425"/>
      <c r="B184" s="425"/>
      <c r="C184" s="1162"/>
      <c r="D184" s="1162"/>
      <c r="E184" s="1162"/>
      <c r="F184" s="1162"/>
      <c r="G184" s="1162"/>
      <c r="H184" s="1162"/>
      <c r="I184" s="1162"/>
      <c r="J184" s="1162"/>
      <c r="K184" s="1162"/>
      <c r="L184" s="1162"/>
      <c r="M184" s="1162"/>
      <c r="N184" s="1162"/>
      <c r="O184" s="1162"/>
      <c r="P184" s="1162"/>
      <c r="Q184" s="1162"/>
      <c r="R184" s="1162"/>
      <c r="S184" s="1162"/>
      <c r="T184" s="1162"/>
      <c r="U184" s="1162"/>
      <c r="V184" s="1162"/>
      <c r="W184" s="1162"/>
      <c r="X184" s="1162"/>
      <c r="Y184" s="1163"/>
      <c r="Z184" s="1163"/>
      <c r="AA184" s="1162"/>
    </row>
    <row r="185" ht="15.75" customHeight="1">
      <c r="A185" s="425"/>
      <c r="B185" s="425"/>
      <c r="C185" s="1162"/>
      <c r="D185" s="1162"/>
      <c r="E185" s="1162"/>
      <c r="F185" s="1162"/>
      <c r="G185" s="1162"/>
      <c r="H185" s="1162"/>
      <c r="I185" s="1162"/>
      <c r="J185" s="1162"/>
      <c r="K185" s="1162"/>
      <c r="L185" s="1162"/>
      <c r="M185" s="1162"/>
      <c r="N185" s="1162"/>
      <c r="O185" s="1162"/>
      <c r="P185" s="1162"/>
      <c r="Q185" s="1162"/>
      <c r="R185" s="1162"/>
      <c r="S185" s="1162"/>
      <c r="T185" s="1162"/>
      <c r="U185" s="1162"/>
      <c r="V185" s="1162"/>
      <c r="W185" s="1162"/>
      <c r="X185" s="1162"/>
      <c r="Y185" s="1163"/>
      <c r="Z185" s="1163"/>
      <c r="AA185" s="1162"/>
    </row>
    <row r="186" ht="15.75" customHeight="1">
      <c r="A186" s="425"/>
      <c r="B186" s="425"/>
      <c r="C186" s="1162"/>
      <c r="D186" s="1162"/>
      <c r="E186" s="1162"/>
      <c r="F186" s="1162"/>
      <c r="G186" s="1162"/>
      <c r="H186" s="1162"/>
      <c r="I186" s="1162"/>
      <c r="J186" s="1162"/>
      <c r="K186" s="1162"/>
      <c r="L186" s="1162"/>
      <c r="M186" s="1162"/>
      <c r="N186" s="1162"/>
      <c r="O186" s="1162"/>
      <c r="P186" s="1162"/>
      <c r="Q186" s="1162"/>
      <c r="R186" s="1162"/>
      <c r="S186" s="1162"/>
      <c r="T186" s="1162"/>
      <c r="U186" s="1162"/>
      <c r="V186" s="1162"/>
      <c r="W186" s="1162"/>
      <c r="X186" s="1162"/>
      <c r="Y186" s="1163"/>
      <c r="Z186" s="1163"/>
      <c r="AA186" s="1162"/>
    </row>
    <row r="187" ht="15.75" customHeight="1">
      <c r="A187" s="425"/>
      <c r="B187" s="425"/>
      <c r="C187" s="1162"/>
      <c r="D187" s="1162"/>
      <c r="E187" s="1162"/>
      <c r="F187" s="1162"/>
      <c r="G187" s="1162"/>
      <c r="H187" s="1162"/>
      <c r="I187" s="1162"/>
      <c r="J187" s="1162"/>
      <c r="K187" s="1162"/>
      <c r="L187" s="1162"/>
      <c r="M187" s="1162"/>
      <c r="N187" s="1162"/>
      <c r="O187" s="1162"/>
      <c r="P187" s="1162"/>
      <c r="Q187" s="1162"/>
      <c r="R187" s="1162"/>
      <c r="S187" s="1162"/>
      <c r="T187" s="1162"/>
      <c r="U187" s="1162"/>
      <c r="V187" s="1162"/>
      <c r="W187" s="1162"/>
      <c r="X187" s="1162"/>
      <c r="Y187" s="1163"/>
      <c r="Z187" s="1163"/>
      <c r="AA187" s="1162"/>
    </row>
    <row r="188" ht="15.75" customHeight="1">
      <c r="A188" s="425"/>
      <c r="B188" s="425"/>
      <c r="C188" s="1162"/>
      <c r="D188" s="1162"/>
      <c r="E188" s="1162"/>
      <c r="F188" s="1162"/>
      <c r="G188" s="1162"/>
      <c r="H188" s="1162"/>
      <c r="I188" s="1162"/>
      <c r="J188" s="1162"/>
      <c r="K188" s="1162"/>
      <c r="L188" s="1162"/>
      <c r="M188" s="1162"/>
      <c r="N188" s="1162"/>
      <c r="O188" s="1162"/>
      <c r="P188" s="1162"/>
      <c r="Q188" s="1162"/>
      <c r="R188" s="1162"/>
      <c r="S188" s="1162"/>
      <c r="T188" s="1162"/>
      <c r="U188" s="1162"/>
      <c r="V188" s="1162"/>
      <c r="W188" s="1162"/>
      <c r="X188" s="1162"/>
      <c r="Y188" s="1163"/>
      <c r="Z188" s="1163"/>
      <c r="AA188" s="1162"/>
    </row>
    <row r="189" ht="15.75" customHeight="1">
      <c r="A189" s="425"/>
      <c r="B189" s="425"/>
      <c r="C189" s="1162"/>
      <c r="D189" s="1162"/>
      <c r="E189" s="1162"/>
      <c r="F189" s="1162"/>
      <c r="G189" s="1162"/>
      <c r="H189" s="1162"/>
      <c r="I189" s="1162"/>
      <c r="J189" s="1162"/>
      <c r="K189" s="1162"/>
      <c r="L189" s="1162"/>
      <c r="M189" s="1162"/>
      <c r="N189" s="1162"/>
      <c r="O189" s="1162"/>
      <c r="P189" s="1162"/>
      <c r="Q189" s="1162"/>
      <c r="R189" s="1162"/>
      <c r="S189" s="1162"/>
      <c r="T189" s="1162"/>
      <c r="U189" s="1162"/>
      <c r="V189" s="1162"/>
      <c r="W189" s="1162"/>
      <c r="X189" s="1162"/>
      <c r="Y189" s="1163"/>
      <c r="Z189" s="1163"/>
      <c r="AA189" s="1162"/>
    </row>
    <row r="190" ht="15.75" customHeight="1">
      <c r="A190" s="425"/>
      <c r="B190" s="425"/>
      <c r="C190" s="1162"/>
      <c r="D190" s="1162"/>
      <c r="E190" s="1162"/>
      <c r="F190" s="1162"/>
      <c r="G190" s="1162"/>
      <c r="H190" s="1162"/>
      <c r="I190" s="1162"/>
      <c r="J190" s="1162"/>
      <c r="K190" s="1162"/>
      <c r="L190" s="1162"/>
      <c r="M190" s="1162"/>
      <c r="N190" s="1162"/>
      <c r="O190" s="1162"/>
      <c r="P190" s="1162"/>
      <c r="Q190" s="1162"/>
      <c r="R190" s="1162"/>
      <c r="S190" s="1162"/>
      <c r="T190" s="1162"/>
      <c r="U190" s="1162"/>
      <c r="V190" s="1162"/>
      <c r="W190" s="1162"/>
      <c r="X190" s="1162"/>
      <c r="Y190" s="1163"/>
      <c r="Z190" s="1163"/>
      <c r="AA190" s="1162"/>
    </row>
    <row r="191" ht="15.75" customHeight="1">
      <c r="A191" s="425"/>
      <c r="B191" s="425"/>
      <c r="C191" s="1162"/>
      <c r="D191" s="1162"/>
      <c r="E191" s="1162"/>
      <c r="F191" s="1162"/>
      <c r="G191" s="1162"/>
      <c r="H191" s="1162"/>
      <c r="I191" s="1162"/>
      <c r="J191" s="1162"/>
      <c r="K191" s="1162"/>
      <c r="L191" s="1162"/>
      <c r="M191" s="1162"/>
      <c r="N191" s="1162"/>
      <c r="O191" s="1162"/>
      <c r="P191" s="1162"/>
      <c r="Q191" s="1162"/>
      <c r="R191" s="1162"/>
      <c r="S191" s="1162"/>
      <c r="T191" s="1162"/>
      <c r="U191" s="1162"/>
      <c r="V191" s="1162"/>
      <c r="W191" s="1162"/>
      <c r="X191" s="1162"/>
      <c r="Y191" s="1163"/>
      <c r="Z191" s="1163"/>
      <c r="AA191" s="1162"/>
    </row>
    <row r="192" ht="15.75" customHeight="1">
      <c r="A192" s="425"/>
      <c r="B192" s="425"/>
      <c r="C192" s="1162"/>
      <c r="D192" s="1162"/>
      <c r="E192" s="1162"/>
      <c r="F192" s="1162"/>
      <c r="G192" s="1162"/>
      <c r="H192" s="1162"/>
      <c r="I192" s="1162"/>
      <c r="J192" s="1162"/>
      <c r="K192" s="1162"/>
      <c r="L192" s="1162"/>
      <c r="M192" s="1162"/>
      <c r="N192" s="1162"/>
      <c r="O192" s="1162"/>
      <c r="P192" s="1162"/>
      <c r="Q192" s="1162"/>
      <c r="R192" s="1162"/>
      <c r="S192" s="1162"/>
      <c r="T192" s="1162"/>
      <c r="U192" s="1162"/>
      <c r="V192" s="1162"/>
      <c r="W192" s="1162"/>
      <c r="X192" s="1162"/>
      <c r="Y192" s="1163"/>
      <c r="Z192" s="1163"/>
      <c r="AA192" s="1162"/>
    </row>
    <row r="193" ht="15.75" customHeight="1">
      <c r="A193" s="425"/>
      <c r="B193" s="425"/>
      <c r="C193" s="1162"/>
      <c r="D193" s="1162"/>
      <c r="E193" s="1162"/>
      <c r="F193" s="1162"/>
      <c r="G193" s="1162"/>
      <c r="H193" s="1162"/>
      <c r="I193" s="1162"/>
      <c r="J193" s="1162"/>
      <c r="K193" s="1162"/>
      <c r="L193" s="1162"/>
      <c r="M193" s="1162"/>
      <c r="N193" s="1162"/>
      <c r="O193" s="1162"/>
      <c r="P193" s="1162"/>
      <c r="Q193" s="1162"/>
      <c r="R193" s="1162"/>
      <c r="S193" s="1162"/>
      <c r="T193" s="1162"/>
      <c r="U193" s="1162"/>
      <c r="V193" s="1162"/>
      <c r="W193" s="1162"/>
      <c r="X193" s="1162"/>
      <c r="Y193" s="1163"/>
      <c r="Z193" s="1163"/>
      <c r="AA193" s="1162"/>
    </row>
    <row r="194" ht="15.75" customHeight="1">
      <c r="A194" s="425"/>
      <c r="B194" s="425"/>
      <c r="C194" s="1162"/>
      <c r="D194" s="1162"/>
      <c r="E194" s="1162"/>
      <c r="F194" s="1162"/>
      <c r="G194" s="1162"/>
      <c r="H194" s="1162"/>
      <c r="I194" s="1162"/>
      <c r="J194" s="1162"/>
      <c r="K194" s="1162"/>
      <c r="L194" s="1162"/>
      <c r="M194" s="1162"/>
      <c r="N194" s="1162"/>
      <c r="O194" s="1162"/>
      <c r="P194" s="1162"/>
      <c r="Q194" s="1162"/>
      <c r="R194" s="1162"/>
      <c r="S194" s="1162"/>
      <c r="T194" s="1162"/>
      <c r="U194" s="1162"/>
      <c r="V194" s="1162"/>
      <c r="W194" s="1162"/>
      <c r="X194" s="1162"/>
      <c r="Y194" s="1163"/>
      <c r="Z194" s="1163"/>
      <c r="AA194" s="1162"/>
    </row>
    <row r="195" ht="15.75" customHeight="1">
      <c r="A195" s="425"/>
      <c r="B195" s="425"/>
      <c r="C195" s="1162"/>
      <c r="D195" s="1162"/>
      <c r="E195" s="1162"/>
      <c r="F195" s="1162"/>
      <c r="G195" s="1162"/>
      <c r="H195" s="1162"/>
      <c r="I195" s="1162"/>
      <c r="J195" s="1162"/>
      <c r="K195" s="1162"/>
      <c r="L195" s="1162"/>
      <c r="M195" s="1162"/>
      <c r="N195" s="1162"/>
      <c r="O195" s="1162"/>
      <c r="P195" s="1162"/>
      <c r="Q195" s="1162"/>
      <c r="R195" s="1162"/>
      <c r="S195" s="1162"/>
      <c r="T195" s="1162"/>
      <c r="U195" s="1162"/>
      <c r="V195" s="1162"/>
      <c r="W195" s="1162"/>
      <c r="X195" s="1162"/>
      <c r="Y195" s="1163"/>
      <c r="Z195" s="1163"/>
      <c r="AA195" s="1162"/>
    </row>
    <row r="196" ht="15.75" customHeight="1">
      <c r="A196" s="425"/>
      <c r="B196" s="425"/>
      <c r="C196" s="1162"/>
      <c r="D196" s="1162"/>
      <c r="E196" s="1162"/>
      <c r="F196" s="1162"/>
      <c r="G196" s="1162"/>
      <c r="H196" s="1162"/>
      <c r="I196" s="1162"/>
      <c r="J196" s="1162"/>
      <c r="K196" s="1162"/>
      <c r="L196" s="1162"/>
      <c r="M196" s="1162"/>
      <c r="N196" s="1162"/>
      <c r="O196" s="1162"/>
      <c r="P196" s="1162"/>
      <c r="Q196" s="1162"/>
      <c r="R196" s="1162"/>
      <c r="S196" s="1162"/>
      <c r="T196" s="1162"/>
      <c r="U196" s="1162"/>
      <c r="V196" s="1162"/>
      <c r="W196" s="1162"/>
      <c r="X196" s="1162"/>
      <c r="Y196" s="1163"/>
      <c r="Z196" s="1163"/>
      <c r="AA196" s="1162"/>
    </row>
    <row r="197" ht="15.75" customHeight="1">
      <c r="A197" s="425"/>
      <c r="B197" s="425"/>
      <c r="C197" s="1162"/>
      <c r="D197" s="1162"/>
      <c r="E197" s="1162"/>
      <c r="F197" s="1162"/>
      <c r="G197" s="1162"/>
      <c r="H197" s="1162"/>
      <c r="I197" s="1162"/>
      <c r="J197" s="1162"/>
      <c r="K197" s="1162"/>
      <c r="L197" s="1162"/>
      <c r="M197" s="1162"/>
      <c r="N197" s="1162"/>
      <c r="O197" s="1162"/>
      <c r="P197" s="1162"/>
      <c r="Q197" s="1162"/>
      <c r="R197" s="1162"/>
      <c r="S197" s="1162"/>
      <c r="T197" s="1162"/>
      <c r="U197" s="1162"/>
      <c r="V197" s="1162"/>
      <c r="W197" s="1162"/>
      <c r="X197" s="1162"/>
      <c r="Y197" s="1163"/>
      <c r="Z197" s="1163"/>
      <c r="AA197" s="1162"/>
    </row>
    <row r="198" ht="15.75" customHeight="1">
      <c r="A198" s="425"/>
      <c r="B198" s="425"/>
      <c r="C198" s="1162"/>
      <c r="D198" s="1162"/>
      <c r="E198" s="1162"/>
      <c r="F198" s="1162"/>
      <c r="G198" s="1162"/>
      <c r="H198" s="1162"/>
      <c r="I198" s="1162"/>
      <c r="J198" s="1162"/>
      <c r="K198" s="1162"/>
      <c r="L198" s="1162"/>
      <c r="M198" s="1162"/>
      <c r="N198" s="1162"/>
      <c r="O198" s="1162"/>
      <c r="P198" s="1162"/>
      <c r="Q198" s="1162"/>
      <c r="R198" s="1162"/>
      <c r="S198" s="1162"/>
      <c r="T198" s="1162"/>
      <c r="U198" s="1162"/>
      <c r="V198" s="1162"/>
      <c r="W198" s="1162"/>
      <c r="X198" s="1162"/>
      <c r="Y198" s="1163"/>
      <c r="Z198" s="1163"/>
      <c r="AA198" s="1162"/>
    </row>
    <row r="199" ht="15.75" customHeight="1">
      <c r="A199" s="425"/>
      <c r="B199" s="425"/>
      <c r="C199" s="1162"/>
      <c r="D199" s="1162"/>
      <c r="E199" s="1162"/>
      <c r="F199" s="1162"/>
      <c r="G199" s="1162"/>
      <c r="H199" s="1162"/>
      <c r="I199" s="1162"/>
      <c r="J199" s="1162"/>
      <c r="K199" s="1162"/>
      <c r="L199" s="1162"/>
      <c r="M199" s="1162"/>
      <c r="N199" s="1162"/>
      <c r="O199" s="1162"/>
      <c r="P199" s="1162"/>
      <c r="Q199" s="1162"/>
      <c r="R199" s="1162"/>
      <c r="S199" s="1162"/>
      <c r="T199" s="1162"/>
      <c r="U199" s="1162"/>
      <c r="V199" s="1162"/>
      <c r="W199" s="1162"/>
      <c r="X199" s="1162"/>
      <c r="Y199" s="1163"/>
      <c r="Z199" s="1163"/>
      <c r="AA199" s="1162"/>
    </row>
    <row r="200" ht="15.75" customHeight="1">
      <c r="A200" s="425"/>
      <c r="B200" s="425"/>
      <c r="C200" s="1162"/>
      <c r="D200" s="1162"/>
      <c r="E200" s="1162"/>
      <c r="F200" s="1162"/>
      <c r="G200" s="1162"/>
      <c r="H200" s="1162"/>
      <c r="I200" s="1162"/>
      <c r="J200" s="1162"/>
      <c r="K200" s="1162"/>
      <c r="L200" s="1162"/>
      <c r="M200" s="1162"/>
      <c r="N200" s="1162"/>
      <c r="O200" s="1162"/>
      <c r="P200" s="1162"/>
      <c r="Q200" s="1162"/>
      <c r="R200" s="1162"/>
      <c r="S200" s="1162"/>
      <c r="T200" s="1162"/>
      <c r="U200" s="1162"/>
      <c r="V200" s="1162"/>
      <c r="W200" s="1162"/>
      <c r="X200" s="1162"/>
      <c r="Y200" s="1163"/>
      <c r="Z200" s="1163"/>
      <c r="AA200" s="1162"/>
    </row>
    <row r="201" ht="15.75" customHeight="1">
      <c r="A201" s="425"/>
      <c r="B201" s="425"/>
      <c r="C201" s="1162"/>
      <c r="D201" s="1162"/>
      <c r="E201" s="1162"/>
      <c r="F201" s="1162"/>
      <c r="G201" s="1162"/>
      <c r="H201" s="1162"/>
      <c r="I201" s="1162"/>
      <c r="J201" s="1162"/>
      <c r="K201" s="1162"/>
      <c r="L201" s="1162"/>
      <c r="M201" s="1162"/>
      <c r="N201" s="1162"/>
      <c r="O201" s="1162"/>
      <c r="P201" s="1162"/>
      <c r="Q201" s="1162"/>
      <c r="R201" s="1162"/>
      <c r="S201" s="1162"/>
      <c r="T201" s="1162"/>
      <c r="U201" s="1162"/>
      <c r="V201" s="1162"/>
      <c r="W201" s="1162"/>
      <c r="X201" s="1162"/>
      <c r="Y201" s="1163"/>
      <c r="Z201" s="1163"/>
      <c r="AA201" s="1162"/>
    </row>
    <row r="202" ht="15.75" customHeight="1">
      <c r="A202" s="425"/>
      <c r="B202" s="425"/>
      <c r="C202" s="1162"/>
      <c r="D202" s="1162"/>
      <c r="E202" s="1162"/>
      <c r="F202" s="1162"/>
      <c r="G202" s="1162"/>
      <c r="H202" s="1162"/>
      <c r="I202" s="1162"/>
      <c r="J202" s="1162"/>
      <c r="K202" s="1162"/>
      <c r="L202" s="1162"/>
      <c r="M202" s="1162"/>
      <c r="N202" s="1162"/>
      <c r="O202" s="1162"/>
      <c r="P202" s="1162"/>
      <c r="Q202" s="1162"/>
      <c r="R202" s="1162"/>
      <c r="S202" s="1162"/>
      <c r="T202" s="1162"/>
      <c r="U202" s="1162"/>
      <c r="V202" s="1162"/>
      <c r="W202" s="1162"/>
      <c r="X202" s="1162"/>
      <c r="Y202" s="1163"/>
      <c r="Z202" s="1163"/>
      <c r="AA202" s="1162"/>
    </row>
    <row r="203" ht="15.75" customHeight="1">
      <c r="A203" s="425"/>
      <c r="B203" s="425"/>
      <c r="C203" s="1162"/>
      <c r="D203" s="1162"/>
      <c r="E203" s="1162"/>
      <c r="F203" s="1162"/>
      <c r="G203" s="1162"/>
      <c r="H203" s="1162"/>
      <c r="I203" s="1162"/>
      <c r="J203" s="1162"/>
      <c r="K203" s="1162"/>
      <c r="L203" s="1162"/>
      <c r="M203" s="1162"/>
      <c r="N203" s="1162"/>
      <c r="O203" s="1162"/>
      <c r="P203" s="1162"/>
      <c r="Q203" s="1162"/>
      <c r="R203" s="1162"/>
      <c r="S203" s="1162"/>
      <c r="T203" s="1162"/>
      <c r="U203" s="1162"/>
      <c r="V203" s="1162"/>
      <c r="W203" s="1162"/>
      <c r="X203" s="1162"/>
      <c r="Y203" s="1163"/>
      <c r="Z203" s="1163"/>
      <c r="AA203" s="1162"/>
    </row>
    <row r="204" ht="15.75" customHeight="1">
      <c r="A204" s="425"/>
      <c r="B204" s="425"/>
      <c r="C204" s="1162"/>
      <c r="D204" s="1162"/>
      <c r="E204" s="1162"/>
      <c r="F204" s="1162"/>
      <c r="G204" s="1162"/>
      <c r="H204" s="1162"/>
      <c r="I204" s="1162"/>
      <c r="J204" s="1162"/>
      <c r="K204" s="1162"/>
      <c r="L204" s="1162"/>
      <c r="M204" s="1162"/>
      <c r="N204" s="1162"/>
      <c r="O204" s="1162"/>
      <c r="P204" s="1162"/>
      <c r="Q204" s="1162"/>
      <c r="R204" s="1162"/>
      <c r="S204" s="1162"/>
      <c r="T204" s="1162"/>
      <c r="U204" s="1162"/>
      <c r="V204" s="1162"/>
      <c r="W204" s="1162"/>
      <c r="X204" s="1162"/>
      <c r="Y204" s="1163"/>
      <c r="Z204" s="1163"/>
      <c r="AA204" s="1162"/>
    </row>
    <row r="205" ht="15.75" customHeight="1">
      <c r="A205" s="425"/>
      <c r="B205" s="425"/>
      <c r="C205" s="1162"/>
      <c r="D205" s="1162"/>
      <c r="E205" s="1162"/>
      <c r="F205" s="1162"/>
      <c r="G205" s="1162"/>
      <c r="H205" s="1162"/>
      <c r="I205" s="1162"/>
      <c r="J205" s="1162"/>
      <c r="K205" s="1162"/>
      <c r="L205" s="1162"/>
      <c r="M205" s="1162"/>
      <c r="N205" s="1162"/>
      <c r="O205" s="1162"/>
      <c r="P205" s="1162"/>
      <c r="Q205" s="1162"/>
      <c r="R205" s="1162"/>
      <c r="S205" s="1162"/>
      <c r="T205" s="1162"/>
      <c r="U205" s="1162"/>
      <c r="V205" s="1162"/>
      <c r="W205" s="1162"/>
      <c r="X205" s="1162"/>
      <c r="Y205" s="1163"/>
      <c r="Z205" s="1163"/>
      <c r="AA205" s="1162"/>
    </row>
    <row r="206" ht="15.75" customHeight="1">
      <c r="A206" s="425"/>
      <c r="B206" s="425"/>
      <c r="C206" s="1162"/>
      <c r="D206" s="1162"/>
      <c r="E206" s="1162"/>
      <c r="F206" s="1162"/>
      <c r="G206" s="1162"/>
      <c r="H206" s="1162"/>
      <c r="I206" s="1162"/>
      <c r="J206" s="1162"/>
      <c r="K206" s="1162"/>
      <c r="L206" s="1162"/>
      <c r="M206" s="1162"/>
      <c r="N206" s="1162"/>
      <c r="O206" s="1162"/>
      <c r="P206" s="1162"/>
      <c r="Q206" s="1162"/>
      <c r="R206" s="1162"/>
      <c r="S206" s="1162"/>
      <c r="T206" s="1162"/>
      <c r="U206" s="1162"/>
      <c r="V206" s="1162"/>
      <c r="W206" s="1162"/>
      <c r="X206" s="1162"/>
      <c r="Y206" s="1163"/>
      <c r="Z206" s="1163"/>
      <c r="AA206" s="1162"/>
    </row>
    <row r="207" ht="15.75" customHeight="1">
      <c r="A207" s="425"/>
      <c r="B207" s="425"/>
      <c r="C207" s="1162"/>
      <c r="D207" s="1162"/>
      <c r="E207" s="1162"/>
      <c r="F207" s="1162"/>
      <c r="G207" s="1162"/>
      <c r="H207" s="1162"/>
      <c r="I207" s="1162"/>
      <c r="J207" s="1162"/>
      <c r="K207" s="1162"/>
      <c r="L207" s="1162"/>
      <c r="M207" s="1162"/>
      <c r="N207" s="1162"/>
      <c r="O207" s="1162"/>
      <c r="P207" s="1162"/>
      <c r="Q207" s="1162"/>
      <c r="R207" s="1162"/>
      <c r="S207" s="1162"/>
      <c r="T207" s="1162"/>
      <c r="U207" s="1162"/>
      <c r="V207" s="1162"/>
      <c r="W207" s="1162"/>
      <c r="X207" s="1162"/>
      <c r="Y207" s="1163"/>
      <c r="Z207" s="1163"/>
      <c r="AA207" s="1162"/>
    </row>
    <row r="208" ht="15.75" customHeight="1">
      <c r="A208" s="425"/>
      <c r="B208" s="425"/>
      <c r="C208" s="1162"/>
      <c r="D208" s="1162"/>
      <c r="E208" s="1162"/>
      <c r="F208" s="1162"/>
      <c r="G208" s="1162"/>
      <c r="H208" s="1162"/>
      <c r="I208" s="1162"/>
      <c r="J208" s="1162"/>
      <c r="K208" s="1162"/>
      <c r="L208" s="1162"/>
      <c r="M208" s="1162"/>
      <c r="N208" s="1162"/>
      <c r="O208" s="1162"/>
      <c r="P208" s="1162"/>
      <c r="Q208" s="1162"/>
      <c r="R208" s="1162"/>
      <c r="S208" s="1162"/>
      <c r="T208" s="1162"/>
      <c r="U208" s="1162"/>
      <c r="V208" s="1162"/>
      <c r="W208" s="1162"/>
      <c r="X208" s="1162"/>
      <c r="Y208" s="1163"/>
      <c r="Z208" s="1163"/>
      <c r="AA208" s="1162"/>
    </row>
    <row r="209" ht="15.75" customHeight="1">
      <c r="A209" s="425"/>
      <c r="B209" s="425"/>
      <c r="C209" s="1162"/>
      <c r="D209" s="1162"/>
      <c r="E209" s="1162"/>
      <c r="F209" s="1162"/>
      <c r="G209" s="1162"/>
      <c r="H209" s="1162"/>
      <c r="I209" s="1162"/>
      <c r="J209" s="1162"/>
      <c r="K209" s="1162"/>
      <c r="L209" s="1162"/>
      <c r="M209" s="1162"/>
      <c r="N209" s="1162"/>
      <c r="O209" s="1162"/>
      <c r="P209" s="1162"/>
      <c r="Q209" s="1162"/>
      <c r="R209" s="1162"/>
      <c r="S209" s="1162"/>
      <c r="T209" s="1162"/>
      <c r="U209" s="1162"/>
      <c r="V209" s="1162"/>
      <c r="W209" s="1162"/>
      <c r="X209" s="1162"/>
      <c r="Y209" s="1163"/>
      <c r="Z209" s="1163"/>
      <c r="AA209" s="1162"/>
    </row>
    <row r="210" ht="15.75" customHeight="1">
      <c r="A210" s="425"/>
      <c r="B210" s="425"/>
      <c r="C210" s="1162"/>
      <c r="D210" s="1162"/>
      <c r="E210" s="1162"/>
      <c r="F210" s="1162"/>
      <c r="G210" s="1162"/>
      <c r="H210" s="1162"/>
      <c r="I210" s="1162"/>
      <c r="J210" s="1162"/>
      <c r="K210" s="1162"/>
      <c r="L210" s="1162"/>
      <c r="M210" s="1162"/>
      <c r="N210" s="1162"/>
      <c r="O210" s="1162"/>
      <c r="P210" s="1162"/>
      <c r="Q210" s="1162"/>
      <c r="R210" s="1162"/>
      <c r="S210" s="1162"/>
      <c r="T210" s="1162"/>
      <c r="U210" s="1162"/>
      <c r="V210" s="1162"/>
      <c r="W210" s="1162"/>
      <c r="X210" s="1162"/>
      <c r="Y210" s="1163"/>
      <c r="Z210" s="1163"/>
      <c r="AA210" s="1162"/>
    </row>
    <row r="211" ht="15.75" customHeight="1">
      <c r="A211" s="425"/>
      <c r="B211" s="425"/>
      <c r="C211" s="1162"/>
      <c r="D211" s="1162"/>
      <c r="E211" s="1162"/>
      <c r="F211" s="1162"/>
      <c r="G211" s="1162"/>
      <c r="H211" s="1162"/>
      <c r="I211" s="1162"/>
      <c r="J211" s="1162"/>
      <c r="K211" s="1162"/>
      <c r="L211" s="1162"/>
      <c r="M211" s="1162"/>
      <c r="N211" s="1162"/>
      <c r="O211" s="1162"/>
      <c r="P211" s="1162"/>
      <c r="Q211" s="1162"/>
      <c r="R211" s="1162"/>
      <c r="S211" s="1162"/>
      <c r="T211" s="1162"/>
      <c r="U211" s="1162"/>
      <c r="V211" s="1162"/>
      <c r="W211" s="1162"/>
      <c r="X211" s="1162"/>
      <c r="Y211" s="1163"/>
      <c r="Z211" s="1163"/>
      <c r="AA211" s="1162"/>
    </row>
    <row r="212" ht="15.75" customHeight="1">
      <c r="A212" s="425"/>
      <c r="B212" s="425"/>
      <c r="C212" s="1162"/>
      <c r="D212" s="1162"/>
      <c r="E212" s="1162"/>
      <c r="F212" s="1162"/>
      <c r="G212" s="1162"/>
      <c r="H212" s="1162"/>
      <c r="I212" s="1162"/>
      <c r="J212" s="1162"/>
      <c r="K212" s="1162"/>
      <c r="L212" s="1162"/>
      <c r="M212" s="1162"/>
      <c r="N212" s="1162"/>
      <c r="O212" s="1162"/>
      <c r="P212" s="1162"/>
      <c r="Q212" s="1162"/>
      <c r="R212" s="1162"/>
      <c r="S212" s="1162"/>
      <c r="T212" s="1162"/>
      <c r="U212" s="1162"/>
      <c r="V212" s="1162"/>
      <c r="W212" s="1162"/>
      <c r="X212" s="1162"/>
      <c r="Y212" s="1163"/>
      <c r="Z212" s="1163"/>
      <c r="AA212" s="1162"/>
    </row>
    <row r="213" ht="15.75" customHeight="1">
      <c r="A213" s="425"/>
      <c r="B213" s="425"/>
      <c r="C213" s="1162"/>
      <c r="D213" s="1162"/>
      <c r="E213" s="1162"/>
      <c r="F213" s="1162"/>
      <c r="G213" s="1162"/>
      <c r="H213" s="1162"/>
      <c r="I213" s="1162"/>
      <c r="J213" s="1162"/>
      <c r="K213" s="1162"/>
      <c r="L213" s="1162"/>
      <c r="M213" s="1162"/>
      <c r="N213" s="1162"/>
      <c r="O213" s="1162"/>
      <c r="P213" s="1162"/>
      <c r="Q213" s="1162"/>
      <c r="R213" s="1162"/>
      <c r="S213" s="1162"/>
      <c r="T213" s="1162"/>
      <c r="U213" s="1162"/>
      <c r="V213" s="1162"/>
      <c r="W213" s="1162"/>
      <c r="X213" s="1162"/>
      <c r="Y213" s="1163"/>
      <c r="Z213" s="1163"/>
      <c r="AA213" s="1162"/>
    </row>
    <row r="214" ht="15.75" customHeight="1">
      <c r="A214" s="425"/>
      <c r="B214" s="425"/>
      <c r="C214" s="1162"/>
      <c r="D214" s="1162"/>
      <c r="E214" s="1162"/>
      <c r="F214" s="1162"/>
      <c r="G214" s="1162"/>
      <c r="H214" s="1162"/>
      <c r="I214" s="1162"/>
      <c r="J214" s="1162"/>
      <c r="K214" s="1162"/>
      <c r="L214" s="1162"/>
      <c r="M214" s="1162"/>
      <c r="N214" s="1162"/>
      <c r="O214" s="1162"/>
      <c r="P214" s="1162"/>
      <c r="Q214" s="1162"/>
      <c r="R214" s="1162"/>
      <c r="S214" s="1162"/>
      <c r="T214" s="1162"/>
      <c r="U214" s="1162"/>
      <c r="V214" s="1162"/>
      <c r="W214" s="1162"/>
      <c r="X214" s="1162"/>
      <c r="Y214" s="1163"/>
      <c r="Z214" s="1163"/>
      <c r="AA214" s="1162"/>
    </row>
    <row r="215" ht="15.75" customHeight="1">
      <c r="A215" s="425"/>
      <c r="B215" s="425"/>
      <c r="C215" s="1162"/>
      <c r="D215" s="1162"/>
      <c r="E215" s="1162"/>
      <c r="F215" s="1162"/>
      <c r="G215" s="1162"/>
      <c r="H215" s="1162"/>
      <c r="I215" s="1162"/>
      <c r="J215" s="1162"/>
      <c r="K215" s="1162"/>
      <c r="L215" s="1162"/>
      <c r="M215" s="1162"/>
      <c r="N215" s="1162"/>
      <c r="O215" s="1162"/>
      <c r="P215" s="1162"/>
      <c r="Q215" s="1162"/>
      <c r="R215" s="1162"/>
      <c r="S215" s="1162"/>
      <c r="T215" s="1162"/>
      <c r="U215" s="1162"/>
      <c r="V215" s="1162"/>
      <c r="W215" s="1162"/>
      <c r="X215" s="1162"/>
      <c r="Y215" s="1163"/>
      <c r="Z215" s="1163"/>
      <c r="AA215" s="1162"/>
    </row>
    <row r="216" ht="15.75" customHeight="1">
      <c r="A216" s="425"/>
      <c r="B216" s="425"/>
      <c r="C216" s="1162"/>
      <c r="D216" s="1162"/>
      <c r="E216" s="1162"/>
      <c r="F216" s="1162"/>
      <c r="G216" s="1162"/>
      <c r="H216" s="1162"/>
      <c r="I216" s="1162"/>
      <c r="J216" s="1162"/>
      <c r="K216" s="1162"/>
      <c r="L216" s="1162"/>
      <c r="M216" s="1162"/>
      <c r="N216" s="1162"/>
      <c r="O216" s="1162"/>
      <c r="P216" s="1162"/>
      <c r="Q216" s="1162"/>
      <c r="R216" s="1162"/>
      <c r="S216" s="1162"/>
      <c r="T216" s="1162"/>
      <c r="U216" s="1162"/>
      <c r="V216" s="1162"/>
      <c r="W216" s="1162"/>
      <c r="X216" s="1162"/>
      <c r="Y216" s="1163"/>
      <c r="Z216" s="1163"/>
      <c r="AA216" s="1162"/>
    </row>
    <row r="217" ht="15.75" customHeight="1">
      <c r="A217" s="425"/>
      <c r="B217" s="425"/>
      <c r="C217" s="1162"/>
      <c r="D217" s="1162"/>
      <c r="E217" s="1162"/>
      <c r="F217" s="1162"/>
      <c r="G217" s="1162"/>
      <c r="H217" s="1162"/>
      <c r="I217" s="1162"/>
      <c r="J217" s="1162"/>
      <c r="K217" s="1162"/>
      <c r="L217" s="1162"/>
      <c r="M217" s="1162"/>
      <c r="N217" s="1162"/>
      <c r="O217" s="1162"/>
      <c r="P217" s="1162"/>
      <c r="Q217" s="1162"/>
      <c r="R217" s="1162"/>
      <c r="S217" s="1162"/>
      <c r="T217" s="1162"/>
      <c r="U217" s="1162"/>
      <c r="V217" s="1162"/>
      <c r="W217" s="1162"/>
      <c r="X217" s="1162"/>
      <c r="Y217" s="1163"/>
      <c r="Z217" s="1163"/>
      <c r="AA217" s="1162"/>
    </row>
    <row r="218" ht="15.75" customHeight="1">
      <c r="A218" s="425"/>
      <c r="B218" s="425"/>
      <c r="C218" s="1162"/>
      <c r="D218" s="1162"/>
      <c r="E218" s="1162"/>
      <c r="F218" s="1162"/>
      <c r="G218" s="1162"/>
      <c r="H218" s="1162"/>
      <c r="I218" s="1162"/>
      <c r="J218" s="1162"/>
      <c r="K218" s="1162"/>
      <c r="L218" s="1162"/>
      <c r="M218" s="1162"/>
      <c r="N218" s="1162"/>
      <c r="O218" s="1162"/>
      <c r="P218" s="1162"/>
      <c r="Q218" s="1162"/>
      <c r="R218" s="1162"/>
      <c r="S218" s="1162"/>
      <c r="T218" s="1162"/>
      <c r="U218" s="1162"/>
      <c r="V218" s="1162"/>
      <c r="W218" s="1162"/>
      <c r="X218" s="1162"/>
      <c r="Y218" s="1163"/>
      <c r="Z218" s="1163"/>
      <c r="AA218" s="1162"/>
    </row>
    <row r="219" ht="15.75" customHeight="1">
      <c r="A219" s="425"/>
      <c r="B219" s="425"/>
      <c r="C219" s="1162"/>
      <c r="D219" s="1162"/>
      <c r="E219" s="1162"/>
      <c r="F219" s="1162"/>
      <c r="G219" s="1162"/>
      <c r="H219" s="1162"/>
      <c r="I219" s="1162"/>
      <c r="J219" s="1162"/>
      <c r="K219" s="1162"/>
      <c r="L219" s="1162"/>
      <c r="M219" s="1162"/>
      <c r="N219" s="1162"/>
      <c r="O219" s="1162"/>
      <c r="P219" s="1162"/>
      <c r="Q219" s="1162"/>
      <c r="R219" s="1162"/>
      <c r="S219" s="1162"/>
      <c r="T219" s="1162"/>
      <c r="U219" s="1162"/>
      <c r="V219" s="1162"/>
      <c r="W219" s="1162"/>
      <c r="X219" s="1162"/>
      <c r="Y219" s="1163"/>
      <c r="Z219" s="1163"/>
      <c r="AA219" s="1162"/>
    </row>
    <row r="220" ht="15.75" customHeight="1">
      <c r="A220" s="425"/>
      <c r="B220" s="425"/>
      <c r="C220" s="1162"/>
      <c r="D220" s="1162"/>
      <c r="E220" s="1162"/>
      <c r="F220" s="1162"/>
      <c r="G220" s="1162"/>
      <c r="H220" s="1162"/>
      <c r="I220" s="1162"/>
      <c r="J220" s="1162"/>
      <c r="K220" s="1162"/>
      <c r="L220" s="1162"/>
      <c r="M220" s="1162"/>
      <c r="N220" s="1162"/>
      <c r="O220" s="1162"/>
      <c r="P220" s="1162"/>
      <c r="Q220" s="1162"/>
      <c r="R220" s="1162"/>
      <c r="S220" s="1162"/>
      <c r="T220" s="1162"/>
      <c r="U220" s="1162"/>
      <c r="V220" s="1162"/>
      <c r="W220" s="1162"/>
      <c r="X220" s="1162"/>
      <c r="Y220" s="1163"/>
      <c r="Z220" s="1163"/>
      <c r="AA220" s="1162"/>
    </row>
    <row r="221" ht="15.75" customHeight="1">
      <c r="A221" s="425"/>
      <c r="B221" s="425"/>
      <c r="C221" s="1162"/>
      <c r="D221" s="1162"/>
      <c r="E221" s="1162"/>
      <c r="F221" s="1162"/>
      <c r="G221" s="1162"/>
      <c r="H221" s="1162"/>
      <c r="I221" s="1162"/>
      <c r="J221" s="1162"/>
      <c r="K221" s="1162"/>
      <c r="L221" s="1162"/>
      <c r="M221" s="1162"/>
      <c r="N221" s="1162"/>
      <c r="O221" s="1162"/>
      <c r="P221" s="1162"/>
      <c r="Q221" s="1162"/>
      <c r="R221" s="1162"/>
      <c r="S221" s="1162"/>
      <c r="T221" s="1162"/>
      <c r="U221" s="1162"/>
      <c r="V221" s="1162"/>
      <c r="W221" s="1162"/>
      <c r="X221" s="1162"/>
      <c r="Y221" s="1163"/>
      <c r="Z221" s="1163"/>
      <c r="AA221" s="1162"/>
    </row>
    <row r="222" ht="15.75" customHeight="1">
      <c r="A222" s="425"/>
      <c r="B222" s="425"/>
      <c r="C222" s="1162"/>
      <c r="D222" s="1162"/>
      <c r="E222" s="1162"/>
      <c r="F222" s="1162"/>
      <c r="G222" s="1162"/>
      <c r="H222" s="1162"/>
      <c r="I222" s="1162"/>
      <c r="J222" s="1162"/>
      <c r="K222" s="1162"/>
      <c r="L222" s="1162"/>
      <c r="M222" s="1162"/>
      <c r="N222" s="1162"/>
      <c r="O222" s="1162"/>
      <c r="P222" s="1162"/>
      <c r="Q222" s="1162"/>
      <c r="R222" s="1162"/>
      <c r="S222" s="1162"/>
      <c r="T222" s="1162"/>
      <c r="U222" s="1162"/>
      <c r="V222" s="1162"/>
      <c r="W222" s="1162"/>
      <c r="X222" s="1162"/>
      <c r="Y222" s="1163"/>
      <c r="Z222" s="1163"/>
      <c r="AA222" s="1162"/>
    </row>
    <row r="223" ht="15.75" customHeight="1">
      <c r="A223" s="425"/>
      <c r="B223" s="425"/>
      <c r="C223" s="1162"/>
      <c r="D223" s="1162"/>
      <c r="E223" s="1162"/>
      <c r="F223" s="1162"/>
      <c r="G223" s="1162"/>
      <c r="H223" s="1162"/>
      <c r="I223" s="1162"/>
      <c r="J223" s="1162"/>
      <c r="K223" s="1162"/>
      <c r="L223" s="1162"/>
      <c r="M223" s="1162"/>
      <c r="N223" s="1162"/>
      <c r="O223" s="1162"/>
      <c r="P223" s="1162"/>
      <c r="Q223" s="1162"/>
      <c r="R223" s="1162"/>
      <c r="S223" s="1162"/>
      <c r="T223" s="1162"/>
      <c r="U223" s="1162"/>
      <c r="V223" s="1162"/>
      <c r="W223" s="1162"/>
      <c r="X223" s="1162"/>
      <c r="Y223" s="1163"/>
      <c r="Z223" s="1163"/>
      <c r="AA223" s="1162"/>
    </row>
    <row r="224" ht="15.75" customHeight="1">
      <c r="A224" s="425"/>
      <c r="B224" s="425"/>
      <c r="C224" s="1162"/>
      <c r="D224" s="1162"/>
      <c r="E224" s="1162"/>
      <c r="F224" s="1162"/>
      <c r="G224" s="1162"/>
      <c r="H224" s="1162"/>
      <c r="I224" s="1162"/>
      <c r="J224" s="1162"/>
      <c r="K224" s="1162"/>
      <c r="L224" s="1162"/>
      <c r="M224" s="1162"/>
      <c r="N224" s="1162"/>
      <c r="O224" s="1162"/>
      <c r="P224" s="1162"/>
      <c r="Q224" s="1162"/>
      <c r="R224" s="1162"/>
      <c r="S224" s="1162"/>
      <c r="T224" s="1162"/>
      <c r="U224" s="1162"/>
      <c r="V224" s="1162"/>
      <c r="W224" s="1162"/>
      <c r="X224" s="1162"/>
      <c r="Y224" s="1163"/>
      <c r="Z224" s="1163"/>
      <c r="AA224" s="1162"/>
    </row>
    <row r="225" ht="15.75" customHeight="1">
      <c r="A225" s="425"/>
      <c r="B225" s="425"/>
      <c r="C225" s="1162"/>
      <c r="D225" s="1162"/>
      <c r="E225" s="1162"/>
      <c r="F225" s="1162"/>
      <c r="G225" s="1162"/>
      <c r="H225" s="1162"/>
      <c r="I225" s="1162"/>
      <c r="J225" s="1162"/>
      <c r="K225" s="1162"/>
      <c r="L225" s="1162"/>
      <c r="M225" s="1162"/>
      <c r="N225" s="1162"/>
      <c r="O225" s="1162"/>
      <c r="P225" s="1162"/>
      <c r="Q225" s="1162"/>
      <c r="R225" s="1162"/>
      <c r="S225" s="1162"/>
      <c r="T225" s="1162"/>
      <c r="U225" s="1162"/>
      <c r="V225" s="1162"/>
      <c r="W225" s="1162"/>
      <c r="X225" s="1162"/>
      <c r="Y225" s="1163"/>
      <c r="Z225" s="1163"/>
      <c r="AA225" s="1162"/>
    </row>
    <row r="226" ht="15.75" customHeight="1">
      <c r="A226" s="425"/>
      <c r="B226" s="425"/>
      <c r="C226" s="1162"/>
      <c r="D226" s="1162"/>
      <c r="E226" s="1162"/>
      <c r="F226" s="1162"/>
      <c r="G226" s="1162"/>
      <c r="H226" s="1162"/>
      <c r="I226" s="1162"/>
      <c r="J226" s="1162"/>
      <c r="K226" s="1162"/>
      <c r="L226" s="1162"/>
      <c r="M226" s="1162"/>
      <c r="N226" s="1162"/>
      <c r="O226" s="1162"/>
      <c r="P226" s="1162"/>
      <c r="Q226" s="1162"/>
      <c r="R226" s="1162"/>
      <c r="S226" s="1162"/>
      <c r="T226" s="1162"/>
      <c r="U226" s="1162"/>
      <c r="V226" s="1162"/>
      <c r="W226" s="1162"/>
      <c r="X226" s="1162"/>
      <c r="Y226" s="1163"/>
      <c r="Z226" s="1163"/>
      <c r="AA226" s="1162"/>
    </row>
    <row r="227" ht="15.75" customHeight="1">
      <c r="A227" s="425"/>
      <c r="B227" s="425"/>
      <c r="C227" s="1162"/>
      <c r="D227" s="1162"/>
      <c r="E227" s="1162"/>
      <c r="F227" s="1162"/>
      <c r="G227" s="1162"/>
      <c r="H227" s="1162"/>
      <c r="I227" s="1162"/>
      <c r="J227" s="1162"/>
      <c r="K227" s="1162"/>
      <c r="L227" s="1162"/>
      <c r="M227" s="1162"/>
      <c r="N227" s="1162"/>
      <c r="O227" s="1162"/>
      <c r="P227" s="1162"/>
      <c r="Q227" s="1162"/>
      <c r="R227" s="1162"/>
      <c r="S227" s="1162"/>
      <c r="T227" s="1162"/>
      <c r="U227" s="1162"/>
      <c r="V227" s="1162"/>
      <c r="W227" s="1162"/>
      <c r="X227" s="1162"/>
      <c r="Y227" s="1163"/>
      <c r="Z227" s="1163"/>
      <c r="AA227" s="1162"/>
    </row>
    <row r="228" ht="15.75" customHeight="1">
      <c r="A228" s="425"/>
      <c r="B228" s="425"/>
      <c r="C228" s="1162"/>
      <c r="D228" s="1162"/>
      <c r="E228" s="1162"/>
      <c r="F228" s="1162"/>
      <c r="G228" s="1162"/>
      <c r="H228" s="1162"/>
      <c r="I228" s="1162"/>
      <c r="J228" s="1162"/>
      <c r="K228" s="1162"/>
      <c r="L228" s="1162"/>
      <c r="M228" s="1162"/>
      <c r="N228" s="1162"/>
      <c r="O228" s="1162"/>
      <c r="P228" s="1162"/>
      <c r="Q228" s="1162"/>
      <c r="R228" s="1162"/>
      <c r="S228" s="1162"/>
      <c r="T228" s="1162"/>
      <c r="U228" s="1162"/>
      <c r="V228" s="1162"/>
      <c r="W228" s="1162"/>
      <c r="X228" s="1162"/>
      <c r="Y228" s="1163"/>
      <c r="Z228" s="1163"/>
      <c r="AA228" s="1162"/>
    </row>
    <row r="229" ht="15.75" customHeight="1">
      <c r="A229" s="425"/>
      <c r="B229" s="425"/>
      <c r="C229" s="1162"/>
      <c r="D229" s="1162"/>
      <c r="E229" s="1162"/>
      <c r="F229" s="1162"/>
      <c r="G229" s="1162"/>
      <c r="H229" s="1162"/>
      <c r="I229" s="1162"/>
      <c r="J229" s="1162"/>
      <c r="K229" s="1162"/>
      <c r="L229" s="1162"/>
      <c r="M229" s="1162"/>
      <c r="N229" s="1162"/>
      <c r="O229" s="1162"/>
      <c r="P229" s="1162"/>
      <c r="Q229" s="1162"/>
      <c r="R229" s="1162"/>
      <c r="S229" s="1162"/>
      <c r="T229" s="1162"/>
      <c r="U229" s="1162"/>
      <c r="V229" s="1162"/>
      <c r="W229" s="1162"/>
      <c r="X229" s="1162"/>
      <c r="Y229" s="1163"/>
      <c r="Z229" s="1163"/>
      <c r="AA229" s="1162"/>
    </row>
    <row r="230" ht="15.75" customHeight="1">
      <c r="A230" s="425"/>
      <c r="B230" s="425"/>
      <c r="C230" s="1162"/>
      <c r="D230" s="1162"/>
      <c r="E230" s="1162"/>
      <c r="F230" s="1162"/>
      <c r="G230" s="1162"/>
      <c r="H230" s="1162"/>
      <c r="I230" s="1162"/>
      <c r="J230" s="1162"/>
      <c r="K230" s="1162"/>
      <c r="L230" s="1162"/>
      <c r="M230" s="1162"/>
      <c r="N230" s="1162"/>
      <c r="O230" s="1162"/>
      <c r="P230" s="1162"/>
      <c r="Q230" s="1162"/>
      <c r="R230" s="1162"/>
      <c r="S230" s="1162"/>
      <c r="T230" s="1162"/>
      <c r="U230" s="1162"/>
      <c r="V230" s="1162"/>
      <c r="W230" s="1162"/>
      <c r="X230" s="1162"/>
      <c r="Y230" s="1163"/>
      <c r="Z230" s="1163"/>
      <c r="AA230" s="1162"/>
    </row>
    <row r="231" ht="15.75" customHeight="1">
      <c r="A231" s="425"/>
      <c r="B231" s="425"/>
      <c r="C231" s="1162"/>
      <c r="D231" s="1162"/>
      <c r="E231" s="1162"/>
      <c r="F231" s="1162"/>
      <c r="G231" s="1162"/>
      <c r="H231" s="1162"/>
      <c r="I231" s="1162"/>
      <c r="J231" s="1162"/>
      <c r="K231" s="1162"/>
      <c r="L231" s="1162"/>
      <c r="M231" s="1162"/>
      <c r="N231" s="1162"/>
      <c r="O231" s="1162"/>
      <c r="P231" s="1162"/>
      <c r="Q231" s="1162"/>
      <c r="R231" s="1162"/>
      <c r="S231" s="1162"/>
      <c r="T231" s="1162"/>
      <c r="U231" s="1162"/>
      <c r="V231" s="1162"/>
      <c r="W231" s="1162"/>
      <c r="X231" s="1162"/>
      <c r="Y231" s="1163"/>
      <c r="Z231" s="1163"/>
      <c r="AA231" s="1162"/>
    </row>
    <row r="232" ht="15.75" customHeight="1">
      <c r="A232" s="425"/>
      <c r="B232" s="425"/>
      <c r="C232" s="1162"/>
      <c r="D232" s="1162"/>
      <c r="E232" s="1162"/>
      <c r="F232" s="1162"/>
      <c r="G232" s="1162"/>
      <c r="H232" s="1162"/>
      <c r="I232" s="1162"/>
      <c r="J232" s="1162"/>
      <c r="K232" s="1162"/>
      <c r="L232" s="1162"/>
      <c r="M232" s="1162"/>
      <c r="N232" s="1162"/>
      <c r="O232" s="1162"/>
      <c r="P232" s="1162"/>
      <c r="Q232" s="1162"/>
      <c r="R232" s="1162"/>
      <c r="S232" s="1162"/>
      <c r="T232" s="1162"/>
      <c r="U232" s="1162"/>
      <c r="V232" s="1162"/>
      <c r="W232" s="1162"/>
      <c r="X232" s="1162"/>
      <c r="Y232" s="1163"/>
      <c r="Z232" s="1163"/>
      <c r="AA232" s="1162"/>
    </row>
    <row r="233" ht="15.75" customHeight="1">
      <c r="A233" s="425"/>
      <c r="B233" s="425"/>
      <c r="C233" s="1162"/>
      <c r="D233" s="1162"/>
      <c r="E233" s="1162"/>
      <c r="F233" s="1162"/>
      <c r="G233" s="1162"/>
      <c r="H233" s="1162"/>
      <c r="I233" s="1162"/>
      <c r="J233" s="1162"/>
      <c r="K233" s="1162"/>
      <c r="L233" s="1162"/>
      <c r="M233" s="1162"/>
      <c r="N233" s="1162"/>
      <c r="O233" s="1162"/>
      <c r="P233" s="1162"/>
      <c r="Q233" s="1162"/>
      <c r="R233" s="1162"/>
      <c r="S233" s="1162"/>
      <c r="T233" s="1162"/>
      <c r="U233" s="1162"/>
      <c r="V233" s="1162"/>
      <c r="W233" s="1162"/>
      <c r="X233" s="1162"/>
      <c r="Y233" s="1163"/>
      <c r="Z233" s="1163"/>
      <c r="AA233" s="1162"/>
    </row>
    <row r="234" ht="15.75" customHeight="1">
      <c r="A234" s="425"/>
      <c r="B234" s="425"/>
      <c r="C234" s="1162"/>
      <c r="D234" s="1162"/>
      <c r="E234" s="1162"/>
      <c r="F234" s="1162"/>
      <c r="G234" s="1162"/>
      <c r="H234" s="1162"/>
      <c r="I234" s="1162"/>
      <c r="J234" s="1162"/>
      <c r="K234" s="1162"/>
      <c r="L234" s="1162"/>
      <c r="M234" s="1162"/>
      <c r="N234" s="1162"/>
      <c r="O234" s="1162"/>
      <c r="P234" s="1162"/>
      <c r="Q234" s="1162"/>
      <c r="R234" s="1162"/>
      <c r="S234" s="1162"/>
      <c r="T234" s="1162"/>
      <c r="U234" s="1162"/>
      <c r="V234" s="1162"/>
      <c r="W234" s="1162"/>
      <c r="X234" s="1162"/>
      <c r="Y234" s="1163"/>
      <c r="Z234" s="1163"/>
      <c r="AA234" s="1162"/>
    </row>
    <row r="235" ht="15.75" customHeight="1">
      <c r="A235" s="425"/>
      <c r="B235" s="425"/>
      <c r="C235" s="1162"/>
      <c r="D235" s="1162"/>
      <c r="E235" s="1162"/>
      <c r="F235" s="1162"/>
      <c r="G235" s="1162"/>
      <c r="H235" s="1162"/>
      <c r="I235" s="1162"/>
      <c r="J235" s="1162"/>
      <c r="K235" s="1162"/>
      <c r="L235" s="1162"/>
      <c r="M235" s="1162"/>
      <c r="N235" s="1162"/>
      <c r="O235" s="1162"/>
      <c r="P235" s="1162"/>
      <c r="Q235" s="1162"/>
      <c r="R235" s="1162"/>
      <c r="S235" s="1162"/>
      <c r="T235" s="1162"/>
      <c r="U235" s="1162"/>
      <c r="V235" s="1162"/>
      <c r="W235" s="1162"/>
      <c r="X235" s="1162"/>
      <c r="Y235" s="1163"/>
      <c r="Z235" s="1163"/>
      <c r="AA235" s="1162"/>
    </row>
    <row r="236" ht="15.75" customHeight="1">
      <c r="A236" s="425"/>
      <c r="B236" s="425"/>
      <c r="C236" s="1162"/>
      <c r="D236" s="1162"/>
      <c r="E236" s="1162"/>
      <c r="F236" s="1162"/>
      <c r="G236" s="1162"/>
      <c r="H236" s="1162"/>
      <c r="I236" s="1162"/>
      <c r="J236" s="1162"/>
      <c r="K236" s="1162"/>
      <c r="L236" s="1162"/>
      <c r="M236" s="1162"/>
      <c r="N236" s="1162"/>
      <c r="O236" s="1162"/>
      <c r="P236" s="1162"/>
      <c r="Q236" s="1162"/>
      <c r="R236" s="1162"/>
      <c r="S236" s="1162"/>
      <c r="T236" s="1162"/>
      <c r="U236" s="1162"/>
      <c r="V236" s="1162"/>
      <c r="W236" s="1162"/>
      <c r="X236" s="1162"/>
      <c r="Y236" s="1163"/>
      <c r="Z236" s="1163"/>
      <c r="AA236" s="1162"/>
    </row>
    <row r="237" ht="15.75" customHeight="1">
      <c r="A237" s="425"/>
      <c r="B237" s="425"/>
      <c r="C237" s="1162"/>
      <c r="D237" s="1162"/>
      <c r="E237" s="1162"/>
      <c r="F237" s="1162"/>
      <c r="G237" s="1162"/>
      <c r="H237" s="1162"/>
      <c r="I237" s="1162"/>
      <c r="J237" s="1162"/>
      <c r="K237" s="1162"/>
      <c r="L237" s="1162"/>
      <c r="M237" s="1162"/>
      <c r="N237" s="1162"/>
      <c r="O237" s="1162"/>
      <c r="P237" s="1162"/>
      <c r="Q237" s="1162"/>
      <c r="R237" s="1162"/>
      <c r="S237" s="1162"/>
      <c r="T237" s="1162"/>
      <c r="U237" s="1162"/>
      <c r="V237" s="1162"/>
      <c r="W237" s="1162"/>
      <c r="X237" s="1162"/>
      <c r="Y237" s="1163"/>
      <c r="Z237" s="1163"/>
      <c r="AA237" s="1162"/>
    </row>
    <row r="238" ht="15.75" customHeight="1">
      <c r="A238" s="425"/>
      <c r="B238" s="425"/>
      <c r="C238" s="1162"/>
      <c r="D238" s="1162"/>
      <c r="E238" s="1162"/>
      <c r="F238" s="1162"/>
      <c r="G238" s="1162"/>
      <c r="H238" s="1162"/>
      <c r="I238" s="1162"/>
      <c r="J238" s="1162"/>
      <c r="K238" s="1162"/>
      <c r="L238" s="1162"/>
      <c r="M238" s="1162"/>
      <c r="N238" s="1162"/>
      <c r="O238" s="1162"/>
      <c r="P238" s="1162"/>
      <c r="Q238" s="1162"/>
      <c r="R238" s="1162"/>
      <c r="S238" s="1162"/>
      <c r="T238" s="1162"/>
      <c r="U238" s="1162"/>
      <c r="V238" s="1162"/>
      <c r="W238" s="1162"/>
      <c r="X238" s="1162"/>
      <c r="Y238" s="1163"/>
      <c r="Z238" s="1163"/>
      <c r="AA238" s="1162"/>
    </row>
    <row r="239" ht="15.75" customHeight="1">
      <c r="A239" s="425"/>
      <c r="B239" s="425"/>
      <c r="C239" s="1162"/>
      <c r="D239" s="1162"/>
      <c r="E239" s="1162"/>
      <c r="F239" s="1162"/>
      <c r="G239" s="1162"/>
      <c r="H239" s="1162"/>
      <c r="I239" s="1162"/>
      <c r="J239" s="1162"/>
      <c r="K239" s="1162"/>
      <c r="L239" s="1162"/>
      <c r="M239" s="1162"/>
      <c r="N239" s="1162"/>
      <c r="O239" s="1162"/>
      <c r="P239" s="1162"/>
      <c r="Q239" s="1162"/>
      <c r="R239" s="1162"/>
      <c r="S239" s="1162"/>
      <c r="T239" s="1162"/>
      <c r="U239" s="1162"/>
      <c r="V239" s="1162"/>
      <c r="W239" s="1162"/>
      <c r="X239" s="1162"/>
      <c r="Y239" s="1163"/>
      <c r="Z239" s="1163"/>
      <c r="AA239" s="1162"/>
    </row>
    <row r="240" ht="15.75" customHeight="1">
      <c r="A240" s="425"/>
      <c r="B240" s="425"/>
      <c r="C240" s="1162"/>
      <c r="D240" s="1162"/>
      <c r="E240" s="1162"/>
      <c r="F240" s="1162"/>
      <c r="G240" s="1162"/>
      <c r="H240" s="1162"/>
      <c r="I240" s="1162"/>
      <c r="J240" s="1162"/>
      <c r="K240" s="1162"/>
      <c r="L240" s="1162"/>
      <c r="M240" s="1162"/>
      <c r="N240" s="1162"/>
      <c r="O240" s="1162"/>
      <c r="P240" s="1162"/>
      <c r="Q240" s="1162"/>
      <c r="R240" s="1162"/>
      <c r="S240" s="1162"/>
      <c r="T240" s="1162"/>
      <c r="U240" s="1162"/>
      <c r="V240" s="1162"/>
      <c r="W240" s="1162"/>
      <c r="X240" s="1162"/>
      <c r="Y240" s="1163"/>
      <c r="Z240" s="1163"/>
      <c r="AA240" s="1162"/>
    </row>
    <row r="241" ht="15.75" customHeight="1">
      <c r="A241" s="425"/>
      <c r="B241" s="425"/>
      <c r="C241" s="1162"/>
      <c r="D241" s="1162"/>
      <c r="E241" s="1162"/>
      <c r="F241" s="1162"/>
      <c r="G241" s="1162"/>
      <c r="H241" s="1162"/>
      <c r="I241" s="1162"/>
      <c r="J241" s="1162"/>
      <c r="K241" s="1162"/>
      <c r="L241" s="1162"/>
      <c r="M241" s="1162"/>
      <c r="N241" s="1162"/>
      <c r="O241" s="1162"/>
      <c r="P241" s="1162"/>
      <c r="Q241" s="1162"/>
      <c r="R241" s="1162"/>
      <c r="S241" s="1162"/>
      <c r="T241" s="1162"/>
      <c r="U241" s="1162"/>
      <c r="V241" s="1162"/>
      <c r="W241" s="1162"/>
      <c r="X241" s="1162"/>
      <c r="Y241" s="1163"/>
      <c r="Z241" s="1163"/>
      <c r="AA241" s="1162"/>
    </row>
    <row r="242" ht="15.75" customHeight="1">
      <c r="A242" s="425"/>
      <c r="B242" s="425"/>
      <c r="C242" s="1162"/>
      <c r="D242" s="1162"/>
      <c r="E242" s="1162"/>
      <c r="F242" s="1162"/>
      <c r="G242" s="1162"/>
      <c r="H242" s="1162"/>
      <c r="I242" s="1162"/>
      <c r="J242" s="1162"/>
      <c r="K242" s="1162"/>
      <c r="L242" s="1162"/>
      <c r="M242" s="1162"/>
      <c r="N242" s="1162"/>
      <c r="O242" s="1162"/>
      <c r="P242" s="1162"/>
      <c r="Q242" s="1162"/>
      <c r="R242" s="1162"/>
      <c r="S242" s="1162"/>
      <c r="T242" s="1162"/>
      <c r="U242" s="1162"/>
      <c r="V242" s="1162"/>
      <c r="W242" s="1162"/>
      <c r="X242" s="1162"/>
      <c r="Y242" s="1163"/>
      <c r="Z242" s="1163"/>
      <c r="AA242" s="1162"/>
    </row>
    <row r="243" ht="15.75" customHeight="1">
      <c r="A243" s="425"/>
      <c r="B243" s="425"/>
      <c r="C243" s="1162"/>
      <c r="D243" s="1162"/>
      <c r="E243" s="1162"/>
      <c r="F243" s="1162"/>
      <c r="G243" s="1162"/>
      <c r="H243" s="1162"/>
      <c r="I243" s="1162"/>
      <c r="J243" s="1162"/>
      <c r="K243" s="1162"/>
      <c r="L243" s="1162"/>
      <c r="M243" s="1162"/>
      <c r="N243" s="1162"/>
      <c r="O243" s="1162"/>
      <c r="P243" s="1162"/>
      <c r="Q243" s="1162"/>
      <c r="R243" s="1162"/>
      <c r="S243" s="1162"/>
      <c r="T243" s="1162"/>
      <c r="U243" s="1162"/>
      <c r="V243" s="1162"/>
      <c r="W243" s="1162"/>
      <c r="X243" s="1162"/>
      <c r="Y243" s="1163"/>
      <c r="Z243" s="1163"/>
      <c r="AA243" s="1162"/>
    </row>
    <row r="244" ht="15.75" customHeight="1">
      <c r="A244" s="425"/>
      <c r="B244" s="425"/>
      <c r="C244" s="1162"/>
      <c r="D244" s="1162"/>
      <c r="E244" s="1162"/>
      <c r="F244" s="1162"/>
      <c r="G244" s="1162"/>
      <c r="H244" s="1162"/>
      <c r="I244" s="1162"/>
      <c r="J244" s="1162"/>
      <c r="K244" s="1162"/>
      <c r="L244" s="1162"/>
      <c r="M244" s="1162"/>
      <c r="N244" s="1162"/>
      <c r="O244" s="1162"/>
      <c r="P244" s="1162"/>
      <c r="Q244" s="1162"/>
      <c r="R244" s="1162"/>
      <c r="S244" s="1162"/>
      <c r="T244" s="1162"/>
      <c r="U244" s="1162"/>
      <c r="V244" s="1162"/>
      <c r="W244" s="1162"/>
      <c r="X244" s="1162"/>
      <c r="Y244" s="1163"/>
      <c r="Z244" s="1163"/>
      <c r="AA244" s="1162"/>
    </row>
    <row r="245" ht="15.75" customHeight="1">
      <c r="A245" s="425"/>
      <c r="B245" s="425"/>
      <c r="C245" s="1162"/>
      <c r="D245" s="1162"/>
      <c r="E245" s="1162"/>
      <c r="F245" s="1162"/>
      <c r="G245" s="1162"/>
      <c r="H245" s="1162"/>
      <c r="I245" s="1162"/>
      <c r="J245" s="1162"/>
      <c r="K245" s="1162"/>
      <c r="L245" s="1162"/>
      <c r="M245" s="1162"/>
      <c r="N245" s="1162"/>
      <c r="O245" s="1162"/>
      <c r="P245" s="1162"/>
      <c r="Q245" s="1162"/>
      <c r="R245" s="1162"/>
      <c r="S245" s="1162"/>
      <c r="T245" s="1162"/>
      <c r="U245" s="1162"/>
      <c r="V245" s="1162"/>
      <c r="W245" s="1162"/>
      <c r="X245" s="1162"/>
      <c r="Y245" s="1163"/>
      <c r="Z245" s="1163"/>
      <c r="AA245" s="1162"/>
    </row>
    <row r="246" ht="15.75" customHeight="1">
      <c r="A246" s="425"/>
      <c r="B246" s="425"/>
      <c r="C246" s="1162"/>
      <c r="D246" s="1162"/>
      <c r="E246" s="1162"/>
      <c r="F246" s="1162"/>
      <c r="G246" s="1162"/>
      <c r="H246" s="1162"/>
      <c r="I246" s="1162"/>
      <c r="J246" s="1162"/>
      <c r="K246" s="1162"/>
      <c r="L246" s="1162"/>
      <c r="M246" s="1162"/>
      <c r="N246" s="1162"/>
      <c r="O246" s="1162"/>
      <c r="P246" s="1162"/>
      <c r="Q246" s="1162"/>
      <c r="R246" s="1162"/>
      <c r="S246" s="1162"/>
      <c r="T246" s="1162"/>
      <c r="U246" s="1162"/>
      <c r="V246" s="1162"/>
      <c r="W246" s="1162"/>
      <c r="X246" s="1162"/>
      <c r="Y246" s="1163"/>
      <c r="Z246" s="1163"/>
      <c r="AA246" s="116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Q8:R8"/>
    <mergeCell ref="S8:T8"/>
    <mergeCell ref="U8:V8"/>
    <mergeCell ref="W8:X8"/>
    <mergeCell ref="Y8:Y9"/>
    <mergeCell ref="Z8:Z9"/>
    <mergeCell ref="AA8:AA9"/>
    <mergeCell ref="C8:D8"/>
    <mergeCell ref="E8:F8"/>
    <mergeCell ref="G8:H8"/>
    <mergeCell ref="I8:J8"/>
    <mergeCell ref="K8:L8"/>
    <mergeCell ref="M8:N8"/>
    <mergeCell ref="O8:P8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